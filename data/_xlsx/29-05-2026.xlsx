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3.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ENTRO ANDAMENTO ALUNOS" sheetId="1" state="visible" r:id="rId3"/>
    <sheet name="CENTRO" sheetId="2" state="hidden" r:id="rId4"/>
    <sheet name="Pedido de Apostilas Centro" sheetId="3" state="hidden" r:id="rId5"/>
  </sheets>
  <definedNames>
    <definedName function="false" hidden="true" localSheetId="0" name="_xlnm._FilterDatabase" vbProcedure="false">'CENTRO ANDAMENTO ALUNOS'!$A$1:$N$1341</definedName>
    <definedName function="false" hidden="true" localSheetId="2" name="_xlnm._FilterDatabase" vbProcedure="false">'Pedido de Apostilas Centro'!$A$2:$G$495</definedName>
    <definedName function="false" hidden="false" name="SlicerCache_Table_32_Col_1" vbProcedure="false">#N/A</definedName>
    <definedName function="false" hidden="true" localSheetId="2" name="Z_443EC5A2_D029_4CCB_9256_893136E31BC9_.wvu.FilterData" vbProcedure="false">'Pedido de Apostilas Centro'!$AA$171:$AA$233</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Autor desconhecido</author>
  </authors>
  <commentList>
    <comment ref="A1" authorId="0">
      <text>
        <r>
          <rPr>
            <sz val="10"/>
            <rFont val="Arial"/>
            <family val="2"/>
          </rPr>
          <t xml:space="preserve">Cheklist:
Cabeçalhos  em maiúsculas
Cabeçalhos com todas acentuações
Cabeçalhos sem artigos (a, de, da…)
Trocar $C$1 por HOJE()
Remover linha vazia no topo
Fixar primeira linha (apenas para leitura)
</t>
        </r>
      </text>
    </comment>
  </commentList>
</comments>
</file>

<file path=xl/comments2.xml><?xml version="1.0" encoding="utf-8"?>
<comments xmlns="http://schemas.openxmlformats.org/spreadsheetml/2006/main" xmlns:xdr="http://schemas.openxmlformats.org/drawingml/2006/spreadsheetDrawing">
  <authors>
    <author>tc={8c1e9a30-75d0-448a-9e51-9a498ee0808a}</author>
  </authors>
  <commentList>
    <comment ref="A2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MUITO ADIANTADA
</t>
        </r>
      </text>
    </comment>
  </commentList>
</comments>
</file>

<file path=xl/comments3.xml><?xml version="1.0" encoding="utf-8"?>
<comments xmlns="http://schemas.openxmlformats.org/spreadsheetml/2006/main" xmlns:xdr="http://schemas.openxmlformats.org/drawingml/2006/spreadsheetDrawing">
  <authors>
    <author>tc={01d64bb4-caad-46f4-b67c-180d27c1a7c1}</author>
    <author>tc={0a0c52a4-cdd9-47ab-a76f-699954cdc078}</author>
    <author>tc={2da8fa25-c5e3-4e2d-ae91-0585f3677e7e}</author>
    <author>tc={3370c736-2332-4a68-bfe8-d87b557b2fed}</author>
    <author>tc={388ed593-a4c2-4fde-a4f4-09e0e90152a1}</author>
    <author>tc={3a213466-ec98-478b-b586-3304f8a9a166}</author>
    <author>tc={3e18acd2-e0f9-4852-8730-cecd174bde1e}</author>
    <author>tc={3fa6dac3-222b-4967-861f-1dd38f445f27}</author>
    <author>tc={40c539e0-5294-47b0-a582-25a254a62018}</author>
    <author>tc={42fd2df7-68b6-431d-8998-4705b2be61c8}</author>
    <author>tc={4b90d433-5726-4c82-85df-8250866ad8d4}</author>
    <author>tc={4dd69d4a-ecac-41d5-a6bc-0e9346e9b0dd}</author>
    <author>tc={4ef53244-eaa4-4f10-b0df-739f8aed9f0a}</author>
    <author>tc={502bb890-40b7-49e1-aeda-936ec35f7cd0}</author>
    <author>tc={58c3dca9-7597-46a4-b87b-2b2e76a14dbf}</author>
    <author>tc={5baebf00-dac2-48cf-853e-4ea508bf7cf6}</author>
    <author>tc={5f0b2d31-91c5-4a3b-abb7-c835e0fdc61a}</author>
    <author>tc={8b9105e1-74aa-4b4c-a141-25048cea81f4}</author>
    <author>tc={97e5e232-940a-43d4-a268-9ad739c715cc}</author>
    <author>tc={9949d0d2-c733-4b4f-8700-664b4dfe94ba}</author>
    <author>tc={a3cf45ec-a002-404c-bc06-2943b27aeb7d}</author>
    <author>tc={a4dc3e92-bfcc-4373-b90a-a0aa6450cb86}</author>
    <author>tc={ad790b70-9a3a-4c96-a252-baf935b100ac}</author>
    <author>tc={bedfca13-4c34-4751-82c9-28b4eea7903c}</author>
    <author>tc={c37663e8-0a5f-440c-b9d6-2e724c50371d}</author>
    <author>tc={c52de6d7-b972-4d43-a8af-5e2555335e90}</author>
    <author>tc={efa523a3-4ce5-4db3-b7c1-7a593c57c9f7}</author>
    <author>tc={f402d9ad-1cf1-41df-bca0-4d4e4cad23a1}</author>
    <author>tc={fa74a719-d779-4bab-9d6e-804cd8cd6ad5}</author>
    <author>tc={fe9da757-a578-43e1-83c1-3d6b3a7bff26}</author>
  </authors>
  <commentList>
    <comment ref="A17"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FOI PASSADO MATERIAL DE WORD DA ALUNA MARIA EDUARDA FREITAS, QUANDO CHEGAR O MATERIAL DO ALUNO DE WORD, PASSAR PRA MARIA EDUARDA
</t>
        </r>
      </text>
    </comment>
    <comment ref="A18" authorId="1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CÓDIGO DE WORD 2019 PARA A ALUNA.
</t>
        </r>
      </text>
    </comment>
    <comment ref="A81" authorId="1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ENTREGUEI MATERIAL DE WINDOWS, ALUNA JÁ ESTAVA NA 6ª AULA. PEGUEI DO ESTOQUE. JOSIVAN
</t>
        </r>
      </text>
    </comment>
    <comment ref="A134" authorId="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DO MATERIAL DO ALUNO
</t>
        </r>
      </text>
    </comment>
    <comment ref="A136" authorId="2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DE WORD
</t>
        </r>
      </text>
    </comment>
    <comment ref="A171" authorId="2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fjfjfhj
</t>
        </r>
      </text>
    </comment>
    <comment ref="A173" authorId="1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UM CÓDIGO DE MATERIAL
</t>
        </r>
      </text>
    </comment>
    <comment ref="A193"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FOI LIBERADO CÓDIGO DO MATERIAL
</t>
        </r>
      </text>
    </comment>
    <comment ref="A202"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DE WINDOWS
</t>
        </r>
      </text>
    </comment>
    <comment ref="A207" authorId="1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CÓDIGO DO MATERIAL
</t>
        </r>
      </text>
    </comment>
    <comment ref="A208" authorId="2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quando o material de excel da aluna chegar, passar para a aluna SAMARA RIBEIRO DE FARIAS
</t>
        </r>
      </text>
    </comment>
    <comment ref="A226" authorId="2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um codigo de material
</t>
        </r>
      </text>
    </comment>
    <comment ref="A252" authorId="2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de windows
</t>
        </r>
      </text>
    </comment>
    <comment ref="A270"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t>
        </r>
      </text>
    </comment>
    <comment ref="A287" authorId="1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ALUNA RECEBEU MATERIAL DE WINDOWS QUE ESTAVA SOBRANDO, PODE PASSAR O MATERIA DA MESMA PARA OUTRO ALUNO.
</t>
        </r>
      </text>
    </comment>
    <comment ref="A316" authorId="2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de windwos
</t>
        </r>
      </text>
    </comment>
    <comment ref="A318"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ALUNA RECEBEU MATERIAL QUE TAVA SOBRANDO, PODE PASSAR O DE INTRODUÇÃO PARA OUTRO ALUNO
</t>
        </r>
      </text>
    </comment>
    <comment ref="A327" authorId="1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DO MATERIAL DE WORD
</t>
        </r>
      </text>
    </comment>
    <comment ref="A329" authorId="1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CÓDIGO DO MATERIAL DE EXCEL 2019.
</t>
        </r>
      </text>
    </comment>
    <comment ref="A337"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t>
        </r>
      </text>
    </comment>
    <comment ref="A339" authorId="2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UM CODIGO DE POWER POINT
</t>
        </r>
      </text>
    </comment>
    <comment ref="A348" authorId="1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CÓDIGO
</t>
        </r>
      </text>
    </comment>
    <comment ref="A363" authorId="1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CODIGO DO MATERIAL
</t>
        </r>
      </text>
    </comment>
    <comment ref="A368" authorId="1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CÓDIGO DE WORD 2019 PARA A ALUNA.
</t>
        </r>
      </text>
    </comment>
    <comment ref="A371" authorId="2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DO MATERIAL DE WORD
</t>
        </r>
      </text>
    </comment>
    <comment ref="A374"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Liberado o Código previamente Para a Matéria de Word 2019.
</t>
        </r>
      </text>
    </comment>
    <comment ref="A39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de word
</t>
        </r>
      </text>
    </comment>
    <comment ref="A426"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LIBEREI O CODIGO DO MATERIAL
</t>
        </r>
      </text>
    </comment>
    <comment ref="D9" authorId="2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aluna recebeu material de lucieide
</t>
        </r>
      </text>
    </comment>
    <comment ref="D15" authorId="2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PASSEI MATERIAL PARA KAVI
</t>
        </r>
      </text>
    </comment>
  </commentList>
</comments>
</file>

<file path=xl/sharedStrings.xml><?xml version="1.0" encoding="utf-8"?>
<sst xmlns="http://schemas.openxmlformats.org/spreadsheetml/2006/main" count="3110" uniqueCount="1228">
  <si>
    <t xml:space="preserve">ALUNOS</t>
  </si>
  <si>
    <t xml:space="preserve">EDUCADOR</t>
  </si>
  <si>
    <t xml:space="preserve">DIA SEMANA</t>
  </si>
  <si>
    <t xml:space="preserve">DATA INICIO</t>
  </si>
  <si>
    <t xml:space="preserve">DATA TERMINO</t>
  </si>
  <si>
    <t xml:space="preserve">TOTAL SEMANAS</t>
  </si>
  <si>
    <t xml:space="preserve">SEMANAS CONCLUIDAS</t>
  </si>
  <si>
    <t xml:space="preserve">AULAS CURSO</t>
  </si>
  <si>
    <t xml:space="preserve">AULAS CONCLUIDAS</t>
  </si>
  <si>
    <t xml:space="preserve">AULAS ATRASADAS</t>
  </si>
  <si>
    <t xml:space="preserve">SITUAÇÃO</t>
  </si>
  <si>
    <t xml:space="preserve">DATA ACOMPANHAMENTO</t>
  </si>
  <si>
    <t xml:space="preserve">DIAS VERIFICADOS</t>
  </si>
  <si>
    <t xml:space="preserve">VERIFICAÇÃO</t>
  </si>
  <si>
    <t xml:space="preserve">ACSA MARIA ALVES DA SILVA</t>
  </si>
  <si>
    <t xml:space="preserve">JOICE LOPES</t>
  </si>
  <si>
    <t xml:space="preserve">ADRIANA DA  SILVA SOUZA </t>
  </si>
  <si>
    <t xml:space="preserve">NUBIA CARVALHO</t>
  </si>
  <si>
    <t xml:space="preserve">FERNANDA CHRISÓSTOMO BOMFIM VALADARES</t>
  </si>
  <si>
    <t xml:space="preserve">JORGE SOUZA</t>
  </si>
  <si>
    <t xml:space="preserve">ISABELA CARVALHO BONFIM</t>
  </si>
  <si>
    <t xml:space="preserve">ADRIMY DAMACENO RIBEIRO</t>
  </si>
  <si>
    <t xml:space="preserve">EDILEUSA CHAVES</t>
  </si>
  <si>
    <t xml:space="preserve">ADRYAN PINHEIRO CAMPOS</t>
  </si>
  <si>
    <t xml:space="preserve">EDMUNDO SANTOS</t>
  </si>
  <si>
    <t xml:space="preserve">ADRYANA KELLY RODRIGUES DA SILVA </t>
  </si>
  <si>
    <t xml:space="preserve">AFIA MARIA ALVES DA SILVA</t>
  </si>
  <si>
    <t xml:space="preserve">ALAIANA DE OLIVEIRA ESTEVAM</t>
  </si>
  <si>
    <t xml:space="preserve">ALANA ARAUJO COSTA</t>
  </si>
  <si>
    <t xml:space="preserve">ALANA ÉVANI DOS SANTOS SILVA</t>
  </si>
  <si>
    <t xml:space="preserve">DORAN DOS SANTOS SILVA</t>
  </si>
  <si>
    <t xml:space="preserve">ALEXANDRE LEAL NASCIMENTO</t>
  </si>
  <si>
    <t xml:space="preserve">ALICE DE SOUZA SCHMIDT</t>
  </si>
  <si>
    <t xml:space="preserve">ALICE GOMES OLIVEIRA</t>
  </si>
  <si>
    <t xml:space="preserve">ALICE NOVAIS BONFIM</t>
  </si>
  <si>
    <t xml:space="preserve">ISABELLA ALVES SILVA OLIVEIRA</t>
  </si>
  <si>
    <t xml:space="preserve">AMANDA NOLASCO BARROS</t>
  </si>
  <si>
    <t xml:space="preserve">ALLISON ALVES PEREIRA DA SILVA </t>
  </si>
  <si>
    <t xml:space="preserve">AMANDA DE CARVALHO ALVES</t>
  </si>
  <si>
    <t xml:space="preserve">AMANDA KÉSSIA BARBOSA FERREIRA</t>
  </si>
  <si>
    <t xml:space="preserve">SUÉRICA DE OLIVEIRA DOS SANTOS</t>
  </si>
  <si>
    <t xml:space="preserve">AMANDA XAVIER DOS ANJOS</t>
  </si>
  <si>
    <t xml:space="preserve">AMANDAH MICHELI PEREIRA SOUZA</t>
  </si>
  <si>
    <t xml:space="preserve">ANA BEATRIZ BARBOSA MAGALHÃES DE FREITAS</t>
  </si>
  <si>
    <t xml:space="preserve">EZEQUIEL OLIVEIRA DOS SANTOS</t>
  </si>
  <si>
    <t xml:space="preserve">ANA BEATRIZ  NOVAIS CIRNE </t>
  </si>
  <si>
    <t xml:space="preserve">DIEGO HERNANY DE ALMEIDA DA SILVA</t>
  </si>
  <si>
    <t xml:space="preserve">ANA BEATRIZ DA SILVA DOS SANTOS</t>
  </si>
  <si>
    <t xml:space="preserve">EDMUNDO SANTOS </t>
  </si>
  <si>
    <t xml:space="preserve">ANA CLARA DE JESUS OLIVEIRA</t>
  </si>
  <si>
    <t xml:space="preserve">KEULY VITORIA DA SILVA FAVEIRO</t>
  </si>
  <si>
    <t xml:space="preserve">ANA CLÁUDIA COSTA GOMES </t>
  </si>
  <si>
    <t xml:space="preserve">ANA EDUARDA DA SILVA RAMOS</t>
  </si>
  <si>
    <t xml:space="preserve">ANA FLÁVIA COÊLHO COSTA</t>
  </si>
  <si>
    <t xml:space="preserve">ANA GABRIELLA DE SOUZA LIMA</t>
  </si>
  <si>
    <t xml:space="preserve">ANA GABRIELLA RUFINO DE PAULA</t>
  </si>
  <si>
    <t xml:space="preserve">ANA JÚLIA OLIVEIRA SANTOS</t>
  </si>
  <si>
    <t xml:space="preserve">KEYLLA BISPO DOS SANTOS</t>
  </si>
  <si>
    <t xml:space="preserve">ANA KARINA DE SOUZA SILVA</t>
  </si>
  <si>
    <t xml:space="preserve">ANA LIVIA DA SILVA PASSOS</t>
  </si>
  <si>
    <t xml:space="preserve">ANA LUIZA RIBEIRO DISCONZI</t>
  </si>
  <si>
    <t xml:space="preserve">ANA RAFAELA DE ALMEIDA PENA</t>
  </si>
  <si>
    <t xml:space="preserve">ANA SOPHIA FERREIRA DE SOUZA</t>
  </si>
  <si>
    <t xml:space="preserve">ANA SOPHIA RODRIGUES DE MIRANDA</t>
  </si>
  <si>
    <t xml:space="preserve">ANA VALÉRIA PEREIRA LIMA</t>
  </si>
  <si>
    <t xml:space="preserve">TANIA ANJOS</t>
  </si>
  <si>
    <t xml:space="preserve">ANA VICTORIA GOMES DE JESUS</t>
  </si>
  <si>
    <t xml:space="preserve">JÚLIO CESAR BROTA DOS SANTOS</t>
  </si>
  <si>
    <t xml:space="preserve">ANDERSON SANTOS DOS REIS</t>
  </si>
  <si>
    <t xml:space="preserve">ANDRE FARIA POSSA</t>
  </si>
  <si>
    <t xml:space="preserve">GUILHERME BARBOSA DOS SANTOS</t>
  </si>
  <si>
    <t xml:space="preserve">ANIELLI ALVES SANTOS </t>
  </si>
  <si>
    <t xml:space="preserve">ANNA JULIA DA SILVA MAGALHÃES</t>
  </si>
  <si>
    <t xml:space="preserve">LAINNA DA SILVA DE JESUS</t>
  </si>
  <si>
    <t xml:space="preserve">ANTÔNIO VILTON DE SOUZA</t>
  </si>
  <si>
    <t xml:space="preserve">ARTHUR CARVALHO GONÇALVES </t>
  </si>
  <si>
    <t xml:space="preserve">LAISLA ALICE JESUS DE OLIVEIRA</t>
  </si>
  <si>
    <t xml:space="preserve">ARTHUR RONALDO MARTINS MIRANDA</t>
  </si>
  <si>
    <t xml:space="preserve">AYSHALA EMANUELE DA SILVA SANTOS </t>
  </si>
  <si>
    <t xml:space="preserve">BEATRIZ  RECKERS BULAU</t>
  </si>
  <si>
    <t xml:space="preserve">BEATRIZ ALVES RODRIGUES DA SILVA</t>
  </si>
  <si>
    <t xml:space="preserve">BEATRIZ MENDES DE BRITO</t>
  </si>
  <si>
    <t xml:space="preserve">BEATRIZ OLIVEIRA SANTOS</t>
  </si>
  <si>
    <t xml:space="preserve">BENÍCIO TRETO PES</t>
  </si>
  <si>
    <t xml:space="preserve">BRENDA BARBOSA SOUZA</t>
  </si>
  <si>
    <t xml:space="preserve">BRENDA KAUANY DE FREITAS MENEZES</t>
  </si>
  <si>
    <t xml:space="preserve">BRUNA CIRQUEIRA MEDEIROS</t>
  </si>
  <si>
    <t xml:space="preserve">BRUNA DE FARIAS LIRA</t>
  </si>
  <si>
    <t xml:space="preserve">BRUNA ETIELLE DE JESUS PORTO</t>
  </si>
  <si>
    <t xml:space="preserve">EDMAR ALVES BENEDITO</t>
  </si>
  <si>
    <t xml:space="preserve">BRUNA PEREIRA GANDARA BASTOS</t>
  </si>
  <si>
    <t xml:space="preserve">DHIULY RANI ROCHA DE OLIVEIRA</t>
  </si>
  <si>
    <t xml:space="preserve">EMILLY EDUARDA ARAÚJO DE LIMA</t>
  </si>
  <si>
    <t xml:space="preserve">FLAVIA CRISTINA DE VASCONCELOS ANDRADE</t>
  </si>
  <si>
    <t xml:space="preserve">CAMILA DE CARVALHO SILVA</t>
  </si>
  <si>
    <t xml:space="preserve">CAMILA MENDES BRANDÃO</t>
  </si>
  <si>
    <t xml:space="preserve">GABRIELLA FERREIRA REIS</t>
  </si>
  <si>
    <t xml:space="preserve">CARLOS DANIEL SILVA CRUZ</t>
  </si>
  <si>
    <t xml:space="preserve">CARLOS HENRIQUE ARAÚJO OLIVEIRA</t>
  </si>
  <si>
    <t xml:space="preserve">CARLOS HENRIQUE CARVALHO DE SENNA</t>
  </si>
  <si>
    <t xml:space="preserve">CAROLINA LIMA DOS SANTOS DA ENCARNAÇÃO</t>
  </si>
  <si>
    <t xml:space="preserve">CASSIA GABRIELLE OLIVEIRA BEZERRA</t>
  </si>
  <si>
    <t xml:space="preserve">CAUANE LIMA DOS SANTOS</t>
  </si>
  <si>
    <t xml:space="preserve">HUGO SANDES ALCANTARA DE MORAIS</t>
  </si>
  <si>
    <t xml:space="preserve">CERFFI DREYK PEREIRA DA SILVA</t>
  </si>
  <si>
    <t xml:space="preserve">EDILEUSA CHAVESDA SILVA</t>
  </si>
  <si>
    <t xml:space="preserve">CLARA VITÓRIA SILVA</t>
  </si>
  <si>
    <t xml:space="preserve">CLAUDIANE CORREIA DA SILVA</t>
  </si>
  <si>
    <t xml:space="preserve">CLARA ROBERTA SANTOS NUNES</t>
  </si>
  <si>
    <t xml:space="preserve">DAIANE FEITOSA DA CONCEIÇÃO</t>
  </si>
  <si>
    <t xml:space="preserve">DANIEL ALMEIDA DE JESUS SANTOS</t>
  </si>
  <si>
    <t xml:space="preserve">DANIEL ALVES DE ANDRADE</t>
  </si>
  <si>
    <t xml:space="preserve">DANIEL RODRIGO FERREIRA DA SILVA</t>
  </si>
  <si>
    <t xml:space="preserve">ITALO DA SILVA AIRES</t>
  </si>
  <si>
    <t xml:space="preserve">DANIELA DOS SANTOS DE JESUS</t>
  </si>
  <si>
    <t xml:space="preserve">DARLY JADYELE TENÓRIO DA SILVA</t>
  </si>
  <si>
    <t xml:space="preserve">DAVI LUCCA SERPA DE JESUS</t>
  </si>
  <si>
    <t xml:space="preserve">DAVID PHELLYPE ITACARAMBI BORGES</t>
  </si>
  <si>
    <t xml:space="preserve">MATHIAS FIGUEREDO PEREIRA</t>
  </si>
  <si>
    <t xml:space="preserve">DEBORA VITORIA FERREIRA DA CUNHA</t>
  </si>
  <si>
    <t xml:space="preserve">DEBORAH RAQUEL GONÇALVES DE OLIVEIRA</t>
  </si>
  <si>
    <t xml:space="preserve">GILVÂNIA MARÇAL DA CONCEIÇÃO SANTOS</t>
  </si>
  <si>
    <t xml:space="preserve">DEIVYD CRISTYAN SANTOS MIRANDA</t>
  </si>
  <si>
    <t xml:space="preserve">DEJIANE DA SILVA ROCHA</t>
  </si>
  <si>
    <t xml:space="preserve">DEUSIVAN DE SOUSA SILVA</t>
  </si>
  <si>
    <t xml:space="preserve">DEYSIANE GOMES DOS SANTOS</t>
  </si>
  <si>
    <t xml:space="preserve">DHEISON NASCIMENTO DE OLIVEIRA</t>
  </si>
  <si>
    <t xml:space="preserve">DHENEFY HELOISE DOS SANTOS GOMES </t>
  </si>
  <si>
    <t xml:space="preserve">KEMILY LAIS NOGUEIRA DA SILVA</t>
  </si>
  <si>
    <t xml:space="preserve">IVAN PEDRO RODRIGUES DE SOUZA</t>
  </si>
  <si>
    <t xml:space="preserve">GEOVANA SANTOS COSTA</t>
  </si>
  <si>
    <t xml:space="preserve">DOUGLAS DE PAULA VIANA</t>
  </si>
  <si>
    <t xml:space="preserve">EDILENE ROMA SANTOS</t>
  </si>
  <si>
    <t xml:space="preserve">GELBER DE JESUS PEREIRA</t>
  </si>
  <si>
    <t xml:space="preserve">YASMIN CUNHA DE JESUS</t>
  </si>
  <si>
    <t xml:space="preserve">EDUARDA VITÓRIA SOARES DA SILVA</t>
  </si>
  <si>
    <t xml:space="preserve">DEIVIDE GUSTAVO FONSECA REIS</t>
  </si>
  <si>
    <t xml:space="preserve">EDUARDO PINHEIRO CARDOSO</t>
  </si>
  <si>
    <t xml:space="preserve">ELIANA CAVALCANTE DIAS</t>
  </si>
  <si>
    <t xml:space="preserve">ELIANE DE JESUS NASCIMENTO</t>
  </si>
  <si>
    <t xml:space="preserve">ELISÂNGELA DE SOUZA LOPES</t>
  </si>
  <si>
    <t xml:space="preserve">HADASSA DOS SANTOS DE BRITO</t>
  </si>
  <si>
    <t xml:space="preserve">ELIZA SANTANA DIAS</t>
  </si>
  <si>
    <t xml:space="preserve">ELLEN CHRISTIE MACHADO DE ARAÚJO</t>
  </si>
  <si>
    <t xml:space="preserve">ELOAH DE JESUS OLIVEIRA</t>
  </si>
  <si>
    <t xml:space="preserve">quinta-feira</t>
  </si>
  <si>
    <t xml:space="preserve">EMANOELLY RIBEIRO DUTRA</t>
  </si>
  <si>
    <t xml:space="preserve">EMANUELA OLIVEIRA DE SOUZA</t>
  </si>
  <si>
    <t xml:space="preserve">HELOIZA BORGES DA SILVA</t>
  </si>
  <si>
    <t xml:space="preserve">IZABELLA BARBOSA SOARES</t>
  </si>
  <si>
    <t xml:space="preserve">EMILLY BARBOSA DA SILVA</t>
  </si>
  <si>
    <t xml:space="preserve">LUAMAR ALEXANDRINA DE JESUS DE CERQUEIRA</t>
  </si>
  <si>
    <t xml:space="preserve">JOÃO PEDRO NASCIMENTO NOVAIS</t>
  </si>
  <si>
    <t xml:space="preserve">EMILY RODRIGUES DE FARIAS SANTOS</t>
  </si>
  <si>
    <t xml:space="preserve">MARINA PEREIRA ROCHA</t>
  </si>
  <si>
    <t xml:space="preserve">EMYLLE SOPHIA CASTRO SANTOS</t>
  </si>
  <si>
    <t xml:space="preserve">GREGORY EMANUEL CAMPOS DA SILVA</t>
  </si>
  <si>
    <t xml:space="preserve">ERIKA FERREIRA LOPES</t>
  </si>
  <si>
    <t xml:space="preserve">ERIKA MONTEIRO MIRANDA</t>
  </si>
  <si>
    <t xml:space="preserve">ERIKA SOUZA SANTOS</t>
  </si>
  <si>
    <t xml:space="preserve">ESTER GABRIELLY SOUZA GODINHO</t>
  </si>
  <si>
    <t xml:space="preserve">ETIO PEDREIRA DA CRUZ</t>
  </si>
  <si>
    <t xml:space="preserve">EVA VICTÓRIA DA SILVA PINHEIRO</t>
  </si>
  <si>
    <t xml:space="preserve">GESSICA DURVAL SILVA</t>
  </si>
  <si>
    <t xml:space="preserve">BRUNA DE SOUZA LOPES</t>
  </si>
  <si>
    <t xml:space="preserve">EYDSON MATOS JESUS </t>
  </si>
  <si>
    <t xml:space="preserve">MARCIO VITOR SANTOS DA SILVA</t>
  </si>
  <si>
    <t xml:space="preserve">CÉLIO DOS SANTOS JASKUSLKI</t>
  </si>
  <si>
    <t xml:space="preserve">FLÁVIA ALESSANDRA SILVA FERNANDES</t>
  </si>
  <si>
    <t xml:space="preserve">MAYSA EVELEN DOS SANTOS DE OLIVEIRA</t>
  </si>
  <si>
    <t xml:space="preserve">FLÁVIA DOS SANTOS DA CUNHA</t>
  </si>
  <si>
    <t xml:space="preserve">GABRIEL ARAÚJO LINS BASTOS </t>
  </si>
  <si>
    <t xml:space="preserve">GABRIEL HENRIQUE HOFF</t>
  </si>
  <si>
    <t xml:space="preserve">GABRIEL NUNES DOS SANTOS</t>
  </si>
  <si>
    <t xml:space="preserve">GABRIEL OTAVIO CAMERA DOS SANTOS</t>
  </si>
  <si>
    <t xml:space="preserve">GABRIEL VALENTIN DE JESUS SOUZA</t>
  </si>
  <si>
    <t xml:space="preserve">GABRIEL VICTOR NASCIMENTO SANTOS</t>
  </si>
  <si>
    <t xml:space="preserve">GABRIELA DE JESUS AZEVEDO</t>
  </si>
  <si>
    <t xml:space="preserve">GABRIELA DIEHL PEREIRA</t>
  </si>
  <si>
    <t xml:space="preserve">GABRIELA LAVINIA CAMERA DOS SANTOS</t>
  </si>
  <si>
    <t xml:space="preserve">PAULO GABRIEL SANTOS SOUZA</t>
  </si>
  <si>
    <t xml:space="preserve">YASMIM RIBEIRO DE SOUZA</t>
  </si>
  <si>
    <t xml:space="preserve">GABRIELLY PINHEIRO DA SILVA</t>
  </si>
  <si>
    <t xml:space="preserve">GEANE EDUARDO DOS SANTOS</t>
  </si>
  <si>
    <t xml:space="preserve">HEMILLY OLIVEIRA XAVIER</t>
  </si>
  <si>
    <t xml:space="preserve">JOÃO ANTONIO BISPO LOPES</t>
  </si>
  <si>
    <t xml:space="preserve">GEORGIA VALERIA DOS SANTOS VERISSIMO</t>
  </si>
  <si>
    <t xml:space="preserve">ANA  CRISTINA DO NASCIMENTO DOS SANTOS</t>
  </si>
  <si>
    <t xml:space="preserve">BRUNA QUEIRÓS ALVES</t>
  </si>
  <si>
    <t xml:space="preserve">MAGNO CARDOSO DA SILVA</t>
  </si>
  <si>
    <t xml:space="preserve">ÂNGELA DA CRUZ DE JESUS</t>
  </si>
  <si>
    <t xml:space="preserve">GIOVANA DE SOUZA NERES</t>
  </si>
  <si>
    <t xml:space="preserve">LUMA BEATRIZ DA SILVA DE CASTRO</t>
  </si>
  <si>
    <t xml:space="preserve">GISELLE DA SILVA PASSOS BORGES</t>
  </si>
  <si>
    <t xml:space="preserve">JENIFER GABRIELE SANTOS DA ROCHA</t>
  </si>
  <si>
    <t xml:space="preserve">CARINE OLIVEIRA DA SILVA</t>
  </si>
  <si>
    <t xml:space="preserve">JOÃO VITOR MORREIRA DOS SANTOS</t>
  </si>
  <si>
    <t xml:space="preserve">GUILHERME SANTANA MOREIRA DA SILVA</t>
  </si>
  <si>
    <t xml:space="preserve">GUILHERMY OLIVEIRA DE NOVAES</t>
  </si>
  <si>
    <t xml:space="preserve">GUSTAVO HENRIQUE OLIVEIRA CARVALHO</t>
  </si>
  <si>
    <t xml:space="preserve">RAIANE DOS SANTOS  BRANDÃO</t>
  </si>
  <si>
    <t xml:space="preserve">HAILA VITORIA ALMEIDA DA SILVA</t>
  </si>
  <si>
    <t xml:space="preserve">HALLERANDRO NASCIMENTO DUARTE</t>
  </si>
  <si>
    <t xml:space="preserve">HALLY DA SILVA DOS SANTOS</t>
  </si>
  <si>
    <t xml:space="preserve">HEITOR ZINI ALMEIDA</t>
  </si>
  <si>
    <t xml:space="preserve">HELOISA SANTOS DE ALMEIDA</t>
  </si>
  <si>
    <t xml:space="preserve">TATIELLY VITORIA NUNES SOUZA</t>
  </si>
  <si>
    <t xml:space="preserve">MARIA EDUARDA SILVA QUARESMA LIMA</t>
  </si>
  <si>
    <t xml:space="preserve">HENRIQUE DA SILVA SANTOS</t>
  </si>
  <si>
    <t xml:space="preserve">HENRIQUE GONÇALVES DAL MOLIN</t>
  </si>
  <si>
    <t xml:space="preserve">HENRY GABRIEL DE SOUZA LIMA</t>
  </si>
  <si>
    <t xml:space="preserve">HEVELYN  SANTOS DA SILVA</t>
  </si>
  <si>
    <t xml:space="preserve">HEVELYN SANTOS DA SILVA</t>
  </si>
  <si>
    <t xml:space="preserve">HIGOR GABRIEL DA SILVA VILELA</t>
  </si>
  <si>
    <t xml:space="preserve">HILLARY SILVA DOS SANTOS</t>
  </si>
  <si>
    <t xml:space="preserve">THIAGO JOSÉ RAIMUNDI</t>
  </si>
  <si>
    <t xml:space="preserve">IALLY BRAZ OLIVEIRA</t>
  </si>
  <si>
    <t xml:space="preserve">VINICIUS SOUZA MENDES</t>
  </si>
  <si>
    <t xml:space="preserve">IGO SILVA DE OLIVEIRA</t>
  </si>
  <si>
    <t xml:space="preserve">IRIS MILENA RODRIGUES DOS SANTOS</t>
  </si>
  <si>
    <t xml:space="preserve">IRLAN PEDRO NOGUEIRA DA SILVA</t>
  </si>
  <si>
    <t xml:space="preserve">ISAAC CAVALCANTE MOURA</t>
  </si>
  <si>
    <t xml:space="preserve">EDUARDO PANTOJA DA SILVA NUNES</t>
  </si>
  <si>
    <t xml:space="preserve">ALICIA ROBERTA DA SILVA</t>
  </si>
  <si>
    <t xml:space="preserve">GLECIOMARA FERREIRA DE SOUZA</t>
  </si>
  <si>
    <t xml:space="preserve">ISABELLA HELOISA DA SILVA RHODEN</t>
  </si>
  <si>
    <t xml:space="preserve">ISABELLA SANTANA  SOUZA </t>
  </si>
  <si>
    <t xml:space="preserve">ISABELLY BRAGA ARNEMANN</t>
  </si>
  <si>
    <t xml:space="preserve">ISRAEL MOTA DE JESUS</t>
  </si>
  <si>
    <t xml:space="preserve">MARIA EDUARDA SOUSA DAMACENO</t>
  </si>
  <si>
    <t xml:space="preserve">KEVEN DE JESUS NASCIMENTO</t>
  </si>
  <si>
    <t xml:space="preserve">ITALO DA SILVA ARAÚJO</t>
  </si>
  <si>
    <t xml:space="preserve">IURE DE OLIVEIRA  ALVES</t>
  </si>
  <si>
    <t xml:space="preserve">KAROLINE MOTA DE JESUS</t>
  </si>
  <si>
    <t xml:space="preserve">ANA CLARA DE OLIVEIRA ROCHA</t>
  </si>
  <si>
    <t xml:space="preserve">JADE EMANUELLE SILVA DOS SANTOS</t>
  </si>
  <si>
    <t xml:space="preserve">JAIANE LIMA CONCEIÇÃO</t>
  </si>
  <si>
    <t xml:space="preserve">JAINE DOS SANTOS  ALMEIDA</t>
  </si>
  <si>
    <t xml:space="preserve">ERICA ALVES SANTOS</t>
  </si>
  <si>
    <t xml:space="preserve">JAMILE ALVES DOS SANTOS</t>
  </si>
  <si>
    <t xml:space="preserve">JAMILE BARBOSA DOS SANTOS</t>
  </si>
  <si>
    <t xml:space="preserve">DANIEL SOUZA SANTANA</t>
  </si>
  <si>
    <t xml:space="preserve">JANIO BRAHMS ANTAS VERISSIMO JUNIOR </t>
  </si>
  <si>
    <t xml:space="preserve">JAYNE DA SILVA MAIA</t>
  </si>
  <si>
    <t xml:space="preserve">JEAN LUCAS CAMPOS AVELINO</t>
  </si>
  <si>
    <t xml:space="preserve">EMILLY CARVALHO DOS SANTOS</t>
  </si>
  <si>
    <t xml:space="preserve">JHENNIFER MEDEIROS DE JESUS</t>
  </si>
  <si>
    <t xml:space="preserve">JHONATA DE MOURA MACEDO</t>
  </si>
  <si>
    <t xml:space="preserve">JHONATA DE SOUZA DOS ANJOS</t>
  </si>
  <si>
    <t xml:space="preserve">GEISIANE VIEIRA DA SILVA E SILVA</t>
  </si>
  <si>
    <t xml:space="preserve">STELA DE JESUS DA ROCHA</t>
  </si>
  <si>
    <t xml:space="preserve">JOÃO BARBOSA DIAS DOS SANTOS NETO</t>
  </si>
  <si>
    <t xml:space="preserve">JOÃO FRANCISCO MARTISN FERREIRA</t>
  </si>
  <si>
    <t xml:space="preserve">JOÃO LUCAS CARVALHO BONFIM</t>
  </si>
  <si>
    <t xml:space="preserve">JOÃO PEDRO APARECIDO DE LIMA</t>
  </si>
  <si>
    <t xml:space="preserve">ANA JÚLIA SANCHO PAIVA SANTOS</t>
  </si>
  <si>
    <t xml:space="preserve">GIOVANNA BORGES DA PAIXÃO</t>
  </si>
  <si>
    <t xml:space="preserve">JONATAN GOMES ALVES</t>
  </si>
  <si>
    <t xml:space="preserve">JONATHAS DE QUEIROZ SANTOS</t>
  </si>
  <si>
    <t xml:space="preserve">JOSÉ CARLOS MASCARENHAS FILHO</t>
  </si>
  <si>
    <t xml:space="preserve">JUCIMEIRE OLIVEIRA DA SILVA</t>
  </si>
  <si>
    <t xml:space="preserve">JULIA ALVES PAES</t>
  </si>
  <si>
    <t xml:space="preserve">JULIANA DE LIMA MAGALHÃES</t>
  </si>
  <si>
    <t xml:space="preserve">JULIANA MENDES DA COSTA</t>
  </si>
  <si>
    <t xml:space="preserve">VICTOR OLIVEIRA DA SILVA</t>
  </si>
  <si>
    <t xml:space="preserve">JULIO CÉZAR SOUZA SANTOS</t>
  </si>
  <si>
    <t xml:space="preserve">ANNY KETHELLEY DA CRUZ SILVA</t>
  </si>
  <si>
    <t xml:space="preserve">JULLIA ALMEIDA OLIVEIRA</t>
  </si>
  <si>
    <t xml:space="preserve">JUSSIMARA DOS SANTOS BARBOSA</t>
  </si>
  <si>
    <t xml:space="preserve">KAILANE DE JESUS ROCHA</t>
  </si>
  <si>
    <t xml:space="preserve">KAIO GABRIEL RODRIGUES SANTANA</t>
  </si>
  <si>
    <t xml:space="preserve">KAIQUE CRUZ SANTOS</t>
  </si>
  <si>
    <t xml:space="preserve">KALISOM SOARES DA CRUZ</t>
  </si>
  <si>
    <t xml:space="preserve">KARINE APARECIDA DE ARAÚJO ANTONIO</t>
  </si>
  <si>
    <t xml:space="preserve">KAROLAYNE SANTOS DA SILVA</t>
  </si>
  <si>
    <t xml:space="preserve">ALANDIEK ALMEIDA DA SILVA</t>
  </si>
  <si>
    <t xml:space="preserve">KATIA LETICIA DE JESUS ROCHA</t>
  </si>
  <si>
    <t xml:space="preserve">ARTHUR DA SILVA EDMANN</t>
  </si>
  <si>
    <t xml:space="preserve">KATILLY BEATRICE SILVA DE JESUS</t>
  </si>
  <si>
    <t xml:space="preserve">KAUAN MIRANDA DOS SANTOS</t>
  </si>
  <si>
    <t xml:space="preserve">KAUANE VITORIA DA SILVA ZAMARCHI</t>
  </si>
  <si>
    <t xml:space="preserve">KAUANY DE ARAUJO MELO</t>
  </si>
  <si>
    <t xml:space="preserve">KAYO VYKTOR ALVES RODRIGUES</t>
  </si>
  <si>
    <t xml:space="preserve">KEILANY MIRELLE DOS SANTOS OLIVEIRA</t>
  </si>
  <si>
    <t xml:space="preserve">BRUNO EDUARDO CARNEIRO DOS SANTOS</t>
  </si>
  <si>
    <t xml:space="preserve">ALINE SILVA</t>
  </si>
  <si>
    <t xml:space="preserve">RAYKKONEN PIMENTEL REIS</t>
  </si>
  <si>
    <t xml:space="preserve">LUCIANO GOMES SAMPAIO FILHO</t>
  </si>
  <si>
    <t xml:space="preserve">LILIANE SANTOS FERREIRA</t>
  </si>
  <si>
    <t xml:space="preserve">MICHELE SANTOS LIMA</t>
  </si>
  <si>
    <t xml:space="preserve">LARA  YORRANA OLIEIRA DE MELO</t>
  </si>
  <si>
    <t xml:space="preserve">LARA JAMILE DOS SANTOS ALBUQUERQUE</t>
  </si>
  <si>
    <t xml:space="preserve">LARA SOFIA DOS SANTOS FIGUEIROA</t>
  </si>
  <si>
    <t xml:space="preserve">LARA VITORIA DA SILVA QUEIROZ</t>
  </si>
  <si>
    <t xml:space="preserve">DAYVSON MAGNO BORGES DO NASCIMENTO</t>
  </si>
  <si>
    <t xml:space="preserve">LAUANE MOREIRA LOPES</t>
  </si>
  <si>
    <t xml:space="preserve">LAURA VITORIA VARELO BARBOSA</t>
  </si>
  <si>
    <t xml:space="preserve">LAUREN JAILA BARROS E SILVA</t>
  </si>
  <si>
    <t xml:space="preserve">LAYANY FRANCISCA DE JESUS</t>
  </si>
  <si>
    <t xml:space="preserve">LAYSA EMANUELLY ARAÚJO DE MENDONÇA</t>
  </si>
  <si>
    <t xml:space="preserve">LEONARDO SILVA DE MATOS</t>
  </si>
  <si>
    <t xml:space="preserve">LÉTICIA SILVA ALMEIDA</t>
  </si>
  <si>
    <t xml:space="preserve">LEVY LUCAS DE ALBUQUERQUE PADIM</t>
  </si>
  <si>
    <t xml:space="preserve">LIDINAY CAMPOS DA ROCHA</t>
  </si>
  <si>
    <t xml:space="preserve">LORENA MARIA DA SILVA LOURA</t>
  </si>
  <si>
    <t xml:space="preserve">LOHANNY BENICIO DE SOUZA</t>
  </si>
  <si>
    <t xml:space="preserve">ISABELLA DO NASCIMENTO CERQUEIRA</t>
  </si>
  <si>
    <t xml:space="preserve">LORENA ISABELA SILVA DE JESUS</t>
  </si>
  <si>
    <t xml:space="preserve">NATALY SANTOS DA SILVA </t>
  </si>
  <si>
    <t xml:space="preserve">NICALERE ARAÚJO SUZART</t>
  </si>
  <si>
    <t xml:space="preserve">LORRANY DA SILVA SOUZA</t>
  </si>
  <si>
    <t xml:space="preserve">VITOR JUNIOR ROCHA DOS SANTOS</t>
  </si>
  <si>
    <t xml:space="preserve">LUAN DA SILVA COELHO</t>
  </si>
  <si>
    <t xml:space="preserve">LUANA ALVES SANTIAGO DE FREITAS</t>
  </si>
  <si>
    <t xml:space="preserve">LUANA MARTINS DOS SANTOS</t>
  </si>
  <si>
    <t xml:space="preserve">LUCAS ABRAAO ARAÚJO DA SILVA</t>
  </si>
  <si>
    <t xml:space="preserve">LUCAS HENRIQUE CARDOSO </t>
  </si>
  <si>
    <t xml:space="preserve">CRISTIANE SOUZA LEAL </t>
  </si>
  <si>
    <t xml:space="preserve">LUCIEIDE FONSECA DE SOUZA</t>
  </si>
  <si>
    <t xml:space="preserve">LUEUZA CECILIA DE JESUS NOVAIS</t>
  </si>
  <si>
    <t xml:space="preserve">LUIS FELIPE SILVA DE OLIVEIRA</t>
  </si>
  <si>
    <t xml:space="preserve">LUIS GUSTAVO ALVES CUSTODIO</t>
  </si>
  <si>
    <t xml:space="preserve">LUIZ HENRY COSTA RODRIGUES</t>
  </si>
  <si>
    <t xml:space="preserve">NAIARA JESUS DA SILVA</t>
  </si>
  <si>
    <t xml:space="preserve">LUNA MARIA  NUNES SOARES</t>
  </si>
  <si>
    <t xml:space="preserve">LUZIA CELESTINA BORGES</t>
  </si>
  <si>
    <t xml:space="preserve">sábado</t>
  </si>
  <si>
    <t xml:space="preserve">LUZIMAR ALVES DE SOUZA</t>
  </si>
  <si>
    <t xml:space="preserve">LORENA BRITO DOS SANTOS</t>
  </si>
  <si>
    <t xml:space="preserve">MAILANE RIBEIRO DOS SANTOS</t>
  </si>
  <si>
    <t xml:space="preserve">MARA JANE SANTOS DE ALENCAR</t>
  </si>
  <si>
    <t xml:space="preserve">MARCELA ALVES DA SILVA</t>
  </si>
  <si>
    <t xml:space="preserve">MARCELLA TEODORO  REIS BISPO</t>
  </si>
  <si>
    <t xml:space="preserve">EMANUELLY JESUS DA SILVA</t>
  </si>
  <si>
    <t xml:space="preserve">SUYANE DE MONTE  FILGUEIRA FLOR</t>
  </si>
  <si>
    <t xml:space="preserve">NAILSON BENTA DA SILVA</t>
  </si>
  <si>
    <t xml:space="preserve">MARI ELLEN DE SOUSA</t>
  </si>
  <si>
    <t xml:space="preserve">MARIA  EDUARDA SANTOS SILVA </t>
  </si>
  <si>
    <t xml:space="preserve">MARIA ALICE BARBOSA DE SENA</t>
  </si>
  <si>
    <t xml:space="preserve">MARIA CLARA BISPO DOS SANTOS</t>
  </si>
  <si>
    <t xml:space="preserve">MARIA CLARA DE SOUSA OLIVEIRA</t>
  </si>
  <si>
    <t xml:space="preserve">MARIA CLARA NASCIMENTO BARBOSA</t>
  </si>
  <si>
    <t xml:space="preserve">MARIA DE JESUS PEREIRA DA SILVA</t>
  </si>
  <si>
    <t xml:space="preserve">MARIA EDUARDA ALVES DA CRUZ</t>
  </si>
  <si>
    <t xml:space="preserve">MARIA EDUARDA DAS CHAGAS ALVES</t>
  </si>
  <si>
    <t xml:space="preserve">MARIA EDUARDA DE SOUZA AMARO</t>
  </si>
  <si>
    <t xml:space="preserve">MARIA EDUARDA PIRES LEITE</t>
  </si>
  <si>
    <t xml:space="preserve">TAUANNE DOS SANTOS ALMEIDA</t>
  </si>
  <si>
    <t xml:space="preserve">JAMILLY BAHIA DA SILVA</t>
  </si>
  <si>
    <t xml:space="preserve">MARIA EDUARDA VIEIRA CHAVES</t>
  </si>
  <si>
    <t xml:space="preserve">MARIA FERNANDA DA SILVA  ALVES</t>
  </si>
  <si>
    <t xml:space="preserve">MARIA FERNANDA MOREIRA OLIVEIRA</t>
  </si>
  <si>
    <t xml:space="preserve">MARIA FERNANDA SILVA BARBOSA</t>
  </si>
  <si>
    <t xml:space="preserve">MARIA GABRYELLE MOREIRA NASCIMENTO</t>
  </si>
  <si>
    <t xml:space="preserve">MARIA HADASSA PEREIRA ALVES </t>
  </si>
  <si>
    <t xml:space="preserve">MARIA HISLANY DE ALMEIDA DOMINGUES </t>
  </si>
  <si>
    <t xml:space="preserve">MARIA LÚCIA DE ALMEIDA SUZARTE</t>
  </si>
  <si>
    <t xml:space="preserve">MARIA LUIZA RODRIGUES BRANDÃO</t>
  </si>
  <si>
    <t xml:space="preserve">MARIA LUIZA SCALABRINE DA ROCHA</t>
  </si>
  <si>
    <t xml:space="preserve">MARIA RENATA RODRIGUES DOS SANTOS PEREIRA</t>
  </si>
  <si>
    <t xml:space="preserve">MARIA RITTA SIMEONE LIMA DA SILVA</t>
  </si>
  <si>
    <t xml:space="preserve">MARIA VITÓRIA SOUZA PERUZO</t>
  </si>
  <si>
    <t xml:space="preserve">MARIAH XAVIER RAMOS DA SILVA</t>
  </si>
  <si>
    <t xml:space="preserve">MARIANA SANTOS ALVES</t>
  </si>
  <si>
    <t xml:space="preserve">MARIANE DE SOUZA ARAÚJO</t>
  </si>
  <si>
    <t xml:space="preserve">MARIANNE SILVA DE ARAUJO</t>
  </si>
  <si>
    <t xml:space="preserve">MARICELIA SOUZA DOS SANTOS</t>
  </si>
  <si>
    <t xml:space="preserve">MARIEWILLEY BEZERRA DE OLIVEIRA</t>
  </si>
  <si>
    <t xml:space="preserve">EMMANUEL JERÔNIMO PENNA MOTTA</t>
  </si>
  <si>
    <t xml:space="preserve">BRUNO REIS DOS SANTOS</t>
  </si>
  <si>
    <t xml:space="preserve">MATHEUS GOMES BARRETO</t>
  </si>
  <si>
    <t xml:space="preserve">iASMIN VICTORIA AMORIM DE SOUZA</t>
  </si>
  <si>
    <t xml:space="preserve">VITOR GABRIEL DE OLIVERIA COUTO</t>
  </si>
  <si>
    <t xml:space="preserve">MAXSOEL RODRIGUES DOS SANTOS </t>
  </si>
  <si>
    <t xml:space="preserve">JULLIA ALMEIDA  OLIVEIRA </t>
  </si>
  <si>
    <t xml:space="preserve">MELISSA MAMEDE DIAS BASTOS</t>
  </si>
  <si>
    <t xml:space="preserve">MENEGUEL SILVINO DOS SANTOS</t>
  </si>
  <si>
    <t xml:space="preserve">JOANDERSON DE JESUS SÃO LEÃO OSSOVSKI</t>
  </si>
  <si>
    <t xml:space="preserve">MIGUEL ANGELO BRITO DA SILVA</t>
  </si>
  <si>
    <t xml:space="preserve">MIGUEL DE OLIVEIRA FERNANDES </t>
  </si>
  <si>
    <t xml:space="preserve">MIGUEL DE OLIVEIRA FERNANDES</t>
  </si>
  <si>
    <t xml:space="preserve">MIGUEL PIRES CAVALCANTE</t>
  </si>
  <si>
    <t xml:space="preserve">MIKAEL NASCIMENTO DA SILVA</t>
  </si>
  <si>
    <t xml:space="preserve">MILANY MOURA XAVIER</t>
  </si>
  <si>
    <t xml:space="preserve">MILENA DE CARVALHO SILVA</t>
  </si>
  <si>
    <t xml:space="preserve">ELISEU DE SOUZA LOPES</t>
  </si>
  <si>
    <t xml:space="preserve">KATILA CAROLAINE DA ROCHA PEREIRA</t>
  </si>
  <si>
    <t xml:space="preserve">MYLLENA SOARES BARBOSA</t>
  </si>
  <si>
    <t xml:space="preserve">NADIELE SAMPAIO DA SILVA</t>
  </si>
  <si>
    <t xml:space="preserve">NADSON ALMEIDA GUEDES</t>
  </si>
  <si>
    <t xml:space="preserve">EMANUELLI MORAIS DA SILVA BATISTA</t>
  </si>
  <si>
    <t xml:space="preserve">GABRIELLE DE ALMEIDA CRUZ</t>
  </si>
  <si>
    <t xml:space="preserve">RAFAEL ASSIS DA SILVA</t>
  </si>
  <si>
    <t xml:space="preserve">NATHÁLIA SOUTO LIMA</t>
  </si>
  <si>
    <t xml:space="preserve">MATEUS DE CARVALHO BATISTA</t>
  </si>
  <si>
    <t xml:space="preserve">OTÁVIO ELIZIARIO DA COSTA</t>
  </si>
  <si>
    <t xml:space="preserve">PÂMELA DA SILVA DOS SANTOS</t>
  </si>
  <si>
    <t xml:space="preserve">PATRICIA CALIXTO DOS SANTOS</t>
  </si>
  <si>
    <t xml:space="preserve">PAULA FERNANDA ARAÚJO RIBEIRO</t>
  </si>
  <si>
    <t xml:space="preserve">PAULA TAMIRES VAGNER MENDONÇA</t>
  </si>
  <si>
    <t xml:space="preserve">PAULO CESAR SANTOS NOVAIS</t>
  </si>
  <si>
    <t xml:space="preserve">LARISSA  ALVES RODRIGUES</t>
  </si>
  <si>
    <t xml:space="preserve">LORRANNY DA SILVA MARTINS</t>
  </si>
  <si>
    <t xml:space="preserve">PEDRO DIERINGS MUTERLE</t>
  </si>
  <si>
    <t xml:space="preserve">PEDRO HENRIQUE CIESLINSKI DE MELO</t>
  </si>
  <si>
    <t xml:space="preserve">ADRIANA SIMONE OLIVEIRA GRIEP</t>
  </si>
  <si>
    <t xml:space="preserve">PIETRO SANTOS DE ALMEIDA</t>
  </si>
  <si>
    <t xml:space="preserve">POLIANA NASCIMENTO DOS SANTOS</t>
  </si>
  <si>
    <t xml:space="preserve">PRISCILA SOUZA DE ALMEIDA</t>
  </si>
  <si>
    <t xml:space="preserve">QUEZYA PEREIRA SANTOS</t>
  </si>
  <si>
    <t xml:space="preserve">THALIA GABRIELA RECK</t>
  </si>
  <si>
    <t xml:space="preserve">RAFAEL FELIX DE ARAÚJO</t>
  </si>
  <si>
    <t xml:space="preserve">RAFAEL PLETSLK LIMA</t>
  </si>
  <si>
    <t xml:space="preserve">MARCIA JAIANNE DA SILVA LIMA</t>
  </si>
  <si>
    <t xml:space="preserve">RAIDALVA BOMFIM MAGALHÃES</t>
  </si>
  <si>
    <t xml:space="preserve">RAISLA DA SILVA ALCANTARA</t>
  </si>
  <si>
    <t xml:space="preserve">RAISSA DO NASCIMENTO DA SILVA</t>
  </si>
  <si>
    <t xml:space="preserve">RAISSA NUNES DE CARVALHOS</t>
  </si>
  <si>
    <t xml:space="preserve">RAISSA RODRIGUES DE OLIVEIRA</t>
  </si>
  <si>
    <t xml:space="preserve">RAYANE MUNIZ PONTES </t>
  </si>
  <si>
    <t xml:space="preserve">ANACLESSE DE SOUZA PAZ</t>
  </si>
  <si>
    <t xml:space="preserve">REBECA ELOA SOUZA DO NASCIMENTO</t>
  </si>
  <si>
    <t xml:space="preserve">REBECA SOARES DO NASCIMENTO SOUZA</t>
  </si>
  <si>
    <t xml:space="preserve">REINAN RODRIGUES OLIVEIRA</t>
  </si>
  <si>
    <t xml:space="preserve">RENATA DA SILVA ARAÚJO</t>
  </si>
  <si>
    <t xml:space="preserve">RENATA DE SOUZA MENDES </t>
  </si>
  <si>
    <t xml:space="preserve">ANA  PAULA DE OLIVEIRA </t>
  </si>
  <si>
    <t xml:space="preserve">RIQUELME RODRIGUES CARDOSO</t>
  </si>
  <si>
    <t xml:space="preserve">ROBERTO DOS SANTOS SILVA JUNIOR</t>
  </si>
  <si>
    <t xml:space="preserve">ROSILENE SANTOS EVANGELISTA </t>
  </si>
  <si>
    <t xml:space="preserve">ROZELANGE PEREIRA DE JESUS </t>
  </si>
  <si>
    <t xml:space="preserve">ROZIELE VITORIA FERREIRA RODRIGUES DE FRANÇA</t>
  </si>
  <si>
    <t xml:space="preserve">RUTE SILVA DOS SANTOS</t>
  </si>
  <si>
    <t xml:space="preserve">SABRINA ALVES CAETANO DA SILVA</t>
  </si>
  <si>
    <t xml:space="preserve">SABRINA BENICIO DA SILVA SOUZA</t>
  </si>
  <si>
    <t xml:space="preserve">MATHEUS PEREIRA DA SILVA MONTELES</t>
  </si>
  <si>
    <t xml:space="preserve">SAMARA GUIMARÃES ALCÂNTARA</t>
  </si>
  <si>
    <t xml:space="preserve">SAMIRA DA SILVA FIGUERÊDO</t>
  </si>
  <si>
    <t xml:space="preserve">SAMUEL ALMIR DA SILVA OLIVEIRA</t>
  </si>
  <si>
    <t xml:space="preserve">EVELLYN DO NASCIMENTO CERQUEIRA</t>
  </si>
  <si>
    <t xml:space="preserve">SAMUEL RODRIGUES DA SILVA</t>
  </si>
  <si>
    <t xml:space="preserve">SAMYRA EMANUELY OLIVEIRA DOS SANTOS</t>
  </si>
  <si>
    <t xml:space="preserve">SANDRELEIA SILVA SÁ MORAIS</t>
  </si>
  <si>
    <t xml:space="preserve">SARAH NUNES GOMES</t>
  </si>
  <si>
    <t xml:space="preserve">SILVANIA PEREIRA DOS SANTOS CAMARA</t>
  </si>
  <si>
    <t xml:space="preserve">SIRLEIDE CAVALCANTE SILVA</t>
  </si>
  <si>
    <t xml:space="preserve">SOFIA SILVA DO NASCIMENTO</t>
  </si>
  <si>
    <t xml:space="preserve"> EDMUNDO SANTOS</t>
  </si>
  <si>
    <t xml:space="preserve">SOPHIA DA SILVA SANTOS</t>
  </si>
  <si>
    <t xml:space="preserve">SOPHIA FERREIRA DA SILVA</t>
  </si>
  <si>
    <t xml:space="preserve">SOPHIA OLIVEIRA DE SOUSA</t>
  </si>
  <si>
    <t xml:space="preserve">SOPHIA OLIVEIRA TELES</t>
  </si>
  <si>
    <t xml:space="preserve">GABRIELA SOUZA DOS SANTOS</t>
  </si>
  <si>
    <t xml:space="preserve">EVELY DA CRUZ DE JESUS</t>
  </si>
  <si>
    <t xml:space="preserve">MARCOS HENRIQUE BERNARDI DOS REIS</t>
  </si>
  <si>
    <t xml:space="preserve">TAÍNA DOS SANTOS SILVA</t>
  </si>
  <si>
    <t xml:space="preserve">TAIS BOAVENTURA DOS SANTOS </t>
  </si>
  <si>
    <t xml:space="preserve">TATIANA PEREIRA DOS SANTOS</t>
  </si>
  <si>
    <t xml:space="preserve">JOÃO LUCAS PEREIRA DA SILVA</t>
  </si>
  <si>
    <t xml:space="preserve">MURILO DO NASCIMENTO MARQUES</t>
  </si>
  <si>
    <t xml:space="preserve">TATIELY ALVES COSTA</t>
  </si>
  <si>
    <t xml:space="preserve">BRUNA LAYZA CAVALCANTE DA SILVA</t>
  </si>
  <si>
    <t xml:space="preserve">THAIS SILVA DOS SANTOS</t>
  </si>
  <si>
    <t xml:space="preserve">JOSÉ LUCAS DA SILVA OLIVEIRA SANTOS </t>
  </si>
  <si>
    <t xml:space="preserve">THIAGO DOS SANTOS DOS ANJOS</t>
  </si>
  <si>
    <t xml:space="preserve">RIGNER DOS SANTOS MOREIRA</t>
  </si>
  <si>
    <t xml:space="preserve">THALITA ISRAELLY CARDOSO VIEIRA</t>
  </si>
  <si>
    <t xml:space="preserve">THAUANY SANTOS DE OLIVEIRA</t>
  </si>
  <si>
    <t xml:space="preserve">PEDRO ARAUJO MOURA</t>
  </si>
  <si>
    <t xml:space="preserve">THÉO RODRIGUES TEIXEIRA BISPO</t>
  </si>
  <si>
    <t xml:space="preserve">THIAGO ALVES LOPES</t>
  </si>
  <si>
    <t xml:space="preserve">YANNE MELO VIEIRA</t>
  </si>
  <si>
    <t xml:space="preserve">SAMANDA ALMEIDA NUNES</t>
  </si>
  <si>
    <t xml:space="preserve">THIAGO SANTOS DA ROCHA</t>
  </si>
  <si>
    <t xml:space="preserve">THOMAZ SANTOS TEODORO PEDROSO</t>
  </si>
  <si>
    <t xml:space="preserve">VALENTIN TRETO PES</t>
  </si>
  <si>
    <t xml:space="preserve">VANESSA BISPO TEIXEIRA</t>
  </si>
  <si>
    <t xml:space="preserve">VANESSA BRITO DE JESUS</t>
  </si>
  <si>
    <t xml:space="preserve">VANESSA DE ARAUJO GOES</t>
  </si>
  <si>
    <t xml:space="preserve">VICTOR DA SILVA NASCIMENTO</t>
  </si>
  <si>
    <t xml:space="preserve">VICTOR DANIEL BARROS DA SILVA</t>
  </si>
  <si>
    <t xml:space="preserve">VICTOR DAVI DE SOUZA HENRIQUE</t>
  </si>
  <si>
    <t xml:space="preserve">VICTOR FRANCISCO GEHLEN</t>
  </si>
  <si>
    <t xml:space="preserve">SAMUEL GERFERSON MIRANDA LIMA</t>
  </si>
  <si>
    <t xml:space="preserve">THAYNARA ALMEIDA ANDRADE</t>
  </si>
  <si>
    <t xml:space="preserve">VITHÓRIA EMERICK SANTOS</t>
  </si>
  <si>
    <t xml:space="preserve">THALITA DA CRUZ LEANDRO</t>
  </si>
  <si>
    <t xml:space="preserve">VITOR JUNIOR CARDOSO DOS SANTOS</t>
  </si>
  <si>
    <t xml:space="preserve">ADRIANO DA SILVA LIMA</t>
  </si>
  <si>
    <t xml:space="preserve">VITORIA FIGUEREDO DE ALMEIDA</t>
  </si>
  <si>
    <t xml:space="preserve">VITORIA ROSA DE MELO</t>
  </si>
  <si>
    <t xml:space="preserve">WILLYAN ALVES DA CRUZ PEREIRA</t>
  </si>
  <si>
    <t xml:space="preserve">TATIANE CRISTINA SERRER ZANGIROLAMI</t>
  </si>
  <si>
    <t xml:space="preserve">YARLA VITORIA OLIVEIRA ARAÚJO</t>
  </si>
  <si>
    <t xml:space="preserve">YASMIM JESUS TORRES</t>
  </si>
  <si>
    <t xml:space="preserve">YASMIM OLIVEIRA DOS SANTOS</t>
  </si>
  <si>
    <t xml:space="preserve">GEOVANA CRISTINA FERNANDES CARVALHO</t>
  </si>
  <si>
    <t xml:space="preserve">CARMEM LUCIA RODRIGUES DA SILVA </t>
  </si>
  <si>
    <t xml:space="preserve">YASMIN DE OLIVEIRA DOURADO</t>
  </si>
  <si>
    <t xml:space="preserve">YNGRID DA SILVA FEITOSA</t>
  </si>
  <si>
    <t xml:space="preserve">YSLAN DA SILVA SANTOS</t>
  </si>
  <si>
    <t xml:space="preserve">YTALO WANDERSON SANTOS MACHADO</t>
  </si>
  <si>
    <t xml:space="preserve">DAVI DE JESUS PEQUENO</t>
  </si>
  <si>
    <t xml:space="preserve">JENIFY OLIVEIRA DE AMORIM SANTOS </t>
  </si>
  <si>
    <t xml:space="preserve">RAISSA AMORIM DE SENA</t>
  </si>
  <si>
    <t xml:space="preserve">HUGO CAUA DA  SILVA MUNIZ </t>
  </si>
  <si>
    <t xml:space="preserve">KAUAN LUCAS SILVA DOS SANTOS </t>
  </si>
  <si>
    <t xml:space="preserve">LUISA BERGAMO BEYER</t>
  </si>
  <si>
    <t xml:space="preserve">ISABELLY OLIMPIA BISPO </t>
  </si>
  <si>
    <t xml:space="preserve">JAQUELLINE CARDOSO SANTOS </t>
  </si>
  <si>
    <t xml:space="preserve">DAVI VILASSA RODRIGUES</t>
  </si>
  <si>
    <t xml:space="preserve">ANA  CLARA DOS SANTOS DA SILVA </t>
  </si>
  <si>
    <t xml:space="preserve">WENDEL LINO DE ARAÚJO </t>
  </si>
  <si>
    <t xml:space="preserve">BRENDO LEANDRO DE OLIVEIRA SILVA</t>
  </si>
  <si>
    <t xml:space="preserve"> </t>
  </si>
  <si>
    <t xml:space="preserve">DATA ATUAL</t>
  </si>
  <si>
    <t xml:space="preserve">DIEF</t>
  </si>
  <si>
    <t xml:space="preserve">ALUNO</t>
  </si>
  <si>
    <t xml:space="preserve">DIA DO CURSO</t>
  </si>
  <si>
    <t xml:space="preserve">TOTAL DE SEMANAS</t>
  </si>
  <si>
    <t xml:space="preserve">TOTAL DE SEMANAS CONCLUIDAS</t>
  </si>
  <si>
    <t xml:space="preserve">AULAS DO CURSO</t>
  </si>
  <si>
    <t xml:space="preserve">% AULAS CONCLUIDAS</t>
  </si>
  <si>
    <t xml:space="preserve">% DIAS CONCLUIDOS</t>
  </si>
  <si>
    <t xml:space="preserve">DATA DO ACOMPA.</t>
  </si>
  <si>
    <t xml:space="preserve">DIAS VERIFICADO</t>
  </si>
  <si>
    <t xml:space="preserve">STATUS</t>
  </si>
  <si>
    <t xml:space="preserve">RENOVAÇÕES</t>
  </si>
  <si>
    <t xml:space="preserve">SITUAÇÃO DO ACOMPANHAMENTO</t>
  </si>
  <si>
    <t xml:space="preserve">FICHA PREENCHIDA</t>
  </si>
  <si>
    <t xml:space="preserve">SARA PEREIRA DA SILVA</t>
  </si>
  <si>
    <t xml:space="preserve">ADRIELLY DO CARMO SANTOS</t>
  </si>
  <si>
    <t xml:space="preserve">ALESSANDRO OLIVEIRA DA SILVA</t>
  </si>
  <si>
    <t xml:space="preserve">CAIO DOS SANTOS FERREIRA</t>
  </si>
  <si>
    <t xml:space="preserve">LUIS RYAN SODRÉ COÊLHO</t>
  </si>
  <si>
    <t xml:space="preserve">MIGUEL CAMILLO PAGLIOSA</t>
  </si>
  <si>
    <t xml:space="preserve">ADRIAN MARQUES SANTOS</t>
  </si>
  <si>
    <t xml:space="preserve">AGHATA DA FRANÇA PEREIRA</t>
  </si>
  <si>
    <t xml:space="preserve">ALICIA VITÓRIA DE VASCONCELOS ANDRADE</t>
  </si>
  <si>
    <t xml:space="preserve">AMANDA RIBEIRO MARTINS</t>
  </si>
  <si>
    <t xml:space="preserve">CRISTINA LIMA DOS SANTOS</t>
  </si>
  <si>
    <t xml:space="preserve">DANILO DE SOUZA SANTOS</t>
  </si>
  <si>
    <t xml:space="preserve">FRANCIELEN DA SILVA BARROS</t>
  </si>
  <si>
    <t xml:space="preserve">BRUNA ETIELLE DE JESUS DARIO</t>
  </si>
  <si>
    <t xml:space="preserve">FRANCISCO DO NASCIMENTO SILVA</t>
  </si>
  <si>
    <t xml:space="preserve">HELOISA DE MACEDO DA SILVA</t>
  </si>
  <si>
    <t xml:space="preserve">ANDRÉ LUCAS DA ROCHA LOPES</t>
  </si>
  <si>
    <t xml:space="preserve">JÚLIO ALVES MARTINS</t>
  </si>
  <si>
    <t xml:space="preserve">AMANDA ANTUNES PALMEIRA</t>
  </si>
  <si>
    <t xml:space="preserve">ANA JULIA DE SOUZA SANTANA</t>
  </si>
  <si>
    <t xml:space="preserve">ANTÔNIA  AUDIRENE ALVES VIANA</t>
  </si>
  <si>
    <t xml:space="preserve">BEATRIZ MAGALHÃES DOS SANTOS</t>
  </si>
  <si>
    <t xml:space="preserve">BORIS ALECSANDER MAKOWICH FILHO</t>
  </si>
  <si>
    <t xml:space="preserve">CAMILA PRISCILA DE JESUS AZEVEDO</t>
  </si>
  <si>
    <t xml:space="preserve">ENZO VICTOR SANTOS MACEDO</t>
  </si>
  <si>
    <t xml:space="preserve">ERICK ANDRE PEREIRA DA SILVA</t>
  </si>
  <si>
    <t xml:space="preserve">FIUK EMANUEL  ALVES LIMA</t>
  </si>
  <si>
    <t xml:space="preserve">HENDRIWS HENRIQUE DA SILVA DE SOUZA</t>
  </si>
  <si>
    <t xml:space="preserve">INGRID SILVA DOS SANTOS</t>
  </si>
  <si>
    <t xml:space="preserve">ISA GABRIELLE SANTOS GOMES</t>
  </si>
  <si>
    <t xml:space="preserve">JACKSON NUNES DE CARVALHO</t>
  </si>
  <si>
    <t xml:space="preserve">JANICLEIS FELIX MACIEL FERREIRA</t>
  </si>
  <si>
    <t xml:space="preserve">JOANA CAJAIBA</t>
  </si>
  <si>
    <t xml:space="preserve">JOANA DE OLIVEIRA SANTOS </t>
  </si>
  <si>
    <t xml:space="preserve">JOVANNA ALVES DE SOUZA</t>
  </si>
  <si>
    <t xml:space="preserve">JUAN DA SILVA COSTA</t>
  </si>
  <si>
    <t xml:space="preserve">JUAN PEDRO TELES DA SILVA</t>
  </si>
  <si>
    <t xml:space="preserve">KELY VITÓRIA SANTOS EVANGELISTA</t>
  </si>
  <si>
    <t xml:space="preserve">LUCAS ALMEIDA BARBOSA</t>
  </si>
  <si>
    <t xml:space="preserve">MADNA ESTEFFANY MEDRADO DA CRUZ</t>
  </si>
  <si>
    <t xml:space="preserve">MARIA VITORIA MORAIS RODRIGUES</t>
  </si>
  <si>
    <t xml:space="preserve">MAYCON DA SILVA RIBEIRO</t>
  </si>
  <si>
    <t xml:space="preserve">NAIANA DOS SANTOS</t>
  </si>
  <si>
    <t xml:space="preserve">NATASHA HEVELLY DA COSTA RIBEIRO</t>
  </si>
  <si>
    <t xml:space="preserve">RAISSA FELIX MACIEL FERREIRA</t>
  </si>
  <si>
    <t xml:space="preserve">RICARDS DOS SANTOS FEITOZA</t>
  </si>
  <si>
    <t xml:space="preserve">RYAN SODRE DE SOUZA</t>
  </si>
  <si>
    <t xml:space="preserve">VINÍCIUS MACEDO FERREIRA</t>
  </si>
  <si>
    <t xml:space="preserve">VITOR HUGO DE SOUZA ARAÚJO</t>
  </si>
  <si>
    <t xml:space="preserve">ROBÉRIO OLIVEIRA SILVA MIRANDA JUNIOR</t>
  </si>
  <si>
    <t xml:space="preserve">YASMIM CLARA BRANDÃO FREITAS</t>
  </si>
  <si>
    <t xml:space="preserve">CAIO CERQUEIRA GOMES</t>
  </si>
  <si>
    <t xml:space="preserve">ANANDA MARIANE GAMA RODRIGUES</t>
  </si>
  <si>
    <t xml:space="preserve">CLÁUDIA MARIA DOS SANTOS</t>
  </si>
  <si>
    <t xml:space="preserve">DIMAS BATISTA GONÇALVES</t>
  </si>
  <si>
    <t xml:space="preserve">DJHENIFFER OLIVEIRA SANTOS</t>
  </si>
  <si>
    <t xml:space="preserve">EDINA PEREIRA DOS SANTOS</t>
  </si>
  <si>
    <t xml:space="preserve">EVELLEN ENDRIELLE DE JESUS GONZAGA</t>
  </si>
  <si>
    <t xml:space="preserve">FLAVIO MESQUITA DE BRITO</t>
  </si>
  <si>
    <t xml:space="preserve">DAVI DOURADO DA CRUZ SILVA</t>
  </si>
  <si>
    <t xml:space="preserve">GEOVANIA DA CONCEIÇÃO DE SOUZA</t>
  </si>
  <si>
    <t xml:space="preserve">HÍCARO RUAN DE MELO DA SILVA</t>
  </si>
  <si>
    <t xml:space="preserve">EDILANE DA CONCEIÇÃO GONZAGA</t>
  </si>
  <si>
    <t xml:space="preserve">EMERSON LEANDRO SANTANA DA SILVA</t>
  </si>
  <si>
    <t xml:space="preserve">ISABELLY DA SILVA MARÊS</t>
  </si>
  <si>
    <t xml:space="preserve">JOÃO PAULO VITORIA LIMA DE BRITO</t>
  </si>
  <si>
    <t xml:space="preserve">MARIA CLARA GOMES LEOPOLDO SILVA</t>
  </si>
  <si>
    <t xml:space="preserve">JOSÉ VITÓRIO CRUZ GUIMARÃES</t>
  </si>
  <si>
    <t xml:space="preserve">JUAN CARLOS MARQUES ROCHA</t>
  </si>
  <si>
    <t xml:space="preserve">NATHALI DOS SANTOS BRITO</t>
  </si>
  <si>
    <t xml:space="preserve">LARA KAILLANE DE SOUZA HENRIQUE</t>
  </si>
  <si>
    <t xml:space="preserve">MARIA VITORIA DOPS SANTOS SOUSA</t>
  </si>
  <si>
    <t xml:space="preserve">NO</t>
  </si>
  <si>
    <t xml:space="preserve">PEDRO DAVI SILVA SANTOS</t>
  </si>
  <si>
    <t xml:space="preserve">VITÓRIA DE OLIVEIRA DA SILVA</t>
  </si>
  <si>
    <t xml:space="preserve">RAYSSA DA CRUZ SOUSA</t>
  </si>
  <si>
    <t xml:space="preserve">EDUARDO DE MENEZES NASCIMENTO</t>
  </si>
  <si>
    <t xml:space="preserve">TIAGO ESTEVAM MATOS COSTA</t>
  </si>
  <si>
    <t xml:space="preserve">CASCIANA SANTOS DOS REIS</t>
  </si>
  <si>
    <t xml:space="preserve">WESLEY RODRIGUES DO MIRANDA</t>
  </si>
  <si>
    <t xml:space="preserve">THALITA GOMES MENEZES</t>
  </si>
  <si>
    <t xml:space="preserve">VALERIA SANTOS WENDLER</t>
  </si>
  <si>
    <t xml:space="preserve">VITOR HUGO BARROS BISSOTTO</t>
  </si>
  <si>
    <t xml:space="preserve">WILLIAM SILVA LOURA</t>
  </si>
  <si>
    <t xml:space="preserve">YASMIN DA SILVA SANTOS</t>
  </si>
  <si>
    <t xml:space="preserve">YNGRID THAYNA CASTRO CARVALHO</t>
  </si>
  <si>
    <t xml:space="preserve">YASMIN DE OLIVEIRA NOVAIS</t>
  </si>
  <si>
    <t xml:space="preserve">PEDRO MIGUEL DOS SANTOS FERREIRA</t>
  </si>
  <si>
    <t xml:space="preserve">CAMILLY AIRES DE SOUZA SILVA</t>
  </si>
  <si>
    <t xml:space="preserve">AISLANE NERES DE JESUS SANTANA CRUZ</t>
  </si>
  <si>
    <t xml:space="preserve">BRENO BRAZ DE SOUZA</t>
  </si>
  <si>
    <t xml:space="preserve">DEBORA NERES DE JESUS SANTANA CRUZ</t>
  </si>
  <si>
    <t xml:space="preserve">DANIEL MOURA DE OLIVEIRA</t>
  </si>
  <si>
    <t xml:space="preserve">JAMILE SANTOS DOS ANJOS</t>
  </si>
  <si>
    <t xml:space="preserve">JOSÉ CICERO DOS SANTOS</t>
  </si>
  <si>
    <t xml:space="preserve">EDMUNDO CONCEIÇÃO DOS SANTOS</t>
  </si>
  <si>
    <t xml:space="preserve">KEVYLLY MANUELA BRITO LOPES</t>
  </si>
  <si>
    <t xml:space="preserve">GABRIEL DOS SANTOS GONÇALVES</t>
  </si>
  <si>
    <t xml:space="preserve">GUSTAVO SOUZA DE OLIVEIRA SANTOS</t>
  </si>
  <si>
    <t xml:space="preserve">IAGO ARAÚJO MACHADO</t>
  </si>
  <si>
    <t xml:space="preserve">LUCAS DAVID ALVES DE OLIVEIRA</t>
  </si>
  <si>
    <t xml:space="preserve">JAQUELINE AMALIA SILVEIRA DIAS</t>
  </si>
  <si>
    <t xml:space="preserve">JHONY ELSON SILVA SANTOS</t>
  </si>
  <si>
    <t xml:space="preserve">MARIA CLARA BRITO LOPES</t>
  </si>
  <si>
    <t xml:space="preserve">JOÃO PEDRO DOS SANTOS CAMARA</t>
  </si>
  <si>
    <t xml:space="preserve">MARJORIE ALICE BRAZ DE SOUZA</t>
  </si>
  <si>
    <t xml:space="preserve">MONELY LUCIA PEREIRA  DE CARVALHO</t>
  </si>
  <si>
    <t xml:space="preserve">KAVI SOUZA DOS SANTOS</t>
  </si>
  <si>
    <t xml:space="preserve">PEDRO HENRIQUE GONÇALVES DE JESUS</t>
  </si>
  <si>
    <t xml:space="preserve">PEDRO HENRIQUE MORAIS DOS SANTOS</t>
  </si>
  <si>
    <t xml:space="preserve">LIDIANE DE OLIVEIRA SIQUEIRA</t>
  </si>
  <si>
    <t xml:space="preserve">MARCOS VINÍCIUS SANTOS DE JESUS</t>
  </si>
  <si>
    <t xml:space="preserve">PEDRO HENRIQUE SANTANA SOUZA</t>
  </si>
  <si>
    <t xml:space="preserve">MARIA LUIZA SANTOS LIMA</t>
  </si>
  <si>
    <t xml:space="preserve">RADYLA DE SOUZA MONAIS</t>
  </si>
  <si>
    <t xml:space="preserve">MIRANI SAMPAIO MAIA</t>
  </si>
  <si>
    <t xml:space="preserve">RAQUEL MARIANA SENA COSTA</t>
  </si>
  <si>
    <t xml:space="preserve">RAQUEL SILVA DOS SANTOS</t>
  </si>
  <si>
    <t xml:space="preserve">RAYSSA DOS SANTOS LIMA</t>
  </si>
  <si>
    <t xml:space="preserve">WELLINGTON JESUS DOS SANTOS</t>
  </si>
  <si>
    <t xml:space="preserve">AMANDA VICTORIA DOS SANTOS LIMA</t>
  </si>
  <si>
    <t xml:space="preserve">AMANDA XAVIER DOS SANTOS</t>
  </si>
  <si>
    <t xml:space="preserve">ANA CAROLINA DE JESUS SANTOS</t>
  </si>
  <si>
    <t xml:space="preserve">ANA CAROLLINA DA PAIXÃO BARBOSA</t>
  </si>
  <si>
    <t xml:space="preserve">ANA CLARA SANTOS OLIVEIRA</t>
  </si>
  <si>
    <t xml:space="preserve">ANGELYNNA DA SILVA CARVALHO (INATIVA)</t>
  </si>
  <si>
    <t xml:space="preserve">ANTÔNIA GABRIELA VARGAS GOMES</t>
  </si>
  <si>
    <t xml:space="preserve">CLEUVES MOTA DE JESUS</t>
  </si>
  <si>
    <t xml:space="preserve">ELDER GUILHERME SILVA PASSOS</t>
  </si>
  <si>
    <t xml:space="preserve">ESTER DOS SANTOS PAIS</t>
  </si>
  <si>
    <t xml:space="preserve">EVERTON GONÇALVES COSTA</t>
  </si>
  <si>
    <t xml:space="preserve">EVILYN ALVES DE SOUZA</t>
  </si>
  <si>
    <t xml:space="preserve">GLEISE DE SOUZA DOMINGUES (inativa)</t>
  </si>
  <si>
    <t xml:space="preserve">HENRIQUE MARTINS DE ALMEIDA</t>
  </si>
  <si>
    <t xml:space="preserve">ISABELLA JESUS CARVALHO DA SILVA</t>
  </si>
  <si>
    <t xml:space="preserve">RAYSSA PEREIRA DIAS</t>
  </si>
  <si>
    <t xml:space="preserve">IURE DE OLIVEIRA ALVES</t>
  </si>
  <si>
    <t xml:space="preserve">JENNEFER STEPHANIE DA SILVA REIS</t>
  </si>
  <si>
    <t xml:space="preserve">JENNIFER DE SOUZA FLORENCIO</t>
  </si>
  <si>
    <t xml:space="preserve">JOÃO VITOR SANTOS OLIVEIRA</t>
  </si>
  <si>
    <t xml:space="preserve">RONALD GABRIEL OLIVEIRA DE MELO</t>
  </si>
  <si>
    <t xml:space="preserve">KAIQUE FERREIRA BEZERRA</t>
  </si>
  <si>
    <t xml:space="preserve">LARA RUBI PEDROSA SOARES</t>
  </si>
  <si>
    <t xml:space="preserve">LETICIA ESTER FERREIRA NOGUEIRA</t>
  </si>
  <si>
    <t xml:space="preserve">LUCAS DA SILVA DE OLIVEIRA</t>
  </si>
  <si>
    <t xml:space="preserve">LUCIARA DA SILVA SOUZA</t>
  </si>
  <si>
    <t xml:space="preserve">MARIA CLARA SILVA DE OLIVEIRA</t>
  </si>
  <si>
    <t xml:space="preserve">MARIA EDUARDA DOS SANTOS DRABIK</t>
  </si>
  <si>
    <t xml:space="preserve">MURILLO BARBOSA SILVA</t>
  </si>
  <si>
    <t xml:space="preserve">MYLLENA RAMOS LOPES</t>
  </si>
  <si>
    <t xml:space="preserve">NATHIELLY CLAUDINO DA SILVA</t>
  </si>
  <si>
    <t xml:space="preserve">PEDRO HENRIQUE ROCHA SILVA</t>
  </si>
  <si>
    <t xml:space="preserve">SAMANTA MASCARENHAS QUEIROZ</t>
  </si>
  <si>
    <t xml:space="preserve">RIAN DE JESUS DOS SANTOS</t>
  </si>
  <si>
    <t xml:space="preserve">THAILANY DA SILVA SOUZA</t>
  </si>
  <si>
    <t xml:space="preserve">UILLIAM SOUZA DOS SANTOS</t>
  </si>
  <si>
    <t xml:space="preserve">VALERIA LUIZA DA PAZ SILVA</t>
  </si>
  <si>
    <t xml:space="preserve">VITORIA ANDRESSA DE OLIVEIRA CEGELSKI</t>
  </si>
  <si>
    <t xml:space="preserve">WANATAS SANTOS DA SILVA</t>
  </si>
  <si>
    <t xml:space="preserve">ADRIELE LARANJEIRA CASTRO</t>
  </si>
  <si>
    <t xml:space="preserve">AMANDA DE SOUSA DOS SANTOS</t>
  </si>
  <si>
    <t xml:space="preserve">ANTHONY DAVI ALVES MERCÊS</t>
  </si>
  <si>
    <t xml:space="preserve">ANY GRASIELLY NUNES SOUZA</t>
  </si>
  <si>
    <t xml:space="preserve">BRENO DE SOUZA BARROS</t>
  </si>
  <si>
    <t xml:space="preserve">BRUNA PEREIRA DIAS</t>
  </si>
  <si>
    <t xml:space="preserve">CLARA CAMPOS DOS SANTOS</t>
  </si>
  <si>
    <t xml:space="preserve">DENISE YANDRA BARROS DA SILVA</t>
  </si>
  <si>
    <t xml:space="preserve">SAMUEL TEIXEIRA COSTA</t>
  </si>
  <si>
    <t xml:space="preserve">ERICK FERREIRA DA COSTA SANTOS</t>
  </si>
  <si>
    <t xml:space="preserve">EVELLYN SILVA DE OLIVEIRA</t>
  </si>
  <si>
    <t xml:space="preserve">EVELYN APARECIDA DOS SANTOS</t>
  </si>
  <si>
    <t xml:space="preserve">FERNANDA DE BRITO OLIVEIRA</t>
  </si>
  <si>
    <t xml:space="preserve">GABRIEL MASCARENHAS DE SOUZA</t>
  </si>
  <si>
    <t xml:space="preserve">GABRIEL NUNES LUSTOSA</t>
  </si>
  <si>
    <t xml:space="preserve">GABRIELLY MOURA SANTOS DE MAGALHÃES</t>
  </si>
  <si>
    <t xml:space="preserve">GERLANE MARIA DA SILVA</t>
  </si>
  <si>
    <t xml:space="preserve">HILDA REIS ANDRADE</t>
  </si>
  <si>
    <t xml:space="preserve">HIVERY MATHEUS SOUZA DO NASCIMENTO</t>
  </si>
  <si>
    <t xml:space="preserve">IAGO FELIPE SILVA DE OLIVEIRA</t>
  </si>
  <si>
    <t xml:space="preserve">INGRIDY MARQUES DE MIRANDA</t>
  </si>
  <si>
    <t xml:space="preserve">IVAN FRANÇA DE ASSIS</t>
  </si>
  <si>
    <t xml:space="preserve">IVANETE CRISTIANA DA PURIFICAÇÃO</t>
  </si>
  <si>
    <t xml:space="preserve">JAMILE DO NASCIMENTO SILVA</t>
  </si>
  <si>
    <t xml:space="preserve">JENIFFER DAMACENO XAVIER</t>
  </si>
  <si>
    <t xml:space="preserve">JESSICA DOS SANTOS NEVES</t>
  </si>
  <si>
    <t xml:space="preserve">JOAO MATEUS MARTINS COSTA</t>
  </si>
  <si>
    <t xml:space="preserve">JOÃO PEDRO FERREIRA DIAS</t>
  </si>
  <si>
    <t xml:space="preserve">JOSÉ HENRIQUE FERREIRA DAMACENO</t>
  </si>
  <si>
    <t xml:space="preserve">JUELI DOS SANTOS BARBOZA</t>
  </si>
  <si>
    <t xml:space="preserve">JÚLIA MASIERO SERPA</t>
  </si>
  <si>
    <t xml:space="preserve">KEDNA EMANUELY SANTOS DE OLIVEIRA</t>
  </si>
  <si>
    <t xml:space="preserve">LUAN GUEDES DE SOUZA</t>
  </si>
  <si>
    <t xml:space="preserve">LUIZ HENRIQUE MENDES PEREIRA</t>
  </si>
  <si>
    <t xml:space="preserve">MANUELA BATISTA DE CARVALHO</t>
  </si>
  <si>
    <t xml:space="preserve">MARIA CLARA DOS SANTOS JESUS</t>
  </si>
  <si>
    <t xml:space="preserve">MARIA EDUARDA SANTOS SILVA</t>
  </si>
  <si>
    <t xml:space="preserve">MARIANA DE GOUVEIA PEREIRA</t>
  </si>
  <si>
    <t xml:space="preserve">MARIANA LUCAS DA SILVA BARROS</t>
  </si>
  <si>
    <t xml:space="preserve">MARIANA OLIVEIRA DA SILVA</t>
  </si>
  <si>
    <t xml:space="preserve">MATHEUS DA SILVA BASTOS</t>
  </si>
  <si>
    <t xml:space="preserve">MATHEUS GUIRÃO VIANA</t>
  </si>
  <si>
    <t xml:space="preserve">MATHEUS OLIVEIRA COELHO</t>
  </si>
  <si>
    <t xml:space="preserve">NATHAN VASCOS SANTOS</t>
  </si>
  <si>
    <t xml:space="preserve">NATIELLE BISPO DE OLIVEIRA</t>
  </si>
  <si>
    <t xml:space="preserve">NICOLAS OLIVEIRA DOS REIS</t>
  </si>
  <si>
    <t xml:space="preserve">PAULINO LUCAS DA SILVA PERISSARI</t>
  </si>
  <si>
    <t xml:space="preserve">PIERRE DE MORAIS SANTOS</t>
  </si>
  <si>
    <t xml:space="preserve">RIKAELY LORRANY GOMES DA SILVA</t>
  </si>
  <si>
    <t xml:space="preserve">RYAN DOUGLAS SANTOS DO BELA CRUZ</t>
  </si>
  <si>
    <t xml:space="preserve">SOPHIA MATOS ROCHA</t>
  </si>
  <si>
    <t xml:space="preserve">TÚLIO HOLANDA DA SILVA</t>
  </si>
  <si>
    <t xml:space="preserve">VALENTINA DONADEL</t>
  </si>
  <si>
    <t xml:space="preserve">VINÍCIUS ALVES ALBUQUERQUE DOS SANTOS</t>
  </si>
  <si>
    <t xml:space="preserve">WENIO DE ARAÚJO DOS SANTOS</t>
  </si>
  <si>
    <t xml:space="preserve">ADRIANE ALVES DA SILVA SOUZA</t>
  </si>
  <si>
    <t xml:space="preserve">ADRIELE GOMES DA CONCEIÇÃO</t>
  </si>
  <si>
    <t xml:space="preserve">AMANDA VICTORIA DA SILVA</t>
  </si>
  <si>
    <t xml:space="preserve">ANA VALÉRIA PEREIRA LIMA </t>
  </si>
  <si>
    <t xml:space="preserve">ANABEL DE OLIVEIRA NUNES</t>
  </si>
  <si>
    <t xml:space="preserve">ARTHUR DA SILVA DE CASTRO</t>
  </si>
  <si>
    <t xml:space="preserve">BIANCA DE SOUZA OLIVEIRA</t>
  </si>
  <si>
    <t xml:space="preserve">CESAR FELIPE SILVA PEGLOW</t>
  </si>
  <si>
    <t xml:space="preserve">DANIEL MENDES DE SOUZA PEREIRA</t>
  </si>
  <si>
    <t xml:space="preserve">DAVI DA SILVA DOS SANTOS</t>
  </si>
  <si>
    <t xml:space="preserve">EBERTH DANIEL FERREIRA DOS SANTOS</t>
  </si>
  <si>
    <t xml:space="preserve">EDIVALDO LIMA GOMES</t>
  </si>
  <si>
    <t xml:space="preserve">EDUARDO BALISTRO TONIAZZO FILHO</t>
  </si>
  <si>
    <t xml:space="preserve">EMYLE OLIVEIRA SANTOS</t>
  </si>
  <si>
    <t xml:space="preserve">ESMERALDA DE ARAÚJO SOUZA</t>
  </si>
  <si>
    <t xml:space="preserve">FERNANDA DOS SANTOS DA SILVA</t>
  </si>
  <si>
    <t xml:space="preserve">GUILHERME SOARES GOMES</t>
  </si>
  <si>
    <t xml:space="preserve">GUSTAVO BENEDETTI DOS SANTOS</t>
  </si>
  <si>
    <t xml:space="preserve">HYLLARI DA SILVA FILGUEIRA</t>
  </si>
  <si>
    <t xml:space="preserve">IASMIN LOUZEIRO LOBATO ROCHA</t>
  </si>
  <si>
    <t xml:space="preserve">JACKSON PAULO PIRES ROCHA</t>
  </si>
  <si>
    <t xml:space="preserve">JESSIKA HILDETE DA SILVA MOZINE</t>
  </si>
  <si>
    <t xml:space="preserve">JOSÉ ERIC ANDRADE SANTOS</t>
  </si>
  <si>
    <t xml:space="preserve">KARLLA BEATRIZ CAMPOS SOUZA</t>
  </si>
  <si>
    <t xml:space="preserve">KEMILLY VITÓRIA RODRIGUES DAMACENO</t>
  </si>
  <si>
    <t xml:space="preserve">KEVIN GONÇALVES COSTA</t>
  </si>
  <si>
    <t xml:space="preserve">LARA GABRIELLA ROCHA BORGES</t>
  </si>
  <si>
    <t xml:space="preserve">LUANA ESTÉFANI GROMAM</t>
  </si>
  <si>
    <t xml:space="preserve">MARCELA  ALVES DA SILVA</t>
  </si>
  <si>
    <t xml:space="preserve">MARCOS HENRIQUE ALMEIDA DA SILVA</t>
  </si>
  <si>
    <t xml:space="preserve">RAIKY SOUZA CESAR LIRA</t>
  </si>
  <si>
    <t xml:space="preserve">MICHELLE SOUZA DAMASCENO</t>
  </si>
  <si>
    <t xml:space="preserve">MURILO GOMES DE ARAÚJO LOPES</t>
  </si>
  <si>
    <t xml:space="preserve">PYETRO MATOS SOUZA</t>
  </si>
  <si>
    <t xml:space="preserve">RAMILE SANTANA DA SILVA</t>
  </si>
  <si>
    <t xml:space="preserve">SAÚLLO DOS SANTOS MOREIRA</t>
  </si>
  <si>
    <t xml:space="preserve">SELMA MARIA DA SILVA BORGES DOS SANTOS</t>
  </si>
  <si>
    <t xml:space="preserve">TAINARA VITÓRIA FERREIRA DA SILVA</t>
  </si>
  <si>
    <t xml:space="preserve">TALITA SOUZA SANTOS</t>
  </si>
  <si>
    <t xml:space="preserve">UANDA FERREIRA DE SENA</t>
  </si>
  <si>
    <t xml:space="preserve">VAGNER FELIPE ZIMPEL</t>
  </si>
  <si>
    <t xml:space="preserve">VANIA BERNADELLE DE ARAÚJO</t>
  </si>
  <si>
    <t xml:space="preserve">VÍNICIUS GABRIEL DO NASCIMEMTO CONCEOÇÃO</t>
  </si>
  <si>
    <t xml:space="preserve">WELLINGTON MATIAS DO NASCIMENTO</t>
  </si>
  <si>
    <t xml:space="preserve">WERLEN MANGABEIRA GOMES</t>
  </si>
  <si>
    <t xml:space="preserve">YASMIM SOUZA DOS SANTOS</t>
  </si>
  <si>
    <t xml:space="preserve">ANA CLARA PEREIRA CARDOSO</t>
  </si>
  <si>
    <t xml:space="preserve">ANA CLARA SANTANA DE OLIVEIRA</t>
  </si>
  <si>
    <t xml:space="preserve">ARYENE VITÓRIA PEREIRA DA SILVA</t>
  </si>
  <si>
    <t xml:space="preserve">BRUNO VINÍCIUS RODRIGUES FERREIRA</t>
  </si>
  <si>
    <t xml:space="preserve">AMANDA CAROLLYNY BEZERRA DE SOUZA</t>
  </si>
  <si>
    <t xml:space="preserve">ANA CLARA APARECIDA DE ALMEIDA WEBER</t>
  </si>
  <si>
    <t xml:space="preserve">ANDERSON HENRIQUE CORREIA SANTOS</t>
  </si>
  <si>
    <t xml:space="preserve">KLESSIO ALVES FERNANDES</t>
  </si>
  <si>
    <t xml:space="preserve">WENDEL DA SILVA BRITO</t>
  </si>
  <si>
    <t xml:space="preserve">CAROLINE RILKO MARÇAL</t>
  </si>
  <si>
    <t xml:space="preserve">CLERISTON DE JESUS VIANA</t>
  </si>
  <si>
    <t xml:space="preserve">DEISY GABRIELLE FERREIRA DA SILVA</t>
  </si>
  <si>
    <t xml:space="preserve">ELIENE AMORIM DA SILVA</t>
  </si>
  <si>
    <t xml:space="preserve">FLAVIA TELES DA SILVA</t>
  </si>
  <si>
    <t xml:space="preserve">GESSICA SANTOS DE SOUZA</t>
  </si>
  <si>
    <t xml:space="preserve">IZIS VICTÓRIA GOMES DA SILVA</t>
  </si>
  <si>
    <t xml:space="preserve">JOSIAS GABRIEL MASCARENHAS FERREIRA</t>
  </si>
  <si>
    <t xml:space="preserve">EDUARDA DA SILVA BORGES</t>
  </si>
  <si>
    <t xml:space="preserve">KAIO WOLF</t>
  </si>
  <si>
    <t xml:space="preserve">LÉO MARCOS ALMEIDA DA SILVA</t>
  </si>
  <si>
    <t xml:space="preserve">LYA AYME SOUZA RUFINO</t>
  </si>
  <si>
    <t xml:space="preserve">MAGNA FRANCISCA DE SOUZA</t>
  </si>
  <si>
    <t xml:space="preserve">MARINETE DE FATIMA MACIEL RIBEIRO SANTOS</t>
  </si>
  <si>
    <t xml:space="preserve">MARLENE DIAS DA SILVA</t>
  </si>
  <si>
    <t xml:space="preserve">KELLY CONCEIÇÃO PEREIRA</t>
  </si>
  <si>
    <t xml:space="preserve">LUNARA MARILLAC MARQUES QUEIROZ</t>
  </si>
  <si>
    <t xml:space="preserve">ISMAILDE SILVA DE SOUZA</t>
  </si>
  <si>
    <t xml:space="preserve">KATRINE CARVALHO BRANDÃO</t>
  </si>
  <si>
    <t xml:space="preserve">CIRO LIMA VIEIRA</t>
  </si>
  <si>
    <t xml:space="preserve">LETÍCIA BARBOSA  AMARAL</t>
  </si>
  <si>
    <t xml:space="preserve">ANA CAROLINA DA SILVA SANTA HELENA</t>
  </si>
  <si>
    <t xml:space="preserve">RENATA FERREIRA LIMA</t>
  </si>
  <si>
    <t xml:space="preserve">THAINNÁ VITÓRIA DOS SANTOS SILVA</t>
  </si>
  <si>
    <t xml:space="preserve">DEILDO RODRIGUES DOS SANTOS</t>
  </si>
  <si>
    <t xml:space="preserve">ERICA  ANUCIAÇÃO SILVA</t>
  </si>
  <si>
    <t xml:space="preserve">YASMIN DOS SANTOS DE SOUZA</t>
  </si>
  <si>
    <t xml:space="preserve">INGRYD CAROLINA DOS SANTOS SOARES</t>
  </si>
  <si>
    <t xml:space="preserve">RUAN FRANKLIN OLIVEIRA DE MELO</t>
  </si>
  <si>
    <t xml:space="preserve">ERICK ANDRADE PEREIRA DA SILVA</t>
  </si>
  <si>
    <t xml:space="preserve">GILVANETE DA CRUZ DIAS</t>
  </si>
  <si>
    <t xml:space="preserve">CAMILA DE ARAUJO ROCHA</t>
  </si>
  <si>
    <t xml:space="preserve">LAURA OLIVEIRA DOS SANTOS</t>
  </si>
  <si>
    <t xml:space="preserve">GUSTAVO ENZO E SOUSA NERI</t>
  </si>
  <si>
    <t xml:space="preserve">EDUARDA DOMINGOS DA SILVA</t>
  </si>
  <si>
    <t xml:space="preserve">LARISSA PEREIRA SANTANA</t>
  </si>
  <si>
    <t xml:space="preserve">EMILLY JOANNE ALVES ALMEIDA</t>
  </si>
  <si>
    <t xml:space="preserve">RAISA ANDRIELE LIMA SANTOS</t>
  </si>
  <si>
    <t xml:space="preserve">Quarta-feira</t>
  </si>
  <si>
    <t xml:space="preserve">BRENO THIERRY SILVA DOS SANTOS</t>
  </si>
  <si>
    <t xml:space="preserve">FLAVIO PASSOS DE ALCANTARA</t>
  </si>
  <si>
    <t xml:space="preserve">CIRIA PAULA DIAS PEREIRA</t>
  </si>
  <si>
    <t xml:space="preserve">MARIA EDUARDA MACEDO CABRAL DA SILVA</t>
  </si>
  <si>
    <t xml:space="preserve">KAUANA COSTA DE SIQUEIRA</t>
  </si>
  <si>
    <t xml:space="preserve">ADANY CARDOSO DOURADO</t>
  </si>
  <si>
    <t xml:space="preserve">RAQUEL SONZA DOS SANTOS</t>
  </si>
  <si>
    <t xml:space="preserve">LILIANE DE JESUS DA SILVA</t>
  </si>
  <si>
    <t xml:space="preserve">JOÃO VINICIUS LORENZONI DE OLIVEIRA</t>
  </si>
  <si>
    <t xml:space="preserve">GISELE DOS SANTOS FEREIRA</t>
  </si>
  <si>
    <t xml:space="preserve">DANIELLE PEREIRA ORTIS</t>
  </si>
  <si>
    <t xml:space="preserve">FAGNER SANTOS ANDRADE</t>
  </si>
  <si>
    <t xml:space="preserve">EVILEN SANTOS DA SILVA</t>
  </si>
  <si>
    <t xml:space="preserve">JOÃO VITOR SILVA MACÊDO</t>
  </si>
  <si>
    <t xml:space="preserve">ADRIELY DE SOUZA PEREIRA</t>
  </si>
  <si>
    <t xml:space="preserve">IASMIM BROTA DOS SANTOS</t>
  </si>
  <si>
    <t xml:space="preserve">ANA VITORIA GOMES DE SOUZA</t>
  </si>
  <si>
    <t xml:space="preserve">VITORIA PAIVA GOMES</t>
  </si>
  <si>
    <t xml:space="preserve">MATEUS PAIVA DA SILVA</t>
  </si>
  <si>
    <t xml:space="preserve">STEFANE DIVINA DOS SANTOS COSTA</t>
  </si>
  <si>
    <t xml:space="preserve">SARA CRISTINA RODRIGUES SCHIST</t>
  </si>
  <si>
    <t xml:space="preserve">SABRINA SANTOS MARTINS</t>
  </si>
  <si>
    <t xml:space="preserve">YOHANNA LOPES DOS SANTOS</t>
  </si>
  <si>
    <t xml:space="preserve">ANA MARIA BEATRIZ DA SILVA SOUZA</t>
  </si>
  <si>
    <t xml:space="preserve">ALANA DOS SANTOS OLIVEIRA</t>
  </si>
  <si>
    <t xml:space="preserve">CAILANE SILVA DOS SANTOS</t>
  </si>
  <si>
    <t xml:space="preserve">MAGALI SANTANA BARBOSA OLIVEIRA</t>
  </si>
  <si>
    <t xml:space="preserve">LIVIA MACÊDO DE OLIVEIRA</t>
  </si>
  <si>
    <t xml:space="preserve">THAIS SILVA DE JESUS</t>
  </si>
  <si>
    <t xml:space="preserve">AMANDA SILVA DA CRUZ</t>
  </si>
  <si>
    <t xml:space="preserve">LARA CRISTINY ALVES DA ROCHA</t>
  </si>
  <si>
    <t xml:space="preserve">ALESANDRO FERREIRA DA ROCHA</t>
  </si>
  <si>
    <t xml:space="preserve">VANDERLINA DE SOUZA SANTOS</t>
  </si>
  <si>
    <t xml:space="preserve">THAYNÁ ARAÚJO LINS BASTOS</t>
  </si>
  <si>
    <t xml:space="preserve">YNGRID DA SILVA FREITOSA</t>
  </si>
  <si>
    <t xml:space="preserve">NATHALIE ALVES FRISKE</t>
  </si>
  <si>
    <t xml:space="preserve">VALDELICE PORTO DE SOUZA</t>
  </si>
  <si>
    <t xml:space="preserve">ANTONIELY REIS ANDRADE</t>
  </si>
  <si>
    <t xml:space="preserve">LUCAS SARAIVA DOS SANTOS</t>
  </si>
  <si>
    <t xml:space="preserve">BRENDA ELOISE WEBER</t>
  </si>
  <si>
    <t xml:space="preserve">BEATRIZ BATISTA PACHECO</t>
  </si>
  <si>
    <t xml:space="preserve">MARIA TATIANA BORGES DE SOUSA</t>
  </si>
  <si>
    <t xml:space="preserve">JAKELINE DOS SANTOS CRUZ</t>
  </si>
  <si>
    <t xml:space="preserve">EVANILDE ALVES DA PAIXÃO</t>
  </si>
  <si>
    <t xml:space="preserve">VERÔNICA DOS SANTOS CRUZ</t>
  </si>
  <si>
    <t xml:space="preserve">DAVI SANTANA TRIACA</t>
  </si>
  <si>
    <t xml:space="preserve">HELLEN RUTH DA ROCHA</t>
  </si>
  <si>
    <t xml:space="preserve">MOARYA GENOVEZ NOGUEIRA</t>
  </si>
  <si>
    <t xml:space="preserve">AMANDA RODRIGUES DA SILVA</t>
  </si>
  <si>
    <t xml:space="preserve">PEDRO HENRIQUE BONNI PIEREZAN</t>
  </si>
  <si>
    <t xml:space="preserve">JULIA BONNI PIEREZAM</t>
  </si>
  <si>
    <t xml:space="preserve">LAURA BONNI PIEREZAM</t>
  </si>
  <si>
    <t xml:space="preserve">ANA DHULIA DE SOUZA SILVA</t>
  </si>
  <si>
    <t xml:space="preserve">ENRICO MIGUEL DE MOURA GIACHINI</t>
  </si>
  <si>
    <t xml:space="preserve">ANA CAROLINA SOUZA SILVA</t>
  </si>
  <si>
    <t xml:space="preserve">JOÃO GUILHERME SANTOS SILVA</t>
  </si>
  <si>
    <t xml:space="preserve">CARLOS EDUARDO  FERREIRA SANTANA</t>
  </si>
  <si>
    <t xml:space="preserve">BRUNO ALVES FUKUIA MONTEIRO</t>
  </si>
  <si>
    <t xml:space="preserve">JULIO CESAR ALVES FUKUIA MONTEIRO</t>
  </si>
  <si>
    <t xml:space="preserve">PEDRO HENRIQUE PAGLIOSA</t>
  </si>
  <si>
    <t xml:space="preserve">NILMARA SENA SANTOS</t>
  </si>
  <si>
    <t xml:space="preserve">LEONARDO SILVA MATOS</t>
  </si>
  <si>
    <t xml:space="preserve">LIVIA CAROLINA GOMES MIGUEL</t>
  </si>
  <si>
    <t xml:space="preserve">GABRIEL SOUZA SANTANA</t>
  </si>
  <si>
    <t xml:space="preserve">ARIANY DE SOUZA DOS SANTOS</t>
  </si>
  <si>
    <t xml:space="preserve">LUIZ OTHAVIO CUNHA DE SOUZA</t>
  </si>
  <si>
    <t xml:space="preserve">STHEFANY LOHANY DOS SANTOS DE SOUZA</t>
  </si>
  <si>
    <t xml:space="preserve">GUSTAVO PEREIRA MELO</t>
  </si>
  <si>
    <t xml:space="preserve">segunda-feira</t>
  </si>
  <si>
    <t xml:space="preserve">MOISES SILVA SANTANA</t>
  </si>
  <si>
    <t xml:space="preserve">ANA CLARA ITACARAMBI OLIVEIRA</t>
  </si>
  <si>
    <t xml:space="preserve">Aluno</t>
  </si>
  <si>
    <t xml:space="preserve">Situação</t>
  </si>
  <si>
    <t xml:space="preserve">Aulas</t>
  </si>
  <si>
    <t xml:space="preserve">Pedir</t>
  </si>
  <si>
    <t xml:space="preserve">Módulo para pedido</t>
  </si>
  <si>
    <t xml:space="preserve">Unidade</t>
  </si>
  <si>
    <t xml:space="preserve">Módulo Atual / Observação</t>
  </si>
  <si>
    <t xml:space="preserve">MONTAGEM E MANUTENÇÃO DE HADWER </t>
  </si>
  <si>
    <t xml:space="preserve">MATERIAL NO ARMARIO 30/01/24</t>
  </si>
  <si>
    <t xml:space="preserve">INTERNET COM OUTLOOK 2021</t>
  </si>
  <si>
    <t xml:space="preserve">EMPREENDEDORISMO/ ASS ADM I</t>
  </si>
  <si>
    <t xml:space="preserve">NATIELLE BISPO D OLIVEIRA</t>
  </si>
  <si>
    <t xml:space="preserve">EXCEL</t>
  </si>
  <si>
    <t xml:space="preserve">EXCEL 2021</t>
  </si>
  <si>
    <t xml:space="preserve">GOOGLE E REDES SOCIAIS</t>
  </si>
  <si>
    <t xml:space="preserve">MATERIAL NO ARMARIO 16/03</t>
  </si>
  <si>
    <t xml:space="preserve">LIDERANÇA/ ASS ADM I</t>
  </si>
  <si>
    <t xml:space="preserve">MATERIAL NO ARMARIO 18/04</t>
  </si>
  <si>
    <t xml:space="preserve">DIOGO LEITE CARVALHO</t>
  </si>
  <si>
    <t xml:space="preserve">MOINTAGEM E MANUTENÇÃO DE H</t>
  </si>
  <si>
    <t xml:space="preserve">MATERIAL NO ARMARIO 29/09</t>
  </si>
  <si>
    <t xml:space="preserve">WORD 2021</t>
  </si>
  <si>
    <t xml:space="preserve">MATERIAL NO ARMARIO 06/10</t>
  </si>
  <si>
    <t xml:space="preserve">SEGURANÇA NA ERA DIGITAL</t>
  </si>
  <si>
    <t xml:space="preserve">MATERIAL NO ARMARIO 16/02</t>
  </si>
  <si>
    <t xml:space="preserve">BRUNA ETIELLE</t>
  </si>
  <si>
    <t xml:space="preserve">ASSISTENTE ADM I </t>
  </si>
  <si>
    <t xml:space="preserve">INTERNET COM OUTLOOK 2021/ MONTAGEM</t>
  </si>
  <si>
    <t xml:space="preserve">OPERADOR DE CAIXA/ ASS DE ADM FINANCEIRA </t>
  </si>
  <si>
    <t xml:space="preserve">MATERIAL NO ARMARIO 17/04</t>
  </si>
  <si>
    <t xml:space="preserve">PREMIERE/PHOTO SHOP ESSENCIAL</t>
  </si>
  <si>
    <t xml:space="preserve">ALUNO ACELERADO</t>
  </si>
  <si>
    <t xml:space="preserve">WINDOWS 11</t>
  </si>
  <si>
    <t xml:space="preserve">ALUNA  NOVA </t>
  </si>
  <si>
    <t xml:space="preserve">aluna nova</t>
  </si>
  <si>
    <t xml:space="preserve">ALUNO NOVO</t>
  </si>
  <si>
    <t xml:space="preserve">ALUNA NOVA </t>
  </si>
  <si>
    <t xml:space="preserve">ALUNA NOVA</t>
  </si>
  <si>
    <t xml:space="preserve">CAPA CARNÊ</t>
  </si>
  <si>
    <t xml:space="preserve">CAPA CARNe</t>
  </si>
  <si>
    <t xml:space="preserve">MONTAGEM E MANUTENÇÃO DE HANDEWARE</t>
  </si>
  <si>
    <t xml:space="preserve">ALUNO NOVO </t>
  </si>
  <si>
    <t xml:space="preserve">WINDOWS 11, WORD E EXCEL</t>
  </si>
  <si>
    <t xml:space="preserve">ALUNA NOVA (ACELERADA)</t>
  </si>
  <si>
    <t xml:space="preserve">ADOBE INLUSTRACION</t>
  </si>
  <si>
    <t xml:space="preserve">ALUNO NOVO (19/04</t>
  </si>
  <si>
    <t xml:space="preserve">ALUNA NOVA 20/04</t>
  </si>
  <si>
    <t xml:space="preserve">ALUNA NOVA DIA 20/04</t>
  </si>
  <si>
    <t xml:space="preserve">MATERIAL NO ARMARIO 22/04</t>
  </si>
  <si>
    <t xml:space="preserve">CARLA KARINE DE LIMA SANTOS</t>
  </si>
  <si>
    <t xml:space="preserve">ASSITENTE ADM I</t>
  </si>
  <si>
    <t xml:space="preserve">WINDOWS 11 </t>
  </si>
  <si>
    <t xml:space="preserve">WINDWS 11</t>
  </si>
  <si>
    <t xml:space="preserve">windows 11</t>
  </si>
  <si>
    <t xml:space="preserve">GUILHERME SCOPINI DE SOUZA</t>
  </si>
  <si>
    <t xml:space="preserve">BRUNA GOMES RIBEIRO</t>
  </si>
  <si>
    <t xml:space="preserve">ASS ADM I</t>
  </si>
  <si>
    <t xml:space="preserve">windows 11 </t>
  </si>
  <si>
    <t xml:space="preserve">marketing digital</t>
  </si>
  <si>
    <t xml:space="preserve">RH</t>
  </si>
  <si>
    <t xml:space="preserve">REDES CABEAMENTO E INFRAESTRUTURA</t>
  </si>
  <si>
    <t xml:space="preserve">POWER POINT 2021</t>
  </si>
  <si>
    <t xml:space="preserve">EMPREENDEDORISMO</t>
  </si>
  <si>
    <t xml:space="preserve">ADMINISTRAÇÃO FINANCEIRA</t>
  </si>
  <si>
    <t xml:space="preserve">MONELY LUCIA PEREIRA DE CARVALHO</t>
  </si>
  <si>
    <t xml:space="preserve">POWER POINT 2020</t>
  </si>
  <si>
    <t xml:space="preserve">POWER POINT 2022</t>
  </si>
  <si>
    <t xml:space="preserve">DEPARTAMENTO PESSOAL/ ASSISTENTE ADM 1</t>
  </si>
  <si>
    <t xml:space="preserve">HAILA VITORIA  ALMEIDA DA SILVA</t>
  </si>
  <si>
    <t xml:space="preserve">SECRETARIADO</t>
  </si>
  <si>
    <t xml:space="preserve">LAISA DA SILVA SANTOS</t>
  </si>
  <si>
    <t xml:space="preserve">ESCRITA FISCAL E CONTABIL</t>
  </si>
  <si>
    <t xml:space="preserve">LUIS OTAVIO DA SILVA PEREIRA</t>
  </si>
  <si>
    <t xml:space="preserve">INTERNET COM OUTLOOK 2022</t>
  </si>
  <si>
    <t xml:space="preserve">INTERNET COM OUTLOOK 2023</t>
  </si>
  <si>
    <t xml:space="preserve">CAMILY DA SILVA BATISTA</t>
  </si>
  <si>
    <t xml:space="preserve">LIDERANÇA</t>
  </si>
  <si>
    <t xml:space="preserve">ASSISTENTE ADMINISTRATIVO I</t>
  </si>
  <si>
    <t xml:space="preserve">COREL DRAW I/COREL DRAW I</t>
  </si>
  <si>
    <t xml:space="preserve">OPERADOR DE CAIXA</t>
  </si>
  <si>
    <t xml:space="preserve">REDE DE CABEAMENTO E INFRAESTRUTURA</t>
  </si>
  <si>
    <t xml:space="preserve">JENNEFER STEPHANIE DA SILVA  REIS</t>
  </si>
  <si>
    <t xml:space="preserve">ASSISTENDE DE ESCRITA FISCAL E CONTABIL</t>
  </si>
  <si>
    <t xml:space="preserve">WORD</t>
  </si>
  <si>
    <t xml:space="preserve">ADRIANO RIBEIRO DE SOUZA</t>
  </si>
  <si>
    <t xml:space="preserve">PROPAGANDA E MARKETING</t>
  </si>
  <si>
    <t xml:space="preserve">ASSISTENTE DE ADM FINANCEIRA</t>
  </si>
  <si>
    <t xml:space="preserve">ISABELA DE OLIVEIRA DA SILVA</t>
  </si>
  <si>
    <t xml:space="preserve">SEGURANÇA DA ERA DIGITAL</t>
  </si>
  <si>
    <t xml:space="preserve">ATENDIMENTO AO CLIENTE</t>
  </si>
  <si>
    <t xml:space="preserve">assistente de adm financeira</t>
  </si>
  <si>
    <t xml:space="preserve">BRENNO LORRAN DE OLIVEIRA SANTOS</t>
  </si>
  <si>
    <t xml:space="preserve">VENDAS</t>
  </si>
  <si>
    <t xml:space="preserve">CREDITO E COBRANÇA</t>
  </si>
  <si>
    <t xml:space="preserve">POWERPOINT</t>
  </si>
  <si>
    <t xml:space="preserve">WINDOWS 07</t>
  </si>
  <si>
    <t xml:space="preserve">INTERNET COM OUTLOOK</t>
  </si>
  <si>
    <t xml:space="preserve">WINDOWS 08</t>
  </si>
  <si>
    <t xml:space="preserve">EXCEL AVANÇADO I </t>
  </si>
  <si>
    <t xml:space="preserve">WINDOWS 09</t>
  </si>
  <si>
    <t xml:space="preserve">EXCEL AVANÇADO II</t>
  </si>
  <si>
    <t xml:space="preserve">WINDOWS 10</t>
  </si>
  <si>
    <t xml:space="preserve">POWER BI</t>
  </si>
  <si>
    <t xml:space="preserve">LOGICA DE PROGRAMAÇÃO</t>
  </si>
  <si>
    <t xml:space="preserve">WINDOWS 12</t>
  </si>
  <si>
    <t xml:space="preserve">BANCO DE DADOS SQL</t>
  </si>
  <si>
    <t xml:space="preserve">STEFANE DIVINA </t>
  </si>
  <si>
    <t xml:space="preserve">WINDOWS 13</t>
  </si>
  <si>
    <t xml:space="preserve">VISUAL STUDIO-ESSENCIAL</t>
  </si>
  <si>
    <t xml:space="preserve">MATERIAL NO ARMARIO 13/04</t>
  </si>
  <si>
    <t xml:space="preserve">VISUAL STUDIO-INTERMEDIÁRIO</t>
  </si>
  <si>
    <t xml:space="preserve">ENGLISH BOOK 1</t>
  </si>
  <si>
    <t xml:space="preserve">MATERIAL NO ARMARIO </t>
  </si>
  <si>
    <t xml:space="preserve">VISUAL STUDIO-AVANÇADO I</t>
  </si>
  <si>
    <t xml:space="preserve">VISUAL STUDIO-AVANÇADO II</t>
  </si>
  <si>
    <t xml:space="preserve">POWER POINT</t>
  </si>
  <si>
    <t xml:space="preserve">COMPRAS E ESTOQUE</t>
  </si>
  <si>
    <t xml:space="preserve">DEPARTAMENTO PESSOAL</t>
  </si>
  <si>
    <t xml:space="preserve">ASS DE PROPAGANDA E MARKETING</t>
  </si>
  <si>
    <t xml:space="preserve">MARKETING DIGITAL I</t>
  </si>
  <si>
    <t xml:space="preserve">SAMARA FRANCESCATTO VICINI</t>
  </si>
  <si>
    <t xml:space="preserve">MARKETING DIGITAL II</t>
  </si>
  <si>
    <t xml:space="preserve">MONTAGEM E M. DE HARDWARE</t>
  </si>
  <si>
    <t xml:space="preserve">LARISSA DOS SANTOS MONTEIRO</t>
  </si>
  <si>
    <t xml:space="preserve">ASSISTENDE DE ADM FINANCEIRA</t>
  </si>
  <si>
    <t xml:space="preserve">MANUTENÇÃO DE NOTEBOOK</t>
  </si>
  <si>
    <t xml:space="preserve">MANUTENÇÃO DE CELULAR</t>
  </si>
  <si>
    <t xml:space="preserve">REDES- LOGICA DE ESTRUTURAÇÃO</t>
  </si>
  <si>
    <t xml:space="preserve">REDES-CABEAMENTO E INFRAESTRUTURA</t>
  </si>
  <si>
    <t xml:space="preserve">TAMIRIS SANTOS DA SILVA</t>
  </si>
  <si>
    <t xml:space="preserve">ADOBE ILLUSTRATOR</t>
  </si>
  <si>
    <t xml:space="preserve">EMILIA BORGES DOS SANTOS</t>
  </si>
  <si>
    <t xml:space="preserve">ADOBE AFTER EFFECTS</t>
  </si>
  <si>
    <t xml:space="preserve">ADOBE PREMIERE</t>
  </si>
  <si>
    <t xml:space="preserve">ADOBE PHOTOSHOP-ESSENCIAL</t>
  </si>
  <si>
    <t xml:space="preserve">ADOBE PHOTOSHOP-AVANÇADO </t>
  </si>
  <si>
    <t xml:space="preserve">DAVID ANTONY ALVES DOS SANTOS</t>
  </si>
  <si>
    <t xml:space="preserve">ADOBE INDESIGN</t>
  </si>
  <si>
    <t xml:space="preserve">JULIA BORGES BERNED</t>
  </si>
  <si>
    <t xml:space="preserve">INTERNET COM OUTLOOK 2021(PASSEI PARA HILLARY SILVA DOS SANTOS)</t>
  </si>
  <si>
    <t xml:space="preserve">COREL DRAW I</t>
  </si>
  <si>
    <t xml:space="preserve">COREL DRAW II</t>
  </si>
  <si>
    <t xml:space="preserve">CSS</t>
  </si>
  <si>
    <t xml:space="preserve">JULIANA DE LIMA RIBEIRO</t>
  </si>
  <si>
    <t xml:space="preserve">HTML</t>
  </si>
  <si>
    <t xml:space="preserve">JAVASCRIPT</t>
  </si>
  <si>
    <t xml:space="preserve">WORDPRESS</t>
  </si>
  <si>
    <t xml:space="preserve">HELOÍSA DE MACEDO DA SILVA</t>
  </si>
  <si>
    <t xml:space="preserve">AUXILIAR MÉDICO ( passou o material dela para kely vitoria)</t>
  </si>
  <si>
    <t xml:space="preserve">ADOBE XD</t>
  </si>
  <si>
    <t xml:space="preserve">ANNY KETHELLY DA CRUZ SILVA</t>
  </si>
  <si>
    <t xml:space="preserve">TELEMARKETING</t>
  </si>
  <si>
    <t xml:space="preserve">OP CAIXA</t>
  </si>
  <si>
    <t xml:space="preserve">PROGRAMAÇÃO COM VISUAL STUDIO</t>
  </si>
  <si>
    <t xml:space="preserve">ASS ADM II</t>
  </si>
  <si>
    <t xml:space="preserve">GESTÃO DE PESSOAS</t>
  </si>
  <si>
    <t xml:space="preserve">RECEPCIONISTA NA AREA DA SAUDE</t>
  </si>
  <si>
    <t xml:space="preserve">GABRIELLY MOURA SANTOS MAGALHÃES</t>
  </si>
  <si>
    <t xml:space="preserve">EDUCAÇÃO FINANCEIRA</t>
  </si>
  <si>
    <t xml:space="preserve">INTELIGÊNCIA EMOCIONAL</t>
  </si>
  <si>
    <t xml:space="preserve">MARKETING PESSOAL</t>
  </si>
  <si>
    <t xml:space="preserve">COMUNICAÇÃO E ORATÓRIA</t>
  </si>
  <si>
    <t xml:space="preserve">NEGOCIAÇÃO, OBJEÇÃO E INFLUÊNCIA</t>
  </si>
  <si>
    <t xml:space="preserve">INOVAÇÃO E CREATIVIDADE</t>
  </si>
  <si>
    <t xml:space="preserve">GESTÃO DE TEMPO</t>
  </si>
  <si>
    <t xml:space="preserve">VITORIA ROSA MELO</t>
  </si>
  <si>
    <t xml:space="preserve">COMPRAS E ESTOQUE </t>
  </si>
  <si>
    <t xml:space="preserve">CUSTOS</t>
  </si>
  <si>
    <t xml:space="preserve">ASS ADM FINANCEIRA</t>
  </si>
  <si>
    <t xml:space="preserve">ESCRITA FISCAL E CONTÁBIL</t>
  </si>
  <si>
    <t xml:space="preserve">DESENVOLVEDOR DE GAMES D2</t>
  </si>
  <si>
    <t xml:space="preserve">LOGÍSTICA</t>
  </si>
  <si>
    <t xml:space="preserve">WORD 2020</t>
  </si>
  <si>
    <t xml:space="preserve">CRÉDITO E COBRANÇA</t>
  </si>
  <si>
    <t xml:space="preserve">MATEMÁTICA FINANCEIRA</t>
  </si>
  <si>
    <t xml:space="preserve">ERICA ANUCIAÇÃO SILVA</t>
  </si>
  <si>
    <t xml:space="preserve">EXCEL </t>
  </si>
  <si>
    <t xml:space="preserve">MANUTANÇÃO DE CELULAR</t>
  </si>
  <si>
    <t xml:space="preserve">ADM FINANCEIRA</t>
  </si>
  <si>
    <t xml:space="preserve">POWER POINT 2021 (PASSEI PARA MARIA CLARA SILVA DE OLIVEIRA)</t>
  </si>
  <si>
    <t xml:space="preserve">MATHEUS BRAZ SOARES</t>
  </si>
  <si>
    <t xml:space="preserve">INTERNET COM OUTLOOK 2021 (PASSEI PARA O JOSIAS GABRIEL MASCARENHAS FERREIRA)</t>
  </si>
  <si>
    <t xml:space="preserve">VISUAL STUDIO AVANÇADO II/ SEGURANÇA NA ERA DIGITAL</t>
  </si>
  <si>
    <t xml:space="preserve">ADMINIDTRAÇÃO FINANCEIRA</t>
  </si>
  <si>
    <t xml:space="preserve">SELMA MARIA DA SILVA DOS SANTOS</t>
  </si>
  <si>
    <t xml:space="preserve">NICOLLY AMÁBILE BOSCOLO</t>
  </si>
  <si>
    <t xml:space="preserve">RUAN PABLO GUIMARÃES SILVA</t>
  </si>
  <si>
    <t xml:space="preserve">BANCOS DE DADOS SQL/PROGRAMAÇÃO COM VISUAL ESTUDIO</t>
  </si>
  <si>
    <t xml:space="preserve">BRENO SODRÉ NIENKE</t>
  </si>
  <si>
    <t xml:space="preserve">ARIANY NATHY DA COSTA ANJOS</t>
  </si>
  <si>
    <t xml:space="preserve">MICHELLE SANTOS DA CRUZ</t>
  </si>
  <si>
    <t xml:space="preserve">DEBORAH CRISTINA ASSIS RAMOS</t>
  </si>
  <si>
    <t xml:space="preserve">DIOGO LEITE DE CARVALHO</t>
  </si>
  <si>
    <t xml:space="preserve">EXCEL AVANÇADO I</t>
  </si>
  <si>
    <t xml:space="preserve">LUCIANA ALVES DA SILVA</t>
  </si>
  <si>
    <t xml:space="preserve">WINDOWS1 1</t>
  </si>
  <si>
    <t xml:space="preserve">WINDOWS11</t>
  </si>
  <si>
    <t xml:space="preserve">ADM  FINANCEIRA</t>
  </si>
  <si>
    <t xml:space="preserve">VÍNICIUS GABRIEL DO NASCIMEMTO CONCEIÇÃO</t>
  </si>
  <si>
    <t xml:space="preserve">ASSINSTENTE DE LOGISTICA</t>
  </si>
  <si>
    <t xml:space="preserve">INTERNET </t>
  </si>
  <si>
    <t xml:space="preserve">CUIDADOR DE IDOSOS</t>
  </si>
  <si>
    <t xml:space="preserve">WESLEY RODRIGUES DE MIRANDA</t>
  </si>
  <si>
    <t xml:space="preserve">ASSISTENTE ADM I/ INTERNET </t>
  </si>
  <si>
    <t xml:space="preserve">ASSISTENTE DE RECURSOS HUMANOS</t>
  </si>
  <si>
    <t xml:space="preserve">DJHENIFFE OLIVEIRA SANTOS</t>
  </si>
  <si>
    <t xml:space="preserve">[16/2 15:49] TATIANA DA CONCEIÇÃO SILVA RODRIGUES: Boa tarde</t>
  </si>
  <si>
    <t xml:space="preserve">[16/2 15:49] TATIANA DA CONCEIÇÃO SILVA RODRIGUES: Hoje não vai dá pra mim comparecer</t>
  </si>
  <si>
    <t xml:space="preserve">[16/2 17:31] Prepara Cursos Secretaria: Boa tarde, tudo bem?</t>
  </si>
  <si>
    <t xml:space="preserve">[16/2 17:32] Prepara Cursos Secretaria: me informa o motivo pra eu justifcra pra você</t>
  </si>
  <si>
    <t xml:space="preserve">AMANDA VICTORIA DA SILVA </t>
  </si>
  <si>
    <t xml:space="preserve">GRAZIELE BARBOSA DA SILVA</t>
  </si>
  <si>
    <t xml:space="preserve">CUIDADOR DE IDOSOS, </t>
  </si>
  <si>
    <t xml:space="preserve">POWER POINT 2021 ( Entreguei do estoque) Att.Camila</t>
  </si>
  <si>
    <t xml:space="preserve">ANGELINA RODRIGUES PEREIRA</t>
  </si>
  <si>
    <t xml:space="preserve">MATEMÁTICA FINANCEIRA( passou para o erick ferreira)</t>
  </si>
  <si>
    <t xml:space="preserve">MATERIAL NO ARMARIO 10/04</t>
  </si>
  <si>
    <t xml:space="preserve">ACLÉCIO DA CRUZ DOURADO JUNIOR</t>
  </si>
  <si>
    <t xml:space="preserve">ASSISTENTE DE PROPAGANDA E MARKETING</t>
  </si>
  <si>
    <t xml:space="preserve">CELULAR</t>
  </si>
  <si>
    <t xml:space="preserve">ARTHUR BARBOSA DE MATOS</t>
  </si>
  <si>
    <t xml:space="preserve">NICOLLY ISABEL CHAGAS FERREIRA</t>
  </si>
  <si>
    <t xml:space="preserve">ASSISTENTE ADMINISTRATIVO II/ ATENDIMENTO AO CLIENTE</t>
  </si>
  <si>
    <t xml:space="preserve">ANA CAROLINA DA SILVA SANTOS HELENA</t>
  </si>
  <si>
    <t xml:space="preserve">URIEL OLIVEIRA DOS SANTOS</t>
  </si>
  <si>
    <t xml:space="preserve">FRANCIELLE GOMES DE ASSIS</t>
  </si>
  <si>
    <t xml:space="preserve">CUSTO/ LOGISTICA </t>
  </si>
  <si>
    <t xml:space="preserve">MATEMATICA/ SECRETARIADO</t>
  </si>
  <si>
    <t xml:space="preserve">SANTA CRUZ</t>
  </si>
  <si>
    <t xml:space="preserve">ASSISTENTE ADMINISTRATIVO  II</t>
  </si>
  <si>
    <t xml:space="preserve">JÉSSICA COSTA DOURADO LIMA</t>
  </si>
  <si>
    <t xml:space="preserve">LIDERANÇA </t>
  </si>
  <si>
    <t xml:space="preserve">ANNA BEATRIZ DE OLIVEIRA NERES</t>
  </si>
  <si>
    <t xml:space="preserve">CONSULTORIO ODONTOLOGICO</t>
  </si>
  <si>
    <t xml:space="preserve">WINDOWS 11 ( MATERIAL ENTREGUE PARA MARIA GABRYELLE MOREIRA NASCIMENTO)</t>
  </si>
  <si>
    <t xml:space="preserve">ISIS VICTÓRIA GOMES DA SILVA</t>
  </si>
  <si>
    <t xml:space="preserve">OPERADOR DE CAIXA ; MATEMATICA FINANCEIRA </t>
  </si>
  <si>
    <t xml:space="preserve">ASSISTENTE ADMINISTRATIVO II</t>
  </si>
  <si>
    <t xml:space="preserve">ASSISTENTE ADMII</t>
  </si>
  <si>
    <t xml:space="preserve">EXCEL  AVANÇADO I E ASSISTENTE ADM I</t>
  </si>
  <si>
    <t xml:space="preserve">WINDOWS 11, WORD, EXCEL </t>
  </si>
  <si>
    <t xml:space="preserve">MATERIAL NO ARMARIO 22/03</t>
  </si>
  <si>
    <t xml:space="preserve">JANÍSIA SANTOS DE AQUINO</t>
  </si>
  <si>
    <t xml:space="preserve">WORD E EXCEL</t>
  </si>
  <si>
    <t xml:space="preserve">SECRETARIADO/ LIDERANÇA</t>
  </si>
  <si>
    <t xml:space="preserve">rede wireless/ cabeamento e infraestrutura</t>
  </si>
  <si>
    <t xml:space="preserve">WINDOWS (PASSEI PRA JUELI NÃO TAVA NA PLANILHA)</t>
  </si>
  <si>
    <t xml:space="preserve">WINDOWS 11(passou para arrison)</t>
  </si>
  <si>
    <t xml:space="preserve">ENZO GABRIEL PEREIRA SOUZA SANTOS</t>
  </si>
  <si>
    <t xml:space="preserve">ARTHUR HENRIQUE PEREIRA SOUZA SANTOS</t>
  </si>
  <si>
    <t xml:space="preserve">PEDRO DA SILVA DOS SANTOS</t>
  </si>
  <si>
    <t xml:space="preserve">ASSISTENRE ADM E ROTINAS I </t>
  </si>
  <si>
    <t xml:space="preserve">ASSITENTE ADM FINANCEIRA</t>
  </si>
  <si>
    <t xml:space="preserve">WINDOWS </t>
  </si>
  <si>
    <t xml:space="preserve">JAILMA DA SILVA SANTOS</t>
  </si>
  <si>
    <t xml:space="preserve">ASSITENNTE ADM E ROTINAS I</t>
  </si>
  <si>
    <t xml:space="preserve">JÚLIO ALVES MATINS</t>
  </si>
  <si>
    <t xml:space="preserve">ASSISTENDE ADM I </t>
  </si>
  <si>
    <t xml:space="preserve">MATEMATICA FINANCEIRA</t>
  </si>
  <si>
    <t xml:space="preserve">SEGURANÇA DO TRABALHO</t>
  </si>
  <si>
    <t xml:space="preserve">BEATRIZ SANTOS FREIRE</t>
  </si>
  <si>
    <t xml:space="preserve">ASSISTENTE ADM I</t>
  </si>
  <si>
    <t xml:space="preserve">CARLOS HENRIQUE DE SENA SANTOS</t>
  </si>
  <si>
    <t xml:space="preserve">MATERIAL NO ARMARIO 28/03(ESTOQUE)</t>
  </si>
  <si>
    <t xml:space="preserve">NO ESTOQUE </t>
  </si>
  <si>
    <t xml:space="preserve">VITORIA  ANDRESSA DE OLIVEIRA CEGELSKI</t>
  </si>
  <si>
    <t xml:space="preserve">EXCEL 2021/ POWER POINT</t>
  </si>
  <si>
    <t xml:space="preserve">ASSISTENDE DE ADM FINANCEIRA </t>
  </si>
  <si>
    <t xml:space="preserve">MATERIAL NO ARMARIO 09/01</t>
  </si>
  <si>
    <t xml:space="preserve">MATERIAL NO ARMARIO 12/12</t>
  </si>
  <si>
    <t xml:space="preserve">MATERIAL NO ARMARIO 09/01/24</t>
  </si>
  <si>
    <t xml:space="preserve">MONTAGEM E MANUTENÇÃO I E II</t>
  </si>
  <si>
    <t xml:space="preserve">entregue</t>
  </si>
  <si>
    <t xml:space="preserve">ANDRESSA PEREIRA DE MACEDO</t>
  </si>
  <si>
    <t xml:space="preserve">MATERIAL NO ARMARIO 09/12</t>
  </si>
  <si>
    <t xml:space="preserve">HÍCARO RUAN DE MELO DOS SANTOS</t>
  </si>
  <si>
    <t xml:space="preserve">MATERIAL NO ARMARIO 24/10</t>
  </si>
  <si>
    <t xml:space="preserve">MATERIAL NO ARMARIO 21/02</t>
  </si>
  <si>
    <t xml:space="preserve">CELULAR </t>
  </si>
  <si>
    <t xml:space="preserve">PHOTOSHOP AVANÇADO </t>
  </si>
  <si>
    <t xml:space="preserve">GLEISE DE SOUZA DOMINGUES</t>
  </si>
  <si>
    <t xml:space="preserve">MATERIAL NO ARMARIO 04/09</t>
  </si>
  <si>
    <t xml:space="preserve">, WORD E EXCEL</t>
  </si>
  <si>
    <t xml:space="preserve">MATERIAL NO ARMARIO 08/08</t>
  </si>
  <si>
    <t xml:space="preserve">CLEITON BATISTA DO NASCIMENTO SILVA</t>
  </si>
  <si>
    <t xml:space="preserve">MATERIAL NO ARMARIO 03/07</t>
  </si>
  <si>
    <t xml:space="preserve">JOELMA DE JESUS MOURA</t>
  </si>
  <si>
    <t xml:space="preserve">MATERIAL ENTREGUE</t>
  </si>
  <si>
    <t xml:space="preserve">MATERIAL NO ARMÁRIO 05/05/23</t>
  </si>
  <si>
    <t xml:space="preserve">REMILLY LIRA SILVA</t>
  </si>
  <si>
    <t xml:space="preserve">MATERIAL NO ARMÁRIO 10/01/23</t>
  </si>
  <si>
    <t xml:space="preserve">TATIANE BARBOSA VIEIRA</t>
  </si>
  <si>
    <t xml:space="preserve">ASS DE ADM FINANCEIRA </t>
  </si>
  <si>
    <t xml:space="preserve">WINDOWS /</t>
  </si>
  <si>
    <t xml:space="preserve">DATA DA CHEGADA 29/09</t>
  </si>
  <si>
    <t xml:space="preserve">WINDOWS 11, WORD, EXCEL ALUNA AVANÇADA</t>
  </si>
  <si>
    <t xml:space="preserve">MATERIAL NO ARMÁRIO 25/04/23</t>
  </si>
  <si>
    <t xml:space="preserve">ALUNA NOVA 01/02</t>
  </si>
  <si>
    <t xml:space="preserve">photosop essencial e avançado</t>
  </si>
  <si>
    <t xml:space="preserve">ALUNO NOVO 02/04</t>
  </si>
  <si>
    <t xml:space="preserve">WINDOWS</t>
  </si>
  <si>
    <t xml:space="preserve">ALUNA NOVA 02/04</t>
  </si>
  <si>
    <t xml:space="preserve">WINDOWS 15</t>
  </si>
  <si>
    <t xml:space="preserve">ALUNA NOVA 03/04</t>
  </si>
  <si>
    <t xml:space="preserve">ALUNA NOVA 06/04</t>
  </si>
  <si>
    <t xml:space="preserve">WINDOWS 17</t>
  </si>
  <si>
    <t xml:space="preserve">ALUNA NOVA 04/04</t>
  </si>
  <si>
    <t xml:space="preserve">ALUNA NOVA 22/04</t>
  </si>
  <si>
    <t xml:space="preserve">ASSISTENTE ADM</t>
  </si>
  <si>
    <t xml:space="preserve">ALUNA NOVA 23/04</t>
  </si>
  <si>
    <t xml:space="preserve">GESTÃO DE PESSOAS </t>
  </si>
  <si>
    <t xml:space="preserve">ALUNA NOVA 24/04</t>
  </si>
  <si>
    <t xml:space="preserve">ALUNO NOVO 24/04</t>
  </si>
  <si>
    <t xml:space="preserve">LOGICA DE PROGAMAÇÃO</t>
  </si>
  <si>
    <t xml:space="preserve">RENOVAÇÃO</t>
  </si>
  <si>
    <t xml:space="preserve">ALUNA NAVA 26/04</t>
  </si>
  <si>
    <t xml:space="preserve">AALUNO NOVO 26/04</t>
  </si>
  <si>
    <t xml:space="preserve">TRANFERENCIA DE CONTRATO</t>
  </si>
  <si>
    <t xml:space="preserve">ALUNA NOVA 26/04</t>
  </si>
</sst>
</file>

<file path=xl/styles.xml><?xml version="1.0" encoding="utf-8"?>
<styleSheet xmlns="http://schemas.openxmlformats.org/spreadsheetml/2006/main">
  <numFmts count="8">
    <numFmt numFmtId="164" formatCode="General"/>
    <numFmt numFmtId="165" formatCode="dd/mm/yyyy"/>
    <numFmt numFmtId="166" formatCode="[$-F800]dddd"/>
    <numFmt numFmtId="167" formatCode="0"/>
    <numFmt numFmtId="168" formatCode="#,##0"/>
    <numFmt numFmtId="169" formatCode="d/m/yyyy"/>
    <numFmt numFmtId="170" formatCode="0%"/>
    <numFmt numFmtId="171" formatCode="[$R$ -416]#,##0.00"/>
  </numFmts>
  <fonts count="33">
    <font>
      <sz val="11"/>
      <color rgb="FF000000"/>
      <name val="Georgia"/>
      <family val="0"/>
      <charset val="1"/>
    </font>
    <font>
      <sz val="10"/>
      <name val="Arial"/>
      <family val="0"/>
    </font>
    <font>
      <sz val="10"/>
      <name val="Arial"/>
      <family val="0"/>
    </font>
    <font>
      <sz val="10"/>
      <name val="Arial"/>
      <family val="0"/>
    </font>
    <font>
      <sz val="11"/>
      <color rgb="FF000000"/>
      <name val="Arial"/>
      <family val="2"/>
      <charset val="1"/>
    </font>
    <font>
      <b val="true"/>
      <sz val="11"/>
      <color rgb="FFFFFFFF"/>
      <name val="Arial"/>
      <family val="2"/>
      <charset val="1"/>
    </font>
    <font>
      <sz val="10"/>
      <color rgb="FFFFFFFF"/>
      <name val="Times New Roman"/>
      <family val="1"/>
    </font>
    <font>
      <sz val="11"/>
      <color theme="1"/>
      <name val="Arial"/>
      <family val="2"/>
      <charset val="1"/>
    </font>
    <font>
      <sz val="10"/>
      <name val="Arial"/>
      <family val="2"/>
    </font>
    <font>
      <b val="true"/>
      <sz val="18"/>
      <color rgb="FFFFFF00"/>
      <name val="Calibri"/>
      <family val="0"/>
      <charset val="1"/>
    </font>
    <font>
      <b val="true"/>
      <sz val="11"/>
      <color rgb="FF000000"/>
      <name val="Calibri"/>
      <family val="0"/>
      <charset val="1"/>
    </font>
    <font>
      <b val="true"/>
      <sz val="11"/>
      <color theme="1"/>
      <name val="Calibri"/>
      <family val="0"/>
      <charset val="1"/>
    </font>
    <font>
      <b val="true"/>
      <sz val="9"/>
      <color rgb="FFFFFFFF"/>
      <name val="Calibri"/>
      <family val="0"/>
      <charset val="1"/>
    </font>
    <font>
      <b val="true"/>
      <sz val="9"/>
      <color rgb="FFFFFFFF"/>
      <name val="Arial"/>
      <family val="0"/>
      <charset val="1"/>
    </font>
    <font>
      <b val="true"/>
      <sz val="9"/>
      <color rgb="FF000000"/>
      <name val="Calibri"/>
      <family val="0"/>
      <charset val="1"/>
    </font>
    <font>
      <b val="true"/>
      <sz val="10"/>
      <color rgb="FF000000"/>
      <name val="Arial"/>
      <family val="0"/>
      <charset val="1"/>
    </font>
    <font>
      <b val="true"/>
      <sz val="11"/>
      <color rgb="FF000000"/>
      <name val="Arial"/>
      <family val="0"/>
      <charset val="1"/>
    </font>
    <font>
      <b val="true"/>
      <sz val="11"/>
      <color theme="1"/>
      <name val="Georgia"/>
      <family val="0"/>
      <charset val="1"/>
    </font>
    <font>
      <b val="true"/>
      <sz val="9"/>
      <color rgb="FF000000"/>
      <name val="Arial"/>
      <family val="0"/>
      <charset val="1"/>
    </font>
    <font>
      <b val="true"/>
      <sz val="11"/>
      <color rgb="FF000000"/>
      <name val="Docs-Calibri"/>
      <family val="0"/>
      <charset val="1"/>
    </font>
    <font>
      <sz val="11"/>
      <color theme="1"/>
      <name val="Calibri"/>
      <family val="0"/>
      <charset val="1"/>
    </font>
    <font>
      <sz val="11"/>
      <color rgb="FF000000"/>
      <name val="Calibri"/>
      <family val="0"/>
      <charset val="1"/>
    </font>
    <font>
      <sz val="11"/>
      <color theme="1"/>
      <name val="Arial"/>
      <family val="0"/>
      <charset val="1"/>
    </font>
    <font>
      <sz val="10"/>
      <color rgb="FF000000"/>
      <name val="Arial"/>
      <family val="0"/>
      <charset val="1"/>
    </font>
    <font>
      <b val="true"/>
      <sz val="18"/>
      <color rgb="FF000000"/>
      <name val="Calibri"/>
      <family val="0"/>
      <charset val="1"/>
    </font>
    <font>
      <sz val="11"/>
      <color theme="1"/>
      <name val="Georgia"/>
      <family val="0"/>
      <charset val="1"/>
    </font>
    <font>
      <b val="true"/>
      <sz val="11"/>
      <color rgb="FFEFEFEF"/>
      <name val="Georgia"/>
      <family val="0"/>
      <charset val="1"/>
    </font>
    <font>
      <sz val="11"/>
      <color rgb="FF000000"/>
      <name val="Arial"/>
      <family val="0"/>
      <charset val="1"/>
    </font>
    <font>
      <sz val="11"/>
      <color rgb="FF000000"/>
      <name val="Docs-Calibri"/>
      <family val="0"/>
      <charset val="1"/>
    </font>
    <font>
      <sz val="11"/>
      <color rgb="FF0000FF"/>
      <name val="Georgia"/>
      <family val="0"/>
      <charset val="1"/>
    </font>
    <font>
      <b val="true"/>
      <sz val="11"/>
      <color theme="1"/>
      <name val="Arial"/>
      <family val="0"/>
      <charset val="1"/>
    </font>
    <font>
      <strike val="true"/>
      <sz val="11"/>
      <color theme="1"/>
      <name val="Georgia"/>
      <family val="0"/>
      <charset val="1"/>
    </font>
    <font>
      <sz val="11"/>
      <color rgb="FF071924"/>
      <name val="Times New Roman"/>
      <family val="0"/>
    </font>
  </fonts>
  <fills count="12">
    <fill>
      <patternFill patternType="none"/>
    </fill>
    <fill>
      <patternFill patternType="gray125"/>
    </fill>
    <fill>
      <patternFill patternType="solid">
        <fgColor rgb="FF2A6099"/>
        <bgColor rgb="FF666699"/>
      </patternFill>
    </fill>
    <fill>
      <patternFill patternType="solid">
        <fgColor rgb="FFFF0000"/>
        <bgColor rgb="FFE42727"/>
      </patternFill>
    </fill>
    <fill>
      <patternFill patternType="solid">
        <fgColor rgb="FFFFFF00"/>
        <bgColor rgb="FFFFFF00"/>
      </patternFill>
    </fill>
    <fill>
      <patternFill patternType="solid">
        <fgColor rgb="FF002060"/>
        <bgColor rgb="FF071924"/>
      </patternFill>
    </fill>
    <fill>
      <patternFill patternType="solid">
        <fgColor rgb="FFFDDCE8"/>
        <bgColor rgb="FFEAD1DC"/>
      </patternFill>
    </fill>
    <fill>
      <patternFill patternType="solid">
        <fgColor rgb="FFEAD1DC"/>
        <bgColor rgb="FFFDDCE8"/>
      </patternFill>
    </fill>
    <fill>
      <patternFill patternType="solid">
        <fgColor theme="0"/>
        <bgColor rgb="FFEFEFEF"/>
      </patternFill>
    </fill>
    <fill>
      <patternFill patternType="solid">
        <fgColor rgb="FF0000FF"/>
        <bgColor rgb="FF0000FF"/>
      </patternFill>
    </fill>
    <fill>
      <patternFill patternType="solid">
        <fgColor rgb="FF00FF00"/>
        <bgColor rgb="FF19BD19"/>
      </patternFill>
    </fill>
    <fill>
      <patternFill patternType="solid">
        <fgColor rgb="FFA5A5A5"/>
        <bgColor rgb="FFC0C0C0"/>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right style="thin"/>
      <top/>
      <bottom/>
      <diagonal/>
    </border>
    <border diagonalUp="false" diagonalDown="false">
      <left/>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center" vertical="center" textRotation="0" wrapText="false" indent="0" shrinkToFit="false"/>
      <protection locked="true" hidden="false"/>
    </xf>
    <xf numFmtId="164" fontId="6" fillId="2" borderId="0" xfId="0" applyFont="true" applyBorder="false" applyAlignment="true" applyProtection="true">
      <alignment horizontal="center" vertical="center" textRotation="0" wrapText="true" indent="0" shrinkToFit="false"/>
      <protection locked="true" hidden="false"/>
    </xf>
    <xf numFmtId="164" fontId="5" fillId="2" borderId="0" xfId="0" applyFont="true" applyBorder="false" applyAlignment="true" applyProtection="true">
      <alignment horizontal="center" vertical="center" textRotation="0" wrapText="true" indent="0" shrinkToFit="false"/>
      <protection locked="true" hidden="false"/>
    </xf>
    <xf numFmtId="165" fontId="5" fillId="2"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6" fontId="4" fillId="0" borderId="0" xfId="0" applyFont="true" applyBorder="false" applyAlignment="true" applyProtection="true">
      <alignment horizontal="left" vertical="center" textRotation="0" wrapText="false" indent="0" shrinkToFit="false"/>
      <protection locked="true" hidden="false"/>
    </xf>
    <xf numFmtId="165" fontId="4" fillId="0" borderId="0" xfId="0" applyFont="true" applyBorder="false" applyAlignment="true" applyProtection="true">
      <alignment horizontal="center" vertical="bottom" textRotation="0" wrapText="false" indent="0" shrinkToFit="false"/>
      <protection locked="true" hidden="false"/>
    </xf>
    <xf numFmtId="165" fontId="4" fillId="0" borderId="0" xfId="0" applyFont="true" applyBorder="false" applyAlignment="true" applyProtection="true">
      <alignment horizontal="right" vertical="bottom" textRotation="0" wrapText="false" indent="0" shrinkToFit="false"/>
      <protection locked="true" hidden="false"/>
    </xf>
    <xf numFmtId="167"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8" fontId="4"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9" fontId="4" fillId="0" borderId="0" xfId="0" applyFont="true" applyBorder="false" applyAlignment="true" applyProtection="true">
      <alignment horizontal="center" vertical="bottom" textRotation="0" wrapText="false" indent="0" shrinkToFit="false"/>
      <protection locked="true" hidden="false"/>
    </xf>
    <xf numFmtId="169" fontId="4" fillId="0" borderId="0" xfId="0" applyFont="true" applyBorder="false" applyAlignment="true" applyProtection="true">
      <alignment horizontal="right"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center" vertical="center" textRotation="0" wrapText="false" indent="0" shrinkToFit="false"/>
      <protection locked="true" hidden="false"/>
    </xf>
    <xf numFmtId="165" fontId="4" fillId="0" borderId="0" xfId="0" applyFont="true" applyBorder="false" applyAlignment="true" applyProtection="true">
      <alignment horizontal="left" vertical="center"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6" fontId="4" fillId="0" borderId="0" xfId="0" applyFont="true" applyBorder="false" applyAlignment="true" applyProtection="true">
      <alignment horizontal="center" vertical="center" textRotation="0" wrapText="false" indent="0" shrinkToFit="false"/>
      <protection locked="true" hidden="false"/>
    </xf>
    <xf numFmtId="170"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5" fontId="7" fillId="0" borderId="0" xfId="0" applyFont="true" applyBorder="false" applyAlignment="true" applyProtection="true">
      <alignment horizontal="left" vertical="bottom" textRotation="0" wrapText="false" indent="0" shrinkToFit="false"/>
      <protection locked="true" hidden="false"/>
    </xf>
    <xf numFmtId="165" fontId="7" fillId="0" borderId="0" xfId="0" applyFont="true" applyBorder="false" applyAlignment="true" applyProtection="true">
      <alignment horizontal="center" vertical="bottom" textRotation="0" wrapText="false" indent="0" shrinkToFit="false"/>
      <protection locked="true" hidden="false"/>
    </xf>
    <xf numFmtId="170" fontId="7" fillId="0" borderId="0" xfId="0" applyFont="true" applyBorder="false" applyAlignment="true" applyProtection="true">
      <alignment horizontal="center" vertical="bottom" textRotation="0" wrapText="false" indent="0" shrinkToFit="false"/>
      <protection locked="true" hidden="false"/>
    </xf>
    <xf numFmtId="164" fontId="9" fillId="3" borderId="0" xfId="0" applyFont="true" applyBorder="true" applyAlignment="true" applyProtection="true">
      <alignment horizontal="center" vertical="bottom" textRotation="0" wrapText="false" indent="0" shrinkToFit="false"/>
      <protection locked="true" hidden="false"/>
    </xf>
    <xf numFmtId="164" fontId="10" fillId="4" borderId="1" xfId="0" applyFont="true" applyBorder="true" applyAlignment="true" applyProtection="true">
      <alignment horizontal="center" vertical="bottom" textRotation="0" wrapText="false" indent="0" shrinkToFit="false"/>
      <protection locked="true" hidden="false"/>
    </xf>
    <xf numFmtId="165" fontId="10" fillId="4" borderId="1" xfId="0" applyFont="true" applyBorder="tru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right" vertical="bottom" textRotation="0" wrapText="false" indent="0" shrinkToFit="false"/>
      <protection locked="true" hidden="false"/>
    </xf>
    <xf numFmtId="167" fontId="10" fillId="0" borderId="0" xfId="0" applyFont="true" applyBorder="fals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center" vertical="center" textRotation="0" wrapText="false" indent="0" shrinkToFit="false"/>
      <protection locked="true" hidden="false"/>
    </xf>
    <xf numFmtId="170" fontId="10" fillId="0" borderId="0" xfId="0" applyFont="true" applyBorder="false" applyAlignment="true" applyProtection="true">
      <alignment horizontal="center" vertical="center" textRotation="0" wrapText="false" indent="0" shrinkToFit="false"/>
      <protection locked="true" hidden="false"/>
    </xf>
    <xf numFmtId="168" fontId="10" fillId="0" borderId="0" xfId="0" applyFont="true" applyBorder="false" applyAlignment="true" applyProtection="true">
      <alignment horizontal="center" vertical="center" textRotation="0" wrapText="false" indent="0" shrinkToFit="false"/>
      <protection locked="true" hidden="false"/>
    </xf>
    <xf numFmtId="165" fontId="10" fillId="0" borderId="0" xfId="0" applyFont="true" applyBorder="fals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2" fillId="3" borderId="1" xfId="0" applyFont="true" applyBorder="true" applyAlignment="true" applyProtection="true">
      <alignment horizontal="center" vertical="center" textRotation="0" wrapText="false" indent="0" shrinkToFit="false"/>
      <protection locked="true" hidden="false"/>
    </xf>
    <xf numFmtId="164" fontId="13" fillId="3" borderId="1" xfId="0" applyFont="true" applyBorder="true" applyAlignment="true" applyProtection="true">
      <alignment horizontal="center" vertical="center" textRotation="0" wrapText="true" indent="0" shrinkToFit="false"/>
      <protection locked="true" hidden="false"/>
    </xf>
    <xf numFmtId="164" fontId="12" fillId="3" borderId="1" xfId="0" applyFont="true" applyBorder="true" applyAlignment="true" applyProtection="true">
      <alignment horizontal="center" vertical="center" textRotation="0" wrapText="true" indent="0" shrinkToFit="false"/>
      <protection locked="true" hidden="false"/>
    </xf>
    <xf numFmtId="164" fontId="14" fillId="5" borderId="0" xfId="0" applyFont="true" applyBorder="true" applyAlignment="true" applyProtection="true">
      <alignment horizontal="center" vertical="center" textRotation="0" wrapText="true" indent="0" shrinkToFit="false"/>
      <protection locked="true" hidden="false"/>
    </xf>
    <xf numFmtId="164" fontId="14" fillId="5" borderId="0" xfId="0" applyFont="true" applyBorder="false" applyAlignment="true" applyProtection="true">
      <alignment horizontal="center" vertical="center" textRotation="0" wrapText="true" indent="0" shrinkToFit="false"/>
      <protection locked="true" hidden="false"/>
    </xf>
    <xf numFmtId="164" fontId="10" fillId="6" borderId="0" xfId="0" applyFont="true" applyBorder="false" applyAlignment="true" applyProtection="true">
      <alignment horizontal="general" vertical="bottom" textRotation="0" wrapText="false" indent="0" shrinkToFit="false"/>
      <protection locked="true" hidden="false"/>
    </xf>
    <xf numFmtId="166" fontId="15" fillId="6" borderId="0" xfId="0" applyFont="true" applyBorder="false" applyAlignment="true" applyProtection="true">
      <alignment horizontal="left" vertical="center" textRotation="0" wrapText="false" indent="0" shrinkToFit="false"/>
      <protection locked="true" hidden="false"/>
    </xf>
    <xf numFmtId="165" fontId="10" fillId="6" borderId="0" xfId="0" applyFont="true" applyBorder="false" applyAlignment="true" applyProtection="true">
      <alignment horizontal="right" vertical="bottom" textRotation="0" wrapText="false" indent="0" shrinkToFit="false"/>
      <protection locked="true" hidden="false"/>
    </xf>
    <xf numFmtId="167" fontId="10" fillId="6" borderId="0" xfId="0" applyFont="true" applyBorder="false" applyAlignment="true" applyProtection="true">
      <alignment horizontal="center" vertical="center" textRotation="0" wrapText="false" indent="0" shrinkToFit="false"/>
      <protection locked="true" hidden="false"/>
    </xf>
    <xf numFmtId="164" fontId="10" fillId="6" borderId="0" xfId="0" applyFont="true" applyBorder="false" applyAlignment="true" applyProtection="true">
      <alignment horizontal="center" vertical="center" textRotation="0" wrapText="false" indent="0" shrinkToFit="false"/>
      <protection locked="true" hidden="false"/>
    </xf>
    <xf numFmtId="170" fontId="10" fillId="6" borderId="0" xfId="0" applyFont="true" applyBorder="false" applyAlignment="true" applyProtection="true">
      <alignment horizontal="center" vertical="center" textRotation="0" wrapText="false" indent="0" shrinkToFit="false"/>
      <protection locked="true" hidden="false"/>
    </xf>
    <xf numFmtId="168" fontId="10" fillId="6" borderId="0" xfId="0" applyFont="true" applyBorder="false" applyAlignment="true" applyProtection="true">
      <alignment horizontal="center" vertical="center" textRotation="0" wrapText="false" indent="0" shrinkToFit="false"/>
      <protection locked="true" hidden="false"/>
    </xf>
    <xf numFmtId="165" fontId="10" fillId="6" borderId="0" xfId="0" applyFont="true" applyBorder="false" applyAlignment="true" applyProtection="true">
      <alignment horizontal="center" vertical="bottom" textRotation="0" wrapText="false" indent="0" shrinkToFit="false"/>
      <protection locked="true" hidden="false"/>
    </xf>
    <xf numFmtId="164" fontId="11" fillId="7" borderId="0" xfId="0" applyFont="true" applyBorder="false" applyAlignment="true" applyProtection="true">
      <alignment horizontal="general" vertical="bottom" textRotation="0" wrapText="false" indent="0" shrinkToFit="false"/>
      <protection locked="true" hidden="false"/>
    </xf>
    <xf numFmtId="164" fontId="10" fillId="7" borderId="0" xfId="0" applyFont="true" applyBorder="false" applyAlignment="true" applyProtection="true">
      <alignment horizontal="general" vertical="bottom" textRotation="0" wrapText="false" indent="0" shrinkToFit="false"/>
      <protection locked="true" hidden="false"/>
    </xf>
    <xf numFmtId="166" fontId="15" fillId="0" borderId="0" xfId="0" applyFont="true" applyBorder="false" applyAlignment="true" applyProtection="true">
      <alignment horizontal="left" vertical="center" textRotation="0" wrapText="false" indent="0" shrinkToFit="false"/>
      <protection locked="true" hidden="false"/>
    </xf>
    <xf numFmtId="164" fontId="11" fillId="8" borderId="0" xfId="0" applyFont="true" applyBorder="false" applyAlignment="true" applyProtection="true">
      <alignment horizontal="general" vertical="bottom" textRotation="0" wrapText="false" indent="0" shrinkToFit="false"/>
      <protection locked="true" hidden="false"/>
    </xf>
    <xf numFmtId="166" fontId="15" fillId="8" borderId="0" xfId="0" applyFont="true" applyBorder="false" applyAlignment="true" applyProtection="true">
      <alignment horizontal="left" vertical="center" textRotation="0" wrapText="false" indent="0" shrinkToFit="false"/>
      <protection locked="true" hidden="false"/>
    </xf>
    <xf numFmtId="165" fontId="10" fillId="8" borderId="0" xfId="0" applyFont="true" applyBorder="false" applyAlignment="true" applyProtection="true">
      <alignment horizontal="right" vertical="bottom" textRotation="0" wrapText="false" indent="0" shrinkToFit="false"/>
      <protection locked="true" hidden="false"/>
    </xf>
    <xf numFmtId="167" fontId="10" fillId="8" borderId="0" xfId="0" applyFont="true" applyBorder="false" applyAlignment="true" applyProtection="true">
      <alignment horizontal="center" vertical="center" textRotation="0" wrapText="false" indent="0" shrinkToFit="false"/>
      <protection locked="true" hidden="false"/>
    </xf>
    <xf numFmtId="164" fontId="10" fillId="8" borderId="0" xfId="0" applyFont="true" applyBorder="false" applyAlignment="true" applyProtection="true">
      <alignment horizontal="center" vertical="center" textRotation="0" wrapText="false" indent="0" shrinkToFit="false"/>
      <protection locked="true" hidden="false"/>
    </xf>
    <xf numFmtId="170" fontId="10" fillId="8" borderId="0" xfId="0" applyFont="true" applyBorder="false" applyAlignment="true" applyProtection="true">
      <alignment horizontal="center" vertical="center" textRotation="0" wrapText="false" indent="0" shrinkToFit="false"/>
      <protection locked="true" hidden="false"/>
    </xf>
    <xf numFmtId="168" fontId="10" fillId="8" borderId="0" xfId="0" applyFont="true" applyBorder="false" applyAlignment="true" applyProtection="true">
      <alignment horizontal="center" vertical="center" textRotation="0" wrapText="false" indent="0" shrinkToFit="false"/>
      <protection locked="true" hidden="false"/>
    </xf>
    <xf numFmtId="165" fontId="10" fillId="8" borderId="0" xfId="0" applyFont="true" applyBorder="false" applyAlignment="true" applyProtection="true">
      <alignment horizontal="center" vertical="bottom" textRotation="0" wrapText="false" indent="0" shrinkToFit="false"/>
      <protection locked="true" hidden="false"/>
    </xf>
    <xf numFmtId="164" fontId="16" fillId="8" borderId="0" xfId="0" applyFont="true" applyBorder="false" applyAlignment="true" applyProtection="true">
      <alignment horizontal="left" vertical="bottom" textRotation="0" wrapText="fals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8" borderId="0" xfId="0" applyFont="true" applyBorder="false" applyAlignment="true" applyProtection="true">
      <alignment horizontal="left" vertical="bottom" textRotation="0" wrapText="false" indent="0" shrinkToFit="false"/>
      <protection locked="true" hidden="false"/>
    </xf>
    <xf numFmtId="164" fontId="10" fillId="6" borderId="0" xfId="0" applyFont="true" applyBorder="false" applyAlignment="true" applyProtection="true">
      <alignment horizontal="left" vertical="bottom" textRotation="0" wrapText="false" indent="0" shrinkToFit="false"/>
      <protection locked="true" hidden="false"/>
    </xf>
    <xf numFmtId="164" fontId="11" fillId="6"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left" vertical="center" textRotation="0" wrapText="false" indent="0" shrinkToFit="false"/>
      <protection locked="true" hidden="false"/>
    </xf>
    <xf numFmtId="164" fontId="16" fillId="6" borderId="0" xfId="0" applyFont="tru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19" fillId="8" borderId="0" xfId="0" applyFont="true" applyBorder="false" applyAlignment="true" applyProtection="true">
      <alignment horizontal="left"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5" fontId="21" fillId="0" borderId="0" xfId="0" applyFont="true" applyBorder="false" applyAlignment="true" applyProtection="true">
      <alignment horizontal="right" vertical="bottom" textRotation="0" wrapText="false" indent="0" shrinkToFit="false"/>
      <protection locked="true" hidden="false"/>
    </xf>
    <xf numFmtId="167" fontId="21" fillId="0" borderId="0" xfId="0" applyFont="true" applyBorder="fals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70" fontId="21" fillId="0" borderId="0" xfId="0" applyFont="true" applyBorder="false" applyAlignment="true" applyProtection="true">
      <alignment horizontal="center" vertical="center" textRotation="0" wrapText="false" indent="0" shrinkToFit="false"/>
      <protection locked="true" hidden="false"/>
    </xf>
    <xf numFmtId="168" fontId="21" fillId="0" borderId="0" xfId="0" applyFont="true" applyBorder="false" applyAlignment="true" applyProtection="true">
      <alignment horizontal="center" vertical="center" textRotation="0" wrapText="false" indent="0" shrinkToFit="false"/>
      <protection locked="true" hidden="false"/>
    </xf>
    <xf numFmtId="165" fontId="21" fillId="0" borderId="0" xfId="0" applyFont="true" applyBorder="false" applyAlignment="true" applyProtection="true">
      <alignment horizontal="center" vertical="bottom" textRotation="0" wrapText="false" indent="0" shrinkToFit="false"/>
      <protection locked="true" hidden="false"/>
    </xf>
    <xf numFmtId="164" fontId="20" fillId="7"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0" fillId="8" borderId="0" xfId="0" applyFont="true" applyBorder="false" applyAlignment="true" applyProtection="true">
      <alignment horizontal="general" vertical="bottom" textRotation="0" wrapText="false" indent="0" shrinkToFit="false"/>
      <protection locked="true" hidden="false"/>
    </xf>
    <xf numFmtId="165" fontId="21" fillId="8" borderId="0" xfId="0" applyFont="true" applyBorder="false" applyAlignment="true" applyProtection="true">
      <alignment horizontal="right" vertical="bottom" textRotation="0" wrapText="false" indent="0" shrinkToFit="false"/>
      <protection locked="true" hidden="false"/>
    </xf>
    <xf numFmtId="167" fontId="21" fillId="8" borderId="0" xfId="0" applyFont="true" applyBorder="false" applyAlignment="true" applyProtection="true">
      <alignment horizontal="center" vertical="center" textRotation="0" wrapText="false" indent="0" shrinkToFit="false"/>
      <protection locked="true" hidden="false"/>
    </xf>
    <xf numFmtId="164" fontId="21" fillId="8" borderId="0" xfId="0" applyFont="true" applyBorder="false" applyAlignment="true" applyProtection="true">
      <alignment horizontal="center" vertical="center" textRotation="0" wrapText="false" indent="0" shrinkToFit="false"/>
      <protection locked="true" hidden="false"/>
    </xf>
    <xf numFmtId="170" fontId="21" fillId="8" borderId="0" xfId="0" applyFont="true" applyBorder="false" applyAlignment="true" applyProtection="true">
      <alignment horizontal="center" vertical="center" textRotation="0" wrapText="false" indent="0" shrinkToFit="false"/>
      <protection locked="true" hidden="false"/>
    </xf>
    <xf numFmtId="168" fontId="21" fillId="8" borderId="0" xfId="0" applyFont="true" applyBorder="false" applyAlignment="true" applyProtection="true">
      <alignment horizontal="center" vertical="center" textRotation="0" wrapText="false" indent="0" shrinkToFit="false"/>
      <protection locked="true" hidden="false"/>
    </xf>
    <xf numFmtId="165" fontId="21" fillId="8" borderId="0" xfId="0" applyFont="true" applyBorder="false" applyAlignment="true" applyProtection="true">
      <alignment horizontal="center" vertical="bottom" textRotation="0" wrapText="false" indent="0" shrinkToFit="false"/>
      <protection locked="true" hidden="false"/>
    </xf>
    <xf numFmtId="164" fontId="21" fillId="8" borderId="0" xfId="0" applyFont="true" applyBorder="false" applyAlignment="true" applyProtection="true">
      <alignment horizontal="general" vertical="bottom" textRotation="0" wrapText="false" indent="0" shrinkToFit="false"/>
      <protection locked="true" hidden="false"/>
    </xf>
    <xf numFmtId="164" fontId="22" fillId="8" borderId="0" xfId="0" applyFont="true" applyBorder="false" applyAlignment="true" applyProtection="true">
      <alignment horizontal="general" vertical="bottom" textRotation="0" wrapText="false" indent="0" shrinkToFit="false"/>
      <protection locked="true" hidden="false"/>
    </xf>
    <xf numFmtId="164" fontId="23" fillId="8" borderId="0" xfId="0" applyFont="true" applyBorder="false" applyAlignment="true" applyProtection="true">
      <alignment horizontal="left" vertical="center" textRotation="0" wrapText="false" indent="0" shrinkToFit="false"/>
      <protection locked="true" hidden="false"/>
    </xf>
    <xf numFmtId="165" fontId="20" fillId="8" borderId="0" xfId="0" applyFont="true" applyBorder="false" applyAlignment="true" applyProtection="true">
      <alignment horizontal="general" vertical="bottom" textRotation="0" wrapText="false" indent="0" shrinkToFit="false"/>
      <protection locked="true" hidden="false"/>
    </xf>
    <xf numFmtId="165" fontId="22" fillId="8" borderId="0" xfId="0" applyFont="true" applyBorder="false" applyAlignment="true" applyProtection="true">
      <alignment horizontal="general" vertical="bottom" textRotation="0" wrapText="false" indent="0" shrinkToFit="false"/>
      <protection locked="true" hidden="false"/>
    </xf>
    <xf numFmtId="164" fontId="20" fillId="8" borderId="0" xfId="0" applyFont="true" applyBorder="false" applyAlignment="true" applyProtection="true">
      <alignment horizontal="center" vertical="bottom" textRotation="0" wrapText="false" indent="0" shrinkToFit="false"/>
      <protection locked="true" hidden="false"/>
    </xf>
    <xf numFmtId="165" fontId="22" fillId="0" borderId="0" xfId="0" applyFont="true" applyBorder="false" applyAlignment="true" applyProtection="true">
      <alignment horizontal="general" vertical="bottom" textRotation="0" wrapText="false" indent="0" shrinkToFit="false"/>
      <protection locked="true" hidden="false"/>
    </xf>
    <xf numFmtId="165" fontId="20"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center" vertical="bottom" textRotation="0" wrapText="false" indent="0" shrinkToFit="false"/>
      <protection locked="true" hidden="false"/>
    </xf>
    <xf numFmtId="164" fontId="20" fillId="0" borderId="0" xfId="0" applyFont="true" applyBorder="true" applyAlignment="true" applyProtection="true">
      <alignment horizontal="general" vertical="bottom" textRotation="0" wrapText="false" indent="0" shrinkToFit="false"/>
      <protection locked="true" hidden="false"/>
    </xf>
    <xf numFmtId="164" fontId="24" fillId="8" borderId="0" xfId="0" applyFont="true" applyBorder="false" applyAlignment="true" applyProtection="true">
      <alignment horizontal="center" vertical="bottom" textRotation="0" wrapText="false" indent="0" shrinkToFit="false"/>
      <protection locked="true" hidden="false"/>
    </xf>
    <xf numFmtId="164" fontId="25" fillId="8" borderId="0" xfId="0" applyFont="true" applyBorder="false" applyAlignment="true" applyProtection="true">
      <alignment horizontal="general" vertical="bottom" textRotation="0" wrapText="false" indent="0" shrinkToFit="false"/>
      <protection locked="true" hidden="false"/>
    </xf>
    <xf numFmtId="164" fontId="26" fillId="9" borderId="1" xfId="0" applyFont="true" applyBorder="true" applyAlignment="true" applyProtection="true">
      <alignment horizontal="general" vertical="bottom" textRotation="0" wrapText="false" indent="0" shrinkToFit="false"/>
      <protection locked="true" hidden="false"/>
    </xf>
    <xf numFmtId="164" fontId="26" fillId="9" borderId="1" xfId="0" applyFont="true" applyBorder="true" applyAlignment="true" applyProtection="true">
      <alignment horizontal="center" vertical="bottom" textRotation="0" wrapText="false" indent="0" shrinkToFit="false"/>
      <protection locked="true" hidden="false"/>
    </xf>
    <xf numFmtId="168" fontId="26" fillId="9" borderId="1" xfId="0" applyFont="true" applyBorder="true" applyAlignment="true" applyProtection="true">
      <alignment horizontal="center" vertical="bottom" textRotation="0" wrapText="false" indent="0" shrinkToFit="false"/>
      <protection locked="true" hidden="false"/>
    </xf>
    <xf numFmtId="164" fontId="25" fillId="4" borderId="1" xfId="0" applyFont="true" applyBorder="true" applyAlignment="true" applyProtection="true">
      <alignment horizontal="general" vertical="bottom" textRotation="0" wrapText="false" indent="0" shrinkToFit="false"/>
      <protection locked="true" hidden="false"/>
    </xf>
    <xf numFmtId="170" fontId="25" fillId="4" borderId="1" xfId="0" applyFont="true" applyBorder="true" applyAlignment="true" applyProtection="true">
      <alignment horizontal="general" vertical="bottom" textRotation="0" wrapText="false" indent="0" shrinkToFit="false"/>
      <protection locked="true" hidden="false"/>
    </xf>
    <xf numFmtId="168" fontId="25" fillId="4" borderId="1" xfId="0" applyFont="true" applyBorder="true" applyAlignment="true" applyProtection="true">
      <alignment horizontal="center" vertical="bottom" textRotation="0" wrapText="false" indent="0" shrinkToFit="false"/>
      <protection locked="true" hidden="false"/>
    </xf>
    <xf numFmtId="171" fontId="22" fillId="4" borderId="1" xfId="0" applyFont="true" applyBorder="true" applyAlignment="true" applyProtection="true">
      <alignment horizontal="general" vertical="bottom" textRotation="0" wrapText="false" indent="0" shrinkToFit="false"/>
      <protection locked="true" hidden="false"/>
    </xf>
    <xf numFmtId="164" fontId="22" fillId="4" borderId="1" xfId="0" applyFont="true" applyBorder="true" applyAlignment="true" applyProtection="true">
      <alignment horizontal="general" vertical="bottom" textRotation="0" wrapText="false" indent="0" shrinkToFit="false"/>
      <protection locked="true" hidden="false"/>
    </xf>
    <xf numFmtId="164" fontId="25" fillId="4" borderId="3" xfId="0" applyFont="true" applyBorder="tru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general" vertical="bottom" textRotation="0" wrapText="false" indent="0" shrinkToFit="false"/>
      <protection locked="true" hidden="false"/>
    </xf>
    <xf numFmtId="164" fontId="22" fillId="4" borderId="4" xfId="0" applyFont="true" applyBorder="true" applyAlignment="true" applyProtection="true">
      <alignment horizontal="general" vertical="bottom" textRotation="0" wrapText="false" indent="0" shrinkToFit="false"/>
      <protection locked="true" hidden="false"/>
    </xf>
    <xf numFmtId="164" fontId="25" fillId="4" borderId="0" xfId="0" applyFont="true" applyBorder="false" applyAlignment="true" applyProtection="true">
      <alignment horizontal="general" vertical="bottom" textRotation="0" wrapText="false" indent="0" shrinkToFit="false"/>
      <protection locked="true" hidden="false"/>
    </xf>
    <xf numFmtId="164" fontId="27" fillId="4" borderId="1" xfId="0" applyFont="true" applyBorder="true" applyAlignment="true" applyProtection="true">
      <alignment horizontal="left" vertical="bottom" textRotation="0" wrapText="false" indent="0" shrinkToFit="false"/>
      <protection locked="true" hidden="false"/>
    </xf>
    <xf numFmtId="164" fontId="25" fillId="10" borderId="0" xfId="0" applyFont="true" applyBorder="false" applyAlignment="true" applyProtection="true">
      <alignment horizontal="general" vertical="bottom" textRotation="0" wrapText="false" indent="0" shrinkToFit="false"/>
      <protection locked="true" hidden="false"/>
    </xf>
    <xf numFmtId="164" fontId="25" fillId="8" borderId="1" xfId="0" applyFont="true" applyBorder="true" applyAlignment="true" applyProtection="true">
      <alignment horizontal="general" vertical="bottom" textRotation="0" wrapText="false" indent="0" shrinkToFit="false"/>
      <protection locked="true" hidden="false"/>
    </xf>
    <xf numFmtId="170" fontId="25" fillId="8" borderId="1" xfId="0" applyFont="true" applyBorder="true" applyAlignment="true" applyProtection="true">
      <alignment horizontal="general" vertical="bottom" textRotation="0" wrapText="false" indent="0" shrinkToFit="false"/>
      <protection locked="true" hidden="false"/>
    </xf>
    <xf numFmtId="168" fontId="25" fillId="8" borderId="1" xfId="0" applyFont="true" applyBorder="true" applyAlignment="true" applyProtection="true">
      <alignment horizontal="center" vertical="bottom" textRotation="0" wrapText="false" indent="0" shrinkToFit="false"/>
      <protection locked="true" hidden="false"/>
    </xf>
    <xf numFmtId="164" fontId="22" fillId="8" borderId="4" xfId="0" applyFont="true" applyBorder="true" applyAlignment="true" applyProtection="true">
      <alignment horizontal="general" vertical="bottom" textRotation="0" wrapText="false" indent="0" shrinkToFit="false"/>
      <protection locked="true" hidden="false"/>
    </xf>
    <xf numFmtId="164" fontId="25" fillId="8" borderId="3" xfId="0" applyFont="true" applyBorder="tru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28" fillId="4" borderId="1" xfId="0" applyFont="true" applyBorder="true" applyAlignment="true" applyProtection="true">
      <alignment horizontal="left" vertical="bottom" textRotation="0" wrapText="false" indent="0" shrinkToFit="false"/>
      <protection locked="true" hidden="false"/>
    </xf>
    <xf numFmtId="171" fontId="25" fillId="4" borderId="1" xfId="0" applyFont="true" applyBorder="true" applyAlignment="true" applyProtection="true">
      <alignment horizontal="general" vertical="bottom" textRotation="0" wrapText="false" indent="0" shrinkToFit="false"/>
      <protection locked="true" hidden="false"/>
    </xf>
    <xf numFmtId="164" fontId="25" fillId="4" borderId="4" xfId="0" applyFont="true" applyBorder="true" applyAlignment="true" applyProtection="true">
      <alignment horizontal="general" vertical="bottom" textRotation="0" wrapText="false" indent="0" shrinkToFit="false"/>
      <protection locked="true" hidden="false"/>
    </xf>
    <xf numFmtId="164" fontId="28" fillId="8" borderId="4" xfId="0" applyFont="true" applyBorder="true" applyAlignment="true" applyProtection="true">
      <alignment horizontal="left" vertical="bottom" textRotation="0" wrapText="false" indent="0" shrinkToFit="false"/>
      <protection locked="true" hidden="false"/>
    </xf>
    <xf numFmtId="171" fontId="22" fillId="8" borderId="1" xfId="0" applyFont="true" applyBorder="true" applyAlignment="true" applyProtection="true">
      <alignment horizontal="general" vertical="bottom" textRotation="0" wrapText="false" indent="0" shrinkToFit="false"/>
      <protection locked="true" hidden="false"/>
    </xf>
    <xf numFmtId="164" fontId="25" fillId="8" borderId="4" xfId="0" applyFont="true" applyBorder="true" applyAlignment="true" applyProtection="true">
      <alignment horizontal="general" vertical="bottom" textRotation="0" wrapText="false" indent="0" shrinkToFit="false"/>
      <protection locked="true" hidden="false"/>
    </xf>
    <xf numFmtId="164" fontId="21" fillId="8" borderId="1" xfId="0" applyFont="true" applyBorder="true" applyAlignment="true" applyProtection="true">
      <alignment horizontal="left" vertical="bottom" textRotation="0" wrapText="false" indent="0" shrinkToFit="false"/>
      <protection locked="true" hidden="false"/>
    </xf>
    <xf numFmtId="164" fontId="28" fillId="8" borderId="1" xfId="0" applyFont="true" applyBorder="true" applyAlignment="true" applyProtection="true">
      <alignment horizontal="left" vertical="bottom" textRotation="0" wrapText="false" indent="0" shrinkToFit="false"/>
      <protection locked="true" hidden="false"/>
    </xf>
    <xf numFmtId="164" fontId="21" fillId="8" borderId="4" xfId="0" applyFont="true" applyBorder="true" applyAlignment="true" applyProtection="true">
      <alignment horizontal="left" vertical="bottom" textRotation="0" wrapText="false" indent="0" shrinkToFit="false"/>
      <protection locked="true" hidden="false"/>
    </xf>
    <xf numFmtId="164" fontId="28" fillId="8" borderId="0" xfId="0" applyFont="true" applyBorder="false" applyAlignment="true" applyProtection="true">
      <alignment horizontal="left" vertical="bottom" textRotation="0" wrapText="false" indent="0" shrinkToFit="false"/>
      <protection locked="true" hidden="false"/>
    </xf>
    <xf numFmtId="164" fontId="27" fillId="8" borderId="1" xfId="0" applyFont="true" applyBorder="true" applyAlignment="true" applyProtection="true">
      <alignment horizontal="general" vertical="bottom" textRotation="0" wrapText="false" indent="0" shrinkToFit="false"/>
      <protection locked="true" hidden="false"/>
    </xf>
    <xf numFmtId="168" fontId="27" fillId="8" borderId="1" xfId="0" applyFont="true" applyBorder="true" applyAlignment="true" applyProtection="true">
      <alignment horizontal="general" vertical="bottom" textRotation="0" wrapText="false" indent="0" shrinkToFit="false"/>
      <protection locked="true" hidden="false"/>
    </xf>
    <xf numFmtId="164" fontId="27" fillId="8" borderId="3" xfId="0" applyFont="true" applyBorder="true" applyAlignment="true" applyProtection="true">
      <alignment horizontal="general" vertical="bottom" textRotation="0" wrapText="false" indent="0" shrinkToFit="false"/>
      <protection locked="true" hidden="false"/>
    </xf>
    <xf numFmtId="164" fontId="0" fillId="8" borderId="1" xfId="0" applyFont="true" applyBorder="true" applyAlignment="true" applyProtection="true">
      <alignment horizontal="general" vertical="bottom" textRotation="0" wrapText="false" indent="0" shrinkToFit="false"/>
      <protection locked="true" hidden="false"/>
    </xf>
    <xf numFmtId="164" fontId="22" fillId="11" borderId="4" xfId="0" applyFont="true" applyBorder="true" applyAlignment="true" applyProtection="true">
      <alignment horizontal="general" vertical="bottom" textRotation="0" wrapText="false" indent="0" shrinkToFit="false"/>
      <protection locked="true" hidden="false"/>
    </xf>
    <xf numFmtId="164" fontId="29" fillId="8" borderId="0" xfId="0" applyFont="true" applyBorder="false" applyAlignment="true" applyProtection="true">
      <alignment horizontal="general" vertical="bottom" textRotation="0" wrapText="false" indent="0" shrinkToFit="false"/>
      <protection locked="true" hidden="false"/>
    </xf>
    <xf numFmtId="164" fontId="29" fillId="3" borderId="0" xfId="0" applyFont="true" applyBorder="false" applyAlignment="true" applyProtection="true">
      <alignment horizontal="general" vertical="bottom" textRotation="0" wrapText="false" indent="0" shrinkToFit="false"/>
      <protection locked="true" hidden="false"/>
    </xf>
    <xf numFmtId="164" fontId="25" fillId="9" borderId="0" xfId="0" applyFont="true" applyBorder="false" applyAlignment="true" applyProtection="true">
      <alignment horizontal="general" vertical="bottom" textRotation="0" wrapText="false" indent="0" shrinkToFit="false"/>
      <protection locked="true" hidden="false"/>
    </xf>
    <xf numFmtId="164" fontId="22" fillId="8" borderId="1" xfId="0" applyFont="true" applyBorder="true" applyAlignment="true" applyProtection="true">
      <alignment horizontal="general" vertical="bottom" textRotation="0" wrapText="false" indent="0" shrinkToFit="false"/>
      <protection locked="true" hidden="false"/>
    </xf>
    <xf numFmtId="164" fontId="17" fillId="8" borderId="0" xfId="0" applyFont="true" applyBorder="false" applyAlignment="true" applyProtection="true">
      <alignment horizontal="general" vertical="bottom" textRotation="0" wrapText="false" indent="0" shrinkToFit="false"/>
      <protection locked="true" hidden="false"/>
    </xf>
    <xf numFmtId="164" fontId="17" fillId="4" borderId="0" xfId="0" applyFont="true" applyBorder="false" applyAlignment="true" applyProtection="true">
      <alignment horizontal="general" vertical="bottom" textRotation="0" wrapText="false" indent="0" shrinkToFit="false"/>
      <protection locked="true" hidden="false"/>
    </xf>
    <xf numFmtId="168" fontId="25" fillId="8" borderId="0" xfId="0" applyFont="true" applyBorder="false" applyAlignment="true" applyProtection="true">
      <alignment horizontal="center" vertical="bottom" textRotation="0" wrapText="false" indent="0" shrinkToFit="false"/>
      <protection locked="true" hidden="false"/>
    </xf>
    <xf numFmtId="164" fontId="21" fillId="4" borderId="0" xfId="0" applyFont="true" applyBorder="false" applyAlignment="true" applyProtection="true">
      <alignment horizontal="general" vertical="bottom" textRotation="0" wrapText="false" indent="0" shrinkToFit="false"/>
      <protection locked="true" hidden="false"/>
    </xf>
    <xf numFmtId="164" fontId="20" fillId="3" borderId="0" xfId="0" applyFont="true" applyBorder="false" applyAlignment="true" applyProtection="true">
      <alignment horizontal="general" vertical="bottom" textRotation="0" wrapText="false" indent="0" shrinkToFit="false"/>
      <protection locked="true" hidden="false"/>
    </xf>
    <xf numFmtId="164" fontId="21" fillId="3" borderId="0" xfId="0" applyFont="true" applyBorder="false" applyAlignment="true" applyProtection="true">
      <alignment horizontal="general" vertical="bottom" textRotation="0" wrapText="false" indent="0" shrinkToFit="false"/>
      <protection locked="true" hidden="false"/>
    </xf>
    <xf numFmtId="164" fontId="29" fillId="4" borderId="0" xfId="0" applyFont="true" applyBorder="false" applyAlignment="true" applyProtection="true">
      <alignment horizontal="general" vertical="bottom" textRotation="0" wrapText="false" indent="0" shrinkToFit="false"/>
      <protection locked="true" hidden="false"/>
    </xf>
    <xf numFmtId="164" fontId="25" fillId="8" borderId="5" xfId="0" applyFont="true" applyBorder="true" applyAlignment="true" applyProtection="true">
      <alignment horizontal="general" vertical="bottom" textRotation="0" wrapText="false" indent="0" shrinkToFit="false"/>
      <protection locked="true" hidden="false"/>
    </xf>
    <xf numFmtId="164" fontId="27" fillId="8" borderId="0" xfId="0" applyFont="true" applyBorder="false" applyAlignment="true" applyProtection="true">
      <alignment horizontal="general" vertical="bottom" textRotation="0" wrapText="false" indent="0" shrinkToFit="false"/>
      <protection locked="true" hidden="false"/>
    </xf>
    <xf numFmtId="164" fontId="27" fillId="4" borderId="0" xfId="0" applyFont="true" applyBorder="false" applyAlignment="true" applyProtection="true">
      <alignment horizontal="general" vertical="bottom" textRotation="0" wrapText="false" indent="0" shrinkToFit="false"/>
      <protection locked="true" hidden="false"/>
    </xf>
    <xf numFmtId="164" fontId="27" fillId="3" borderId="0" xfId="0" applyFont="true" applyBorder="false" applyAlignment="true" applyProtection="true">
      <alignment horizontal="general" vertical="bottom" textRotation="0" wrapText="false" indent="0" shrinkToFit="false"/>
      <protection locked="true" hidden="false"/>
    </xf>
    <xf numFmtId="164" fontId="17" fillId="3" borderId="0" xfId="0" applyFont="true" applyBorder="false" applyAlignment="true" applyProtection="true">
      <alignment horizontal="general" vertical="bottom" textRotation="0" wrapText="false" indent="0" shrinkToFit="false"/>
      <protection locked="true" hidden="false"/>
    </xf>
    <xf numFmtId="164" fontId="27" fillId="8" borderId="0" xfId="0" applyFont="true" applyBorder="false" applyAlignment="true" applyProtection="true">
      <alignment horizontal="left" vertical="bottom" textRotation="0" wrapText="false" indent="0" shrinkToFit="false"/>
      <protection locked="true" hidden="false"/>
    </xf>
    <xf numFmtId="164" fontId="25" fillId="8" borderId="6" xfId="0" applyFont="true" applyBorder="true" applyAlignment="true" applyProtection="true">
      <alignment horizontal="general" vertical="bottom" textRotation="0" wrapText="false" indent="0" shrinkToFit="false"/>
      <protection locked="true" hidden="false"/>
    </xf>
    <xf numFmtId="168" fontId="25" fillId="8" borderId="6" xfId="0" applyFont="true" applyBorder="true" applyAlignment="true" applyProtection="true">
      <alignment horizontal="center" vertical="bottom" textRotation="0" wrapText="false" indent="0" shrinkToFit="false"/>
      <protection locked="true" hidden="false"/>
    </xf>
    <xf numFmtId="170" fontId="25" fillId="8" borderId="6" xfId="0" applyFont="true" applyBorder="true" applyAlignment="true" applyProtection="true">
      <alignment horizontal="general" vertical="bottom" textRotation="0" wrapText="false" indent="0" shrinkToFit="false"/>
      <protection locked="true" hidden="false"/>
    </xf>
    <xf numFmtId="164" fontId="17" fillId="8" borderId="4" xfId="0" applyFont="true" applyBorder="true" applyAlignment="true" applyProtection="true">
      <alignment horizontal="general" vertical="bottom" textRotation="0" wrapText="false" indent="0" shrinkToFit="false"/>
      <protection locked="true" hidden="false"/>
    </xf>
    <xf numFmtId="164" fontId="17" fillId="8" borderId="6" xfId="0" applyFont="true" applyBorder="true" applyAlignment="true" applyProtection="true">
      <alignment horizontal="general" vertical="bottom" textRotation="0" wrapText="false" indent="0" shrinkToFit="false"/>
      <protection locked="true" hidden="false"/>
    </xf>
    <xf numFmtId="164" fontId="30" fillId="8" borderId="4" xfId="0" applyFont="true" applyBorder="true" applyAlignment="true" applyProtection="true">
      <alignment horizontal="general" vertical="bottom" textRotation="0" wrapText="false" indent="0" shrinkToFit="false"/>
      <protection locked="true" hidden="false"/>
    </xf>
    <xf numFmtId="164" fontId="21" fillId="8" borderId="1" xfId="0" applyFont="true" applyBorder="true" applyAlignment="true" applyProtection="true">
      <alignment horizontal="general" vertical="bottom" textRotation="0" wrapText="false" indent="0" shrinkToFit="false"/>
      <protection locked="true" hidden="false"/>
    </xf>
    <xf numFmtId="164" fontId="27" fillId="8" borderId="1" xfId="0" applyFont="true" applyBorder="true" applyAlignment="true" applyProtection="true">
      <alignment horizontal="left" vertical="bottom" textRotation="0" wrapText="false" indent="0" shrinkToFit="false"/>
      <protection locked="true" hidden="false"/>
    </xf>
    <xf numFmtId="164" fontId="25" fillId="3" borderId="1" xfId="0" applyFont="true" applyBorder="true" applyAlignment="true" applyProtection="true">
      <alignment horizontal="general" vertical="bottom" textRotation="0" wrapText="false" indent="0" shrinkToFit="false"/>
      <protection locked="true" hidden="false"/>
    </xf>
    <xf numFmtId="170" fontId="25" fillId="3" borderId="1" xfId="0" applyFont="true" applyBorder="true" applyAlignment="true" applyProtection="true">
      <alignment horizontal="general" vertical="bottom" textRotation="0" wrapText="false" indent="0" shrinkToFit="false"/>
      <protection locked="true" hidden="false"/>
    </xf>
    <xf numFmtId="168" fontId="25" fillId="3" borderId="1" xfId="0" applyFont="true" applyBorder="true" applyAlignment="true" applyProtection="true">
      <alignment horizontal="center" vertical="bottom" textRotation="0" wrapText="false" indent="0" shrinkToFit="false"/>
      <protection locked="true" hidden="false"/>
    </xf>
    <xf numFmtId="164" fontId="22" fillId="3" borderId="4" xfId="0" applyFont="true" applyBorder="true" applyAlignment="true" applyProtection="true">
      <alignment horizontal="general" vertical="bottom" textRotation="0" wrapText="false" indent="0" shrinkToFit="false"/>
      <protection locked="true" hidden="false"/>
    </xf>
    <xf numFmtId="164" fontId="17" fillId="8" borderId="1" xfId="0" applyFont="true" applyBorder="true" applyAlignment="true" applyProtection="true">
      <alignment horizontal="general" vertical="bottom" textRotation="0" wrapText="false" indent="0" shrinkToFit="false"/>
      <protection locked="true" hidden="false"/>
    </xf>
    <xf numFmtId="164" fontId="25" fillId="8" borderId="7" xfId="0" applyFont="true" applyBorder="true" applyAlignment="true" applyProtection="true">
      <alignment horizontal="general" vertical="bottom" textRotation="0" wrapText="false" indent="0" shrinkToFit="false"/>
      <protection locked="true" hidden="false"/>
    </xf>
    <xf numFmtId="168" fontId="25" fillId="8" borderId="7" xfId="0" applyFont="true" applyBorder="true" applyAlignment="true" applyProtection="true">
      <alignment horizontal="center" vertical="bottom" textRotation="0" wrapText="false" indent="0" shrinkToFit="false"/>
      <protection locked="true" hidden="false"/>
    </xf>
    <xf numFmtId="164" fontId="21" fillId="0" borderId="4" xfId="0" applyFont="true" applyBorder="true" applyAlignment="true" applyProtection="true">
      <alignment horizontal="general" vertical="bottom" textRotation="0" wrapText="false" indent="0" shrinkToFit="false"/>
      <protection locked="true" hidden="false"/>
    </xf>
    <xf numFmtId="170" fontId="25" fillId="8" borderId="0" xfId="0" applyFont="true" applyBorder="false" applyAlignment="true" applyProtection="true">
      <alignment horizontal="general" vertical="bottom" textRotation="0" wrapText="false" indent="0" shrinkToFit="false"/>
      <protection locked="true" hidden="false"/>
    </xf>
    <xf numFmtId="170" fontId="17" fillId="8" borderId="1" xfId="0" applyFont="true" applyBorder="true" applyAlignment="true" applyProtection="true">
      <alignment horizontal="general" vertical="bottom" textRotation="0" wrapText="false" indent="0" shrinkToFit="false"/>
      <protection locked="true" hidden="false"/>
    </xf>
    <xf numFmtId="168" fontId="17" fillId="8" borderId="1" xfId="0" applyFont="true" applyBorder="true" applyAlignment="true" applyProtection="true">
      <alignment horizontal="center" vertical="bottom" textRotation="0" wrapText="false" indent="0" shrinkToFit="false"/>
      <protection locked="true" hidden="false"/>
    </xf>
    <xf numFmtId="168" fontId="25" fillId="4" borderId="1" xfId="0" applyFont="true" applyBorder="true" applyAlignment="true" applyProtection="true">
      <alignment horizontal="general" vertical="bottom" textRotation="0" wrapText="false" indent="0" shrinkToFit="false"/>
      <protection locked="true" hidden="false"/>
    </xf>
    <xf numFmtId="168" fontId="22" fillId="4" borderId="4" xfId="0" applyFont="true" applyBorder="true" applyAlignment="true" applyProtection="true">
      <alignment horizontal="general" vertical="bottom" textRotation="0" wrapText="false" indent="0" shrinkToFit="false"/>
      <protection locked="true" hidden="false"/>
    </xf>
    <xf numFmtId="168" fontId="25" fillId="4" borderId="0" xfId="0" applyFont="true" applyBorder="false" applyAlignment="true" applyProtection="true">
      <alignment horizontal="general" vertical="bottom" textRotation="0" wrapText="false" indent="0" shrinkToFit="false"/>
      <protection locked="true" hidden="false"/>
    </xf>
    <xf numFmtId="164" fontId="20" fillId="8" borderId="1" xfId="0" applyFont="true" applyBorder="true" applyAlignment="true" applyProtection="true">
      <alignment horizontal="general" vertical="bottom" textRotation="0" wrapText="false" indent="0" shrinkToFit="false"/>
      <protection locked="true" hidden="false"/>
    </xf>
    <xf numFmtId="168" fontId="27" fillId="8" borderId="0" xfId="0" applyFont="true" applyBorder="false" applyAlignment="true" applyProtection="true">
      <alignment horizontal="general" vertical="bottom" textRotation="0" wrapText="false" indent="0" shrinkToFit="false"/>
      <protection locked="true" hidden="false"/>
    </xf>
    <xf numFmtId="164" fontId="21" fillId="8" borderId="0" xfId="0" applyFont="true" applyBorder="false" applyAlignment="true" applyProtection="true">
      <alignment horizontal="left" vertical="bottom" textRotation="0" wrapText="false" indent="0" shrinkToFit="false"/>
      <protection locked="true" hidden="false"/>
    </xf>
    <xf numFmtId="164" fontId="21" fillId="3" borderId="0" xfId="0" applyFont="true" applyBorder="false" applyAlignment="true" applyProtection="true">
      <alignment horizontal="left" vertical="bottom" textRotation="0" wrapText="false" indent="0" shrinkToFit="false"/>
      <protection locked="true" hidden="false"/>
    </xf>
    <xf numFmtId="171" fontId="22" fillId="3" borderId="1" xfId="0" applyFont="true" applyBorder="true" applyAlignment="true" applyProtection="true">
      <alignment horizontal="general" vertical="bottom" textRotation="0" wrapText="false" indent="0" shrinkToFit="false"/>
      <protection locked="true" hidden="false"/>
    </xf>
    <xf numFmtId="171" fontId="25" fillId="8" borderId="1" xfId="0" applyFont="true" applyBorder="true" applyAlignment="true" applyProtection="true">
      <alignment horizontal="general" vertical="bottom" textRotation="0" wrapText="false" indent="0" shrinkToFit="false"/>
      <protection locked="true" hidden="false"/>
    </xf>
    <xf numFmtId="171" fontId="22" fillId="0" borderId="1" xfId="0" applyFont="true" applyBorder="true" applyAlignment="true" applyProtection="true">
      <alignment horizontal="general" vertical="bottom" textRotation="0" wrapText="false" indent="0" shrinkToFit="false"/>
      <protection locked="true" hidden="false"/>
    </xf>
    <xf numFmtId="164" fontId="31" fillId="8" borderId="1" xfId="0" applyFont="true" applyBorder="true" applyAlignment="true" applyProtection="true">
      <alignment horizontal="general" vertical="bottom" textRotation="0" wrapText="false" indent="0" shrinkToFit="false"/>
      <protection locked="true" hidden="false"/>
    </xf>
    <xf numFmtId="168" fontId="22" fillId="4" borderId="0" xfId="0" applyFont="true" applyBorder="false" applyAlignment="true" applyProtection="true">
      <alignment horizontal="general" vertical="bottom" textRotation="0" wrapText="false" indent="0" shrinkToFit="false"/>
      <protection locked="true" hidden="false"/>
    </xf>
    <xf numFmtId="164" fontId="22" fillId="3" borderId="0" xfId="0" applyFont="true" applyBorder="false" applyAlignment="true" applyProtection="true">
      <alignment horizontal="general" vertical="bottom" textRotation="0" wrapText="false" indent="0" shrinkToFit="false"/>
      <protection locked="true" hidden="false"/>
    </xf>
    <xf numFmtId="164" fontId="22" fillId="4"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7">
    <dxf>
      <fill>
        <patternFill patternType="solid">
          <fgColor rgb="FF2A6099"/>
          <bgColor rgb="FF000000"/>
        </patternFill>
      </fill>
    </dxf>
    <dxf>
      <fill>
        <patternFill patternType="solid">
          <bgColor rgb="FF000000"/>
        </patternFill>
      </fill>
    </dxf>
    <dxf>
      <fill>
        <patternFill patternType="solid">
          <fgColor rgb="FF000000"/>
          <bgColor rgb="FF000000"/>
        </patternFill>
      </fill>
    </dxf>
    <dxf>
      <fill>
        <patternFill patternType="solid">
          <fgColor rgb="FF071924"/>
          <bgColor rgb="FF000000"/>
        </patternFill>
      </fill>
    </dxf>
    <dxf>
      <fill>
        <patternFill patternType="solid">
          <fgColor rgb="FFFFFFFF"/>
          <bgColor rgb="FF000000"/>
        </patternFill>
      </fill>
    </dxf>
    <dxf>
      <fill>
        <patternFill patternType="solid">
          <fgColor rgb="FF00B0F0"/>
          <bgColor rgb="FF000000"/>
        </patternFill>
      </fill>
    </dxf>
    <dxf>
      <fill>
        <patternFill patternType="solid">
          <fgColor rgb="FF19BD19"/>
          <bgColor rgb="FF000000"/>
        </patternFill>
      </fill>
    </dxf>
    <dxf>
      <fill>
        <patternFill patternType="solid">
          <fgColor rgb="FF8E7CC3"/>
          <bgColor rgb="FF000000"/>
        </patternFill>
      </fill>
    </dxf>
    <dxf>
      <fill>
        <patternFill patternType="solid">
          <fgColor rgb="FFE42727"/>
          <bgColor rgb="FF000000"/>
        </patternFill>
      </fill>
    </dxf>
    <dxf>
      <fill>
        <patternFill patternType="solid">
          <fgColor rgb="FFFFFF00"/>
          <bgColor rgb="FF000000"/>
        </patternFill>
      </fill>
    </dxf>
    <dxf>
      <fill>
        <patternFill patternType="solid">
          <fgColor rgb="FFFF0000"/>
          <bgColor rgb="FF000000"/>
        </patternFill>
      </fill>
    </dxf>
    <dxf>
      <fill>
        <patternFill>
          <bgColor rgb="FFE42727"/>
        </patternFill>
      </fill>
    </dxf>
    <dxf>
      <fill>
        <patternFill>
          <bgColor rgb="FF8E7CC3"/>
        </patternFill>
      </fill>
    </dxf>
    <dxf>
      <fill>
        <patternFill>
          <bgColor rgb="FFFFFF00"/>
        </patternFill>
      </fill>
    </dxf>
    <dxf>
      <fill>
        <patternFill>
          <bgColor rgb="FF19BD19"/>
        </patternFill>
      </fill>
    </dxf>
    <dxf>
      <fill>
        <patternFill>
          <bgColor rgb="FF00B0F0"/>
        </patternFill>
      </fill>
    </dxf>
    <dxf>
      <fill>
        <patternFill>
          <bgColor rgb="FFFF0000"/>
        </patternFill>
      </fill>
    </dxf>
    <dxf>
      <fill>
        <patternFill>
          <bgColor rgb="FFB7E1CD"/>
        </patternFill>
      </fill>
    </dxf>
    <dxf>
      <fill>
        <patternFill patternType="solid">
          <fgColor rgb="FFFDDCE8"/>
          <bgColor rgb="FF000000"/>
        </patternFill>
      </fill>
    </dxf>
    <dxf>
      <fill>
        <patternFill patternType="solid">
          <fgColor rgb="FFEAD1DC"/>
          <bgColor rgb="FF000000"/>
        </patternFill>
      </fill>
    </dxf>
    <dxf>
      <fill>
        <patternFill patternType="solid">
          <fgColor rgb="FF0000FF"/>
          <bgColor rgb="FF000000"/>
        </patternFill>
      </fill>
    </dxf>
    <dxf>
      <fill>
        <patternFill patternType="solid">
          <fgColor rgb="FFEFEFEF"/>
          <bgColor rgb="FF000000"/>
        </patternFill>
      </fill>
    </dxf>
    <dxf>
      <fill>
        <patternFill patternType="solid">
          <fgColor rgb="FFA5A5A5"/>
          <bgColor rgb="FF000000"/>
        </patternFill>
      </fill>
    </dxf>
    <dxf>
      <fill>
        <patternFill patternType="solid">
          <fgColor rgb="FF00FF00"/>
          <bgColor rgb="FF000000"/>
        </patternFill>
      </fill>
    </dxf>
    <dxf>
      <fill>
        <patternFill>
          <bgColor rgb="FF9900FF"/>
        </patternFill>
      </fill>
    </dxf>
    <dxf>
      <fill>
        <patternFill>
          <bgColor rgb="FF00B050"/>
        </patternFill>
      </fill>
    </dxf>
    <dxf>
      <font>
        <color rgb="FF000000"/>
      </font>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19BD19"/>
      <rgbColor rgb="FF000080"/>
      <rgbColor rgb="FF808000"/>
      <rgbColor rgb="FF9900FF"/>
      <rgbColor rgb="FF008080"/>
      <rgbColor rgb="FFC0C0C0"/>
      <rgbColor rgb="FF8E7CC3"/>
      <rgbColor rgb="FF9999FF"/>
      <rgbColor rgb="FF993366"/>
      <rgbColor rgb="FFEFEFEF"/>
      <rgbColor rgb="FFCCFFFF"/>
      <rgbColor rgb="FF660066"/>
      <rgbColor rgb="FFFF8080"/>
      <rgbColor rgb="FF2A6099"/>
      <rgbColor rgb="FFEAD1DC"/>
      <rgbColor rgb="FF000080"/>
      <rgbColor rgb="FFFF00FF"/>
      <rgbColor rgb="FFFFFF00"/>
      <rgbColor rgb="FF00FFFF"/>
      <rgbColor rgb="FF800080"/>
      <rgbColor rgb="FF800000"/>
      <rgbColor rgb="FF008080"/>
      <rgbColor rgb="FF0000FF"/>
      <rgbColor rgb="FF00B0F0"/>
      <rgbColor rgb="FFCCFFFF"/>
      <rgbColor rgb="FFB7E1CD"/>
      <rgbColor rgb="FFFFFF99"/>
      <rgbColor rgb="FF99CCFF"/>
      <rgbColor rgb="FFFF99CC"/>
      <rgbColor rgb="FFCC99FF"/>
      <rgbColor rgb="FFFDDCE8"/>
      <rgbColor rgb="FF3366FF"/>
      <rgbColor rgb="FF33CCCC"/>
      <rgbColor rgb="FF99CC00"/>
      <rgbColor rgb="FFFFCC00"/>
      <rgbColor rgb="FFFF9900"/>
      <rgbColor rgb="FFFF6600"/>
      <rgbColor rgb="FF666699"/>
      <rgbColor rgb="FFA5A5A5"/>
      <rgbColor rgb="FF002060"/>
      <rgbColor rgb="FF00B050"/>
      <rgbColor rgb="FF071924"/>
      <rgbColor rgb="FF333300"/>
      <rgbColor rgb="FFE42727"/>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22</xdr:col>
      <xdr:colOff>152280</xdr:colOff>
      <xdr:row>310</xdr:row>
      <xdr:rowOff>162000</xdr:rowOff>
    </xdr:from>
    <xdr:to>
      <xdr:col>25</xdr:col>
      <xdr:colOff>410400</xdr:colOff>
      <xdr:row>325</xdr:row>
      <xdr:rowOff>160920</xdr:rowOff>
    </xdr:to>
    <xdr:sp>
      <xdr:nvSpPr>
        <xdr:cNvPr id="1" name=""/>
        <xdr:cNvSpPr/>
      </xdr:nvSpPr>
      <xdr:spPr>
        <a:xfrm>
          <a:off x="23457960" y="60140880"/>
          <a:ext cx="2856600" cy="285660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pPr>
            <a:lnSpc>
              <a:spcPct val="100000"/>
            </a:lnSpc>
          </a:pPr>
          <a:r>
            <a:rPr lang="en-US" sz="1100" b="0" u="none" strike="noStrike">
              <a:solidFill>
                <a:srgbClr val="071924"/>
              </a:solidFill>
              <a:effectLst/>
              <a:uFillTx/>
              <a:latin typeface="Times New Roman"/>
              <a:ea typeface="Georgia"/>
            </a:rPr>
            <a:t>This shape represents a table slicer. Table slicers are not supported in this version of Excel. If the shape was modified in an earlier version of Excel, or if the workbook was saved in Excel 2007 or earlier, the slicer can't be used.</a:t>
          </a:r>
          <a:endParaRPr lang="pt-BR" sz="1100" b="0" u="none" strike="noStrike">
            <a:effectLst/>
            <a:uFillTx/>
            <a:latin typeface="Times New Roman"/>
          </a:endParaRPr>
        </a:p>
      </xdr:txBody>
    </xdr:sp>
    <xdr:clientData/>
  </xdr:twoCellAnchor>
</xdr:wsDr>
</file>

<file path=xl/tables/table1.xml><?xml version="1.0" encoding="utf-8"?>
<table xmlns="http://schemas.openxmlformats.org/spreadsheetml/2006/main" id="1" name="Table_31" displayName="Table_31" ref="A4:O521" headerRowCount="0" totalsRowCount="0" totalsRowShown="0">
  <tableColumns count="15">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s>
</table>
</file>

<file path=xl/tables/table2.xml><?xml version="1.0" encoding="utf-8"?>
<table xmlns="http://schemas.openxmlformats.org/spreadsheetml/2006/main" id="2" name="Table_32" displayName="Table_32" ref="AA171:AA233" headerRowCount="1" totalsRowCount="0" totalsRowShown="0">
  <autoFilter ref="AA171:AA233"/>
  <tableColumns count="1">
    <tableColumn id="1" name="WINDOWS 11"/>
  </tableColumns>
</table>
</file>

<file path=xl/theme/theme1.xml><?xml version="1.0" encoding="utf-8"?>
<a:theme xmlns:a="http://schemas.openxmlformats.org/drawingml/2006/main" xmlns:r="http://schemas.openxmlformats.org/officeDocument/2006/relationships"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pitchFamily="0" charset="1"/>
        <a:ea typeface="Georgia" pitchFamily="0" charset="1"/>
        <a:cs typeface="Georgia" pitchFamily="0" charset="1"/>
      </a:majorFont>
      <a:minorFont>
        <a:latin typeface="Georgia" pitchFamily="0" charset="1"/>
        <a:ea typeface="Georgia" pitchFamily="0" charset="1"/>
        <a:cs typeface="Georgia"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3.vml"/><Relationship Id="rId4"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P1048576"/>
  <sheetViews>
    <sheetView showFormulas="false" showGridLines="false" showRowColHeaders="true" showZeros="true" rightToLeft="false" tabSelected="true" showOutlineSymbols="true" defaultGridColor="true" view="normal" topLeftCell="M1" colorId="64" zoomScale="100" zoomScaleNormal="100" zoomScalePageLayoutView="100" workbookViewId="0">
      <pane xSplit="0" ySplit="1" topLeftCell="P2" activePane="bottomLeft" state="frozen"/>
      <selection pane="topLeft" activeCell="M1" activeCellId="0" sqref="M1"/>
      <selection pane="bottomLeft" activeCell="N2" activeCellId="0" sqref="N2"/>
    </sheetView>
  </sheetViews>
  <sheetFormatPr defaultColWidth="9.484375" defaultRowHeight="15" customHeight="false" zeroHeight="false" outlineLevelRow="0" outlineLevelCol="1"/>
  <cols>
    <col collapsed="false" customWidth="true" hidden="false" outlineLevel="0" max="1" min="1" style="1" width="46.22"/>
    <col collapsed="false" customWidth="true" hidden="false" outlineLevel="0" max="2" min="2" style="1" width="18.22"/>
    <col collapsed="false" customWidth="true" hidden="false" outlineLevel="0" max="3" min="3" style="1" width="28.86"/>
    <col collapsed="false" customWidth="true" hidden="false" outlineLevel="1" max="4" min="4" style="1" width="27.33"/>
    <col collapsed="false" customWidth="true" hidden="false" outlineLevel="1" max="5" min="5" style="1" width="21.73"/>
    <col collapsed="false" customWidth="true" hidden="false" outlineLevel="1" max="6" min="6" style="1" width="23.79"/>
    <col collapsed="false" customWidth="true" hidden="false" outlineLevel="1" max="7" min="7" style="1" width="26.76"/>
    <col collapsed="false" customWidth="true" hidden="false" outlineLevel="0" max="8" min="8" style="1" width="22.53"/>
    <col collapsed="false" customWidth="true" hidden="false" outlineLevel="0" max="9" min="9" style="1" width="22.87"/>
    <col collapsed="false" customWidth="true" hidden="false" outlineLevel="0" max="10" min="10" style="1" width="23.9"/>
    <col collapsed="false" customWidth="true" hidden="false" outlineLevel="0" max="11" min="11" style="1" width="17.3"/>
    <col collapsed="false" customWidth="true" hidden="false" outlineLevel="0" max="12" min="12" style="1" width="28.25"/>
    <col collapsed="false" customWidth="true" hidden="false" outlineLevel="1" max="13" min="13" style="1" width="7.32"/>
    <col collapsed="false" customWidth="true" hidden="false" outlineLevel="0" max="14" min="14" style="1" width="19.36"/>
    <col collapsed="false" customWidth="false" hidden="false" outlineLevel="0" max="20" min="15" style="1" width="9.48"/>
    <col collapsed="false" customWidth="false" hidden="false" outlineLevel="0" max="16384" min="23" style="1" width="9.48"/>
  </cols>
  <sheetData>
    <row r="1" customFormat="false" ht="19.4" hidden="false" customHeight="true" outlineLevel="0" collapsed="false">
      <c r="A1" s="2" t="s">
        <v>0</v>
      </c>
      <c r="B1" s="3" t="s">
        <v>1</v>
      </c>
      <c r="C1" s="4" t="s">
        <v>2</v>
      </c>
      <c r="D1" s="5" t="s">
        <v>3</v>
      </c>
      <c r="E1" s="5" t="s">
        <v>4</v>
      </c>
      <c r="F1" s="4" t="s">
        <v>5</v>
      </c>
      <c r="G1" s="4" t="s">
        <v>6</v>
      </c>
      <c r="H1" s="4" t="s">
        <v>7</v>
      </c>
      <c r="I1" s="4" t="s">
        <v>8</v>
      </c>
      <c r="J1" s="4" t="s">
        <v>9</v>
      </c>
      <c r="K1" s="2" t="s">
        <v>10</v>
      </c>
      <c r="L1" s="4" t="s">
        <v>11</v>
      </c>
      <c r="M1" s="4" t="s">
        <v>12</v>
      </c>
      <c r="N1" s="4" t="s">
        <v>13</v>
      </c>
    </row>
    <row r="2" customFormat="false" ht="15" hidden="false" customHeight="false" outlineLevel="0" collapsed="false">
      <c r="A2" s="6" t="s">
        <v>14</v>
      </c>
      <c r="B2" s="7" t="s">
        <v>15</v>
      </c>
      <c r="C2" s="8" t="n">
        <f aca="false">L2</f>
        <v>46163</v>
      </c>
      <c r="D2" s="9" t="n">
        <v>46077</v>
      </c>
      <c r="E2" s="10" t="n">
        <v>46654</v>
      </c>
      <c r="F2" s="11" t="n">
        <f aca="false">(E2-D2)/7</f>
        <v>82.4285714285714</v>
      </c>
      <c r="G2" s="11" t="n">
        <f aca="true">(TODAY()-D2)/7</f>
        <v>13.4285714285714</v>
      </c>
      <c r="H2" s="12" t="n">
        <v>80</v>
      </c>
      <c r="I2" s="12" t="n">
        <v>17</v>
      </c>
      <c r="J2" s="13" t="n">
        <f aca="false">IFERROR(((G2*H2)/F2)-I2,"")</f>
        <v>-3.96707105719237</v>
      </c>
      <c r="K2" s="12" t="str">
        <f aca="false">IF(J2&lt;-10,"MUITO ADIANTADO",IF(J2&lt;-6,"ADIANTADO",IF(J2&lt;6,"EM DIAS",IF(J2&lt;12,"ATRASADO","MUITO ATRASADO"))))</f>
        <v>EM DIAS</v>
      </c>
      <c r="L2" s="9" t="n">
        <v>46163</v>
      </c>
      <c r="M2" s="6" t="n">
        <f aca="true">TODAY()-L2</f>
        <v>8</v>
      </c>
      <c r="N2" s="1" t="str">
        <f aca="false">IF(M2&lt;8,"VERIFICADO",IF(M2&lt;15,"VERIFICAR","VERIFICAR URGENTE"))</f>
        <v>VERIFICAR</v>
      </c>
    </row>
    <row r="3" customFormat="false" ht="15" hidden="false" customHeight="false" outlineLevel="0" collapsed="false">
      <c r="A3" s="6" t="s">
        <v>16</v>
      </c>
      <c r="B3" s="7" t="s">
        <v>17</v>
      </c>
      <c r="C3" s="8" t="n">
        <f aca="false">L3</f>
        <v>46162</v>
      </c>
      <c r="D3" s="9" t="n">
        <v>46059</v>
      </c>
      <c r="E3" s="10" t="n">
        <v>46394</v>
      </c>
      <c r="F3" s="11" t="n">
        <f aca="false">(E3-D3)/7</f>
        <v>47.8571428571429</v>
      </c>
      <c r="G3" s="11" t="n">
        <f aca="true">(TODAY()-D3)/7</f>
        <v>16</v>
      </c>
      <c r="H3" s="12" t="n">
        <v>48</v>
      </c>
      <c r="I3" s="12" t="n">
        <v>12</v>
      </c>
      <c r="J3" s="13" t="n">
        <f aca="false">IFERROR(((G3*H3)/F3)-I3,"")</f>
        <v>4.04776119402984</v>
      </c>
      <c r="K3" s="12" t="str">
        <f aca="false">IF(J3&lt;-10,"MUITO ADIANTADO",IF(J3&lt;-6,"ADIANTADO",IF(J3&lt;6,"EM DIAS",IF(J3&lt;12,"ATRASADO","MUITO ATRASADO"))))</f>
        <v>EM DIAS</v>
      </c>
      <c r="L3" s="9" t="n">
        <v>46162</v>
      </c>
      <c r="M3" s="6" t="n">
        <f aca="true">TODAY()-L3</f>
        <v>9</v>
      </c>
      <c r="N3" s="1" t="str">
        <f aca="false">IF(M3&lt;8,"VERIFICADO",IF(M3&lt;15,"VERIFICAR","VERIFICAR URGENTE"))</f>
        <v>VERIFICAR</v>
      </c>
    </row>
    <row r="4" customFormat="false" ht="15" hidden="false" customHeight="false" outlineLevel="0" collapsed="false">
      <c r="A4" s="6" t="s">
        <v>18</v>
      </c>
      <c r="B4" s="7" t="s">
        <v>19</v>
      </c>
      <c r="C4" s="8" t="n">
        <f aca="false">L4</f>
        <v>46162</v>
      </c>
      <c r="D4" s="9" t="n">
        <v>45790</v>
      </c>
      <c r="E4" s="10" t="n">
        <v>46249</v>
      </c>
      <c r="F4" s="11" t="n">
        <f aca="false">(E4-D4)/7</f>
        <v>65.5714285714286</v>
      </c>
      <c r="G4" s="11" t="n">
        <f aca="true">(TODAY()-D4)/7</f>
        <v>54.4285714285714</v>
      </c>
      <c r="H4" s="12" t="n">
        <v>112</v>
      </c>
      <c r="I4" s="12" t="n">
        <v>92</v>
      </c>
      <c r="J4" s="13" t="n">
        <f aca="false">IFERROR(((G4*H4)/F4)-I4,"")</f>
        <v>0.967320261437877</v>
      </c>
      <c r="K4" s="12" t="str">
        <f aca="false">IF(J4&lt;-10,"MUITO ADIANTADO",IF(J4&lt;-6,"ADIANTADO",IF(J4&lt;6,"EM DIAS",IF(J4&lt;12,"ATRASADO","MUITO ATRASADO"))))</f>
        <v>EM DIAS</v>
      </c>
      <c r="L4" s="9" t="n">
        <v>46162</v>
      </c>
      <c r="M4" s="6" t="n">
        <f aca="true">TODAY()-L4</f>
        <v>9</v>
      </c>
      <c r="N4" s="1" t="str">
        <f aca="false">IF(M4&lt;8,"VERIFICADO",IF(M4&lt;15,"VERIFICAR","VERIFICAR URGENTE"))</f>
        <v>VERIFICAR</v>
      </c>
    </row>
    <row r="5" customFormat="false" ht="15" hidden="false" customHeight="false" outlineLevel="0" collapsed="false">
      <c r="A5" s="6" t="s">
        <v>20</v>
      </c>
      <c r="B5" s="7" t="s">
        <v>19</v>
      </c>
      <c r="C5" s="8" t="n">
        <f aca="false">L5</f>
        <v>46162</v>
      </c>
      <c r="D5" s="9" t="n">
        <v>45141</v>
      </c>
      <c r="E5" s="10" t="n">
        <v>46386</v>
      </c>
      <c r="F5" s="11" t="n">
        <f aca="false">(E5-D5)/7</f>
        <v>177.857142857143</v>
      </c>
      <c r="G5" s="11" t="n">
        <f aca="true">(TODAY()-D5)/7</f>
        <v>147.142857142857</v>
      </c>
      <c r="H5" s="12" t="n">
        <v>192</v>
      </c>
      <c r="I5" s="12" t="n">
        <v>166</v>
      </c>
      <c r="J5" s="13" t="n">
        <f aca="false">IFERROR(((G5*H5)/F5)-I5,"")</f>
        <v>-7.15662650602422</v>
      </c>
      <c r="K5" s="12" t="str">
        <f aca="false">IF(J5&lt;-10,"MUITO ADIANTADO",IF(J5&lt;-6,"ADIANTADO",IF(J5&lt;6,"EM DIAS",IF(J5&lt;12,"ATRASADO","MUITO ATRASADO"))))</f>
        <v>ADIANTADO</v>
      </c>
      <c r="L5" s="9" t="n">
        <v>46162</v>
      </c>
      <c r="M5" s="6" t="n">
        <f aca="true">TODAY()-L5</f>
        <v>9</v>
      </c>
      <c r="N5" s="1" t="str">
        <f aca="false">IF(M5&lt;8,"VERIFICADO",IF(M5&lt;15,"VERIFICAR","VERIFICAR URGENTE"))</f>
        <v>VERIFICAR</v>
      </c>
    </row>
    <row r="6" customFormat="false" ht="15" hidden="false" customHeight="false" outlineLevel="0" collapsed="false">
      <c r="A6" s="6" t="s">
        <v>21</v>
      </c>
      <c r="B6" s="7" t="s">
        <v>22</v>
      </c>
      <c r="C6" s="8" t="n">
        <f aca="false">L6</f>
        <v>46163</v>
      </c>
      <c r="D6" s="9" t="n">
        <v>46093</v>
      </c>
      <c r="E6" s="10" t="n">
        <v>47557</v>
      </c>
      <c r="F6" s="11" t="n">
        <f aca="false">(E6-D6)/7</f>
        <v>209.142857142857</v>
      </c>
      <c r="G6" s="11" t="n">
        <f aca="true">(TODAY()-D6)/7</f>
        <v>11.1428571428571</v>
      </c>
      <c r="H6" s="12" t="n">
        <v>208</v>
      </c>
      <c r="I6" s="12" t="n">
        <v>14</v>
      </c>
      <c r="J6" s="13" t="n">
        <f aca="false">IFERROR(((G6*H6)/F6)-I6,"")</f>
        <v>-2.91803278688524</v>
      </c>
      <c r="K6" s="12" t="str">
        <f aca="false">IF(J6&lt;-10,"MUITO ADIANTADO",IF(J6&lt;-6,"ADIANTADO",IF(J6&lt;6,"EM DIAS",IF(J6&lt;12,"ATRASADO","MUITO ATRASADO"))))</f>
        <v>EM DIAS</v>
      </c>
      <c r="L6" s="9" t="n">
        <v>46163</v>
      </c>
      <c r="M6" s="6" t="n">
        <f aca="true">TODAY()-L6</f>
        <v>8</v>
      </c>
      <c r="N6" s="1" t="str">
        <f aca="false">IF(M6&lt;8,"VERIFICADO",IF(M6&lt;15,"VERIFICAR","VERIFICAR URGENTE"))</f>
        <v>VERIFICAR</v>
      </c>
      <c r="P6" s="14"/>
    </row>
    <row r="7" customFormat="false" ht="15" hidden="false" customHeight="false" outlineLevel="0" collapsed="false">
      <c r="A7" s="6" t="s">
        <v>23</v>
      </c>
      <c r="B7" s="7" t="s">
        <v>24</v>
      </c>
      <c r="C7" s="8" t="n">
        <f aca="false">L7</f>
        <v>46163</v>
      </c>
      <c r="D7" s="9" t="n">
        <v>45881</v>
      </c>
      <c r="E7" s="10" t="n">
        <v>46578</v>
      </c>
      <c r="F7" s="11" t="n">
        <f aca="false">(E7-D7)/7</f>
        <v>99.5714285714286</v>
      </c>
      <c r="G7" s="11" t="n">
        <f aca="true">(TODAY()-D7)/7</f>
        <v>41.4285714285714</v>
      </c>
      <c r="H7" s="12" t="n">
        <v>112</v>
      </c>
      <c r="I7" s="12" t="n">
        <v>40</v>
      </c>
      <c r="J7" s="13" t="n">
        <f aca="false">IFERROR(((G7*H7)/F7)-I7,"")</f>
        <v>6.59971305595408</v>
      </c>
      <c r="K7" s="12" t="str">
        <f aca="false">IF(J7&lt;-10,"MUITO ADIANTADO",IF(J7&lt;-6,"ADIANTADO",IF(J7&lt;6,"EM DIAS",IF(J7&lt;12,"ATRASADO","MUITO ATRASADO"))))</f>
        <v>ATRASADO</v>
      </c>
      <c r="L7" s="9" t="n">
        <v>46163</v>
      </c>
      <c r="M7" s="6" t="n">
        <f aca="true">TODAY()-L7</f>
        <v>8</v>
      </c>
      <c r="N7" s="1" t="str">
        <f aca="false">IF(M7&lt;8,"VERIFICADO",IF(M7&lt;15,"VERIFICAR","VERIFICAR URGENTE"))</f>
        <v>VERIFICAR</v>
      </c>
      <c r="P7" s="14"/>
    </row>
    <row r="8" customFormat="false" ht="15" hidden="false" customHeight="false" outlineLevel="0" collapsed="false">
      <c r="A8" s="6" t="s">
        <v>25</v>
      </c>
      <c r="B8" s="7" t="s">
        <v>22</v>
      </c>
      <c r="C8" s="8" t="n">
        <f aca="false">L8</f>
        <v>46163</v>
      </c>
      <c r="D8" s="9" t="n">
        <v>46148</v>
      </c>
      <c r="E8" s="10" t="n">
        <v>46822</v>
      </c>
      <c r="F8" s="11" t="n">
        <f aca="false">(E8-D8)/7</f>
        <v>96.2857142857143</v>
      </c>
      <c r="G8" s="11" t="n">
        <v>0</v>
      </c>
      <c r="H8" s="12" t="n">
        <v>112</v>
      </c>
      <c r="I8" s="12" t="n">
        <v>5</v>
      </c>
      <c r="J8" s="13" t="n">
        <f aca="false">IFERROR(((G8*H8)/F8)-I8,"")</f>
        <v>-5</v>
      </c>
      <c r="K8" s="12" t="str">
        <f aca="false">IF(J8&lt;-10,"MUITO ADIANTADO",IF(J8&lt;-6,"ADIANTADO",IF(J8&lt;6,"EM DIAS",IF(J8&lt;12,"ATRASADO","MUITO ATRASADO"))))</f>
        <v>EM DIAS</v>
      </c>
      <c r="L8" s="9" t="n">
        <v>46163</v>
      </c>
      <c r="M8" s="6" t="n">
        <f aca="true">TODAY()-L8</f>
        <v>8</v>
      </c>
      <c r="N8" s="1" t="str">
        <f aca="false">IF(M8&lt;8,"VERIFICADO",IF(M8&lt;15,"VERIFICAR","VERIFICAR URGENTE"))</f>
        <v>VERIFICAR</v>
      </c>
      <c r="P8" s="14"/>
    </row>
    <row r="9" customFormat="false" ht="15" hidden="false" customHeight="false" outlineLevel="0" collapsed="false">
      <c r="A9" s="6" t="s">
        <v>26</v>
      </c>
      <c r="B9" s="7" t="s">
        <v>22</v>
      </c>
      <c r="C9" s="8" t="n">
        <f aca="false">L9</f>
        <v>46163</v>
      </c>
      <c r="D9" s="9" t="n">
        <v>45811</v>
      </c>
      <c r="E9" s="10" t="n">
        <v>46376</v>
      </c>
      <c r="F9" s="11" t="n">
        <f aca="false">(E9-D9)/7</f>
        <v>80.7142857142857</v>
      </c>
      <c r="G9" s="11" t="n">
        <f aca="true">(TODAY()-D9)/7</f>
        <v>51.4285714285714</v>
      </c>
      <c r="H9" s="12" t="n">
        <v>80</v>
      </c>
      <c r="I9" s="12" t="n">
        <v>43</v>
      </c>
      <c r="J9" s="13" t="n">
        <f aca="false">IFERROR(((G9*H9)/F9)-I9,"")</f>
        <v>7.97345132743364</v>
      </c>
      <c r="K9" s="12" t="str">
        <f aca="false">IF(J9&lt;-10,"MUITO ADIANTADO",IF(J9&lt;-6,"ADIANTADO",IF(J9&lt;6,"EM DIAS",IF(J9&lt;12,"ATRASADO","MUITO ATRASADO"))))</f>
        <v>ATRASADO</v>
      </c>
      <c r="L9" s="9" t="n">
        <v>46163</v>
      </c>
      <c r="M9" s="6" t="n">
        <f aca="true">TODAY()-L9</f>
        <v>8</v>
      </c>
      <c r="N9" s="1" t="str">
        <f aca="false">IF(M9&lt;8,"VERIFICADO",IF(M9&lt;15,"VERIFICAR","VERIFICAR URGENTE"))</f>
        <v>VERIFICAR</v>
      </c>
      <c r="P9" s="14"/>
    </row>
    <row r="10" customFormat="false" ht="15" hidden="false" customHeight="false" outlineLevel="0" collapsed="false">
      <c r="A10" s="6" t="s">
        <v>27</v>
      </c>
      <c r="B10" s="7" t="s">
        <v>22</v>
      </c>
      <c r="C10" s="8" t="n">
        <f aca="false">L10</f>
        <v>46161</v>
      </c>
      <c r="D10" s="9" t="n">
        <v>45947</v>
      </c>
      <c r="E10" s="10" t="n">
        <v>46407</v>
      </c>
      <c r="F10" s="11" t="n">
        <f aca="false">(E10-D10)/7</f>
        <v>65.7142857142857</v>
      </c>
      <c r="G10" s="11" t="n">
        <f aca="true">(TODAY()-D10)/7</f>
        <v>32</v>
      </c>
      <c r="H10" s="12" t="n">
        <v>80</v>
      </c>
      <c r="I10" s="12" t="n">
        <v>41</v>
      </c>
      <c r="J10" s="13" t="n">
        <f aca="false">IFERROR(((G10*H10)/F10)-I10,"")</f>
        <v>-2.04347826086956</v>
      </c>
      <c r="K10" s="12" t="str">
        <f aca="false">IF(J10&lt;-10,"MUITO ADIANTADO",IF(J10&lt;-6,"ADIANTADO",IF(J10&lt;6,"EM DIAS",IF(J10&lt;12,"ATRASADO","MUITO ATRASADO"))))</f>
        <v>EM DIAS</v>
      </c>
      <c r="L10" s="9" t="n">
        <v>46161</v>
      </c>
      <c r="M10" s="6" t="n">
        <f aca="true">TODAY()-L10</f>
        <v>10</v>
      </c>
      <c r="N10" s="1" t="str">
        <f aca="false">IF(M10&lt;8,"VERIFICADO",IF(M10&lt;15,"VERIFICAR","VERIFICAR URGENTE"))</f>
        <v>VERIFICAR</v>
      </c>
      <c r="P10" s="14"/>
    </row>
    <row r="11" customFormat="false" ht="15" hidden="false" customHeight="false" outlineLevel="0" collapsed="false">
      <c r="A11" s="6" t="s">
        <v>28</v>
      </c>
      <c r="B11" s="7" t="s">
        <v>17</v>
      </c>
      <c r="C11" s="8" t="n">
        <f aca="false">L11</f>
        <v>46157</v>
      </c>
      <c r="D11" s="9" t="n">
        <v>45933</v>
      </c>
      <c r="E11" s="10" t="n">
        <v>46325</v>
      </c>
      <c r="F11" s="11" t="n">
        <f aca="false">(E11-D11)/7</f>
        <v>56</v>
      </c>
      <c r="G11" s="11" t="n">
        <f aca="true">(TODAY()-D11)/7</f>
        <v>34</v>
      </c>
      <c r="H11" s="12" t="n">
        <v>64</v>
      </c>
      <c r="I11" s="12" t="n">
        <v>35</v>
      </c>
      <c r="J11" s="13" t="n">
        <f aca="false">IFERROR(((G11*H11)/F11)-I11,"")</f>
        <v>3.85714285714285</v>
      </c>
      <c r="K11" s="12" t="str">
        <f aca="false">IF(J11&lt;-10,"MUITO ADIANTADO",IF(J11&lt;-6,"ADIANTADO",IF(J11&lt;6,"EM DIAS",IF(J11&lt;12,"ATRASADO","MUITO ATRASADO"))))</f>
        <v>EM DIAS</v>
      </c>
      <c r="L11" s="9" t="n">
        <v>46157</v>
      </c>
      <c r="M11" s="6" t="n">
        <f aca="true">TODAY()-L11</f>
        <v>14</v>
      </c>
      <c r="N11" s="1" t="str">
        <f aca="false">IF(M11&lt;8,"VERIFICADO",IF(M11&lt;15,"VERIFICAR","VERIFICAR URGENTE"))</f>
        <v>VERIFICAR</v>
      </c>
      <c r="P11" s="14"/>
    </row>
    <row r="12" customFormat="false" ht="15" hidden="false" customHeight="false" outlineLevel="0" collapsed="false">
      <c r="A12" s="6" t="s">
        <v>29</v>
      </c>
      <c r="B12" s="7" t="s">
        <v>22</v>
      </c>
      <c r="C12" s="8" t="n">
        <f aca="false">L12</f>
        <v>46165</v>
      </c>
      <c r="D12" s="9" t="n">
        <v>45875</v>
      </c>
      <c r="E12" s="10" t="n">
        <v>47609</v>
      </c>
      <c r="F12" s="11" t="n">
        <f aca="false">(E12-D12)/7</f>
        <v>247.714285714286</v>
      </c>
      <c r="G12" s="11" t="n">
        <f aca="true">(TODAY()-D12)/7</f>
        <v>42.2857142857143</v>
      </c>
      <c r="H12" s="12" t="n">
        <v>257</v>
      </c>
      <c r="I12" s="12" t="n">
        <v>40</v>
      </c>
      <c r="J12" s="13" t="n">
        <f aca="false">IFERROR(((G12*H12)/F12)-I12,"")</f>
        <v>3.87081891580156</v>
      </c>
      <c r="K12" s="12" t="str">
        <f aca="false">IF(J12&lt;-10,"MUITO ADIANTADO",IF(J12&lt;-6,"ADIANTADO",IF(J12&lt;6,"EM DIAS",IF(J12&lt;12,"ATRASADO","MUITO ATRASADO"))))</f>
        <v>EM DIAS</v>
      </c>
      <c r="L12" s="9" t="n">
        <v>46165</v>
      </c>
      <c r="M12" s="6" t="n">
        <f aca="true">TODAY()-L12</f>
        <v>6</v>
      </c>
      <c r="N12" s="1" t="str">
        <f aca="false">IF(M12&lt;8,"VERIFICADO",IF(M12&lt;15,"VERIFICAR","VERIFICAR URGENTE"))</f>
        <v>VERIFICADO</v>
      </c>
      <c r="P12" s="14"/>
    </row>
    <row r="13" customFormat="false" ht="15" hidden="false" customHeight="false" outlineLevel="0" collapsed="false">
      <c r="A13" s="6" t="s">
        <v>30</v>
      </c>
      <c r="B13" s="7" t="s">
        <v>19</v>
      </c>
      <c r="C13" s="8" t="n">
        <f aca="false">L13</f>
        <v>46162</v>
      </c>
      <c r="D13" s="9" t="n">
        <v>45889</v>
      </c>
      <c r="E13" s="10" t="n">
        <v>46822</v>
      </c>
      <c r="F13" s="11" t="n">
        <f aca="false">(E13-D13)/7</f>
        <v>133.285714285714</v>
      </c>
      <c r="G13" s="11" t="n">
        <f aca="true">(TODAY()-D13)/7</f>
        <v>40.2857142857143</v>
      </c>
      <c r="H13" s="12" t="n">
        <v>128</v>
      </c>
      <c r="I13" s="12" t="n">
        <v>38</v>
      </c>
      <c r="J13" s="13" t="n">
        <f aca="false">IFERROR(((G13*H13)/F13)-I13,"")</f>
        <v>0.688102893890758</v>
      </c>
      <c r="K13" s="12" t="str">
        <f aca="false">IF(J13&lt;-10,"MUITO ADIANTADO",IF(J13&lt;-6,"ADIANTADO",IF(J13&lt;6,"EM DIAS",IF(J13&lt;12,"ATRASADO","MUITO ATRASADO"))))</f>
        <v>EM DIAS</v>
      </c>
      <c r="L13" s="9" t="n">
        <v>46162</v>
      </c>
      <c r="M13" s="6" t="n">
        <f aca="true">TODAY()-L13</f>
        <v>9</v>
      </c>
      <c r="N13" s="1" t="str">
        <f aca="false">IF(M13&lt;8,"VERIFICADO",IF(M13&lt;15,"VERIFICAR","VERIFICAR URGENTE"))</f>
        <v>VERIFICAR</v>
      </c>
    </row>
    <row r="14" customFormat="false" ht="15" hidden="false" customHeight="false" outlineLevel="0" collapsed="false">
      <c r="A14" s="6" t="s">
        <v>31</v>
      </c>
      <c r="B14" s="7" t="s">
        <v>22</v>
      </c>
      <c r="C14" s="8" t="n">
        <f aca="false">L14</f>
        <v>46163</v>
      </c>
      <c r="D14" s="9" t="n">
        <v>45890</v>
      </c>
      <c r="E14" s="10" t="n">
        <v>46784</v>
      </c>
      <c r="F14" s="11" t="n">
        <f aca="false">(E14-D14)/7</f>
        <v>127.714285714286</v>
      </c>
      <c r="G14" s="11" t="n">
        <f aca="true">(TODAY()-D14)/7</f>
        <v>40.1428571428571</v>
      </c>
      <c r="H14" s="12" t="n">
        <v>160</v>
      </c>
      <c r="I14" s="12" t="n">
        <v>55</v>
      </c>
      <c r="J14" s="13" t="n">
        <f aca="false">IFERROR(((G14*H14)/F14)-I14,"")</f>
        <v>-4.70917225950795</v>
      </c>
      <c r="K14" s="12" t="str">
        <f aca="false">IF(J14&lt;-10,"MUITO ADIANTADO",IF(J14&lt;-6,"ADIANTADO",IF(J14&lt;6,"EM DIAS",IF(J14&lt;12,"ATRASADO","MUITO ATRASADO"))))</f>
        <v>EM DIAS</v>
      </c>
      <c r="L14" s="9" t="n">
        <v>46163</v>
      </c>
      <c r="M14" s="6" t="n">
        <f aca="true">TODAY()-L14</f>
        <v>8</v>
      </c>
      <c r="N14" s="1" t="str">
        <f aca="false">IF(M14&lt;8,"VERIFICADO",IF(M14&lt;15,"VERIFICAR","VERIFICAR URGENTE"))</f>
        <v>VERIFICAR</v>
      </c>
    </row>
    <row r="15" customFormat="false" ht="15" hidden="false" customHeight="false" outlineLevel="0" collapsed="false">
      <c r="A15" s="6" t="s">
        <v>32</v>
      </c>
      <c r="B15" s="7" t="s">
        <v>15</v>
      </c>
      <c r="C15" s="8" t="n">
        <f aca="false">L15</f>
        <v>46164</v>
      </c>
      <c r="D15" s="9" t="n">
        <v>45750</v>
      </c>
      <c r="E15" s="10" t="n">
        <v>46296</v>
      </c>
      <c r="F15" s="11" t="n">
        <f aca="false">(E15-D15)/7</f>
        <v>78</v>
      </c>
      <c r="G15" s="11" t="n">
        <f aca="true">(TODAY()-D15)/7</f>
        <v>60.1428571428571</v>
      </c>
      <c r="H15" s="12" t="n">
        <v>80</v>
      </c>
      <c r="I15" s="12" t="n">
        <v>58</v>
      </c>
      <c r="J15" s="13" t="n">
        <f aca="false">IFERROR(((G15*H15)/F15)-I15,"")</f>
        <v>3.68498168498169</v>
      </c>
      <c r="K15" s="12" t="str">
        <f aca="false">IF(J15&lt;-10,"MUITO ADIANTADO",IF(J15&lt;-6,"ADIANTADO",IF(J15&lt;6,"EM DIAS",IF(J15&lt;12,"ATRASADO","MUITO ATRASADO"))))</f>
        <v>EM DIAS</v>
      </c>
      <c r="L15" s="9" t="n">
        <v>46164</v>
      </c>
      <c r="M15" s="6" t="n">
        <f aca="true">TODAY()-L15</f>
        <v>7</v>
      </c>
      <c r="N15" s="1" t="str">
        <f aca="false">IF(M15&lt;8,"VERIFICADO",IF(M15&lt;15,"VERIFICAR","VERIFICAR URGENTE"))</f>
        <v>VERIFICADO</v>
      </c>
    </row>
    <row r="16" customFormat="false" ht="15" hidden="false" customHeight="false" outlineLevel="0" collapsed="false">
      <c r="A16" s="6" t="s">
        <v>33</v>
      </c>
      <c r="B16" s="7" t="s">
        <v>15</v>
      </c>
      <c r="C16" s="8" t="n">
        <f aca="false">L16</f>
        <v>46161</v>
      </c>
      <c r="D16" s="9" t="n">
        <v>45986</v>
      </c>
      <c r="E16" s="10" t="n">
        <v>46537</v>
      </c>
      <c r="F16" s="11" t="n">
        <f aca="false">(E16-D16)/7</f>
        <v>78.7142857142857</v>
      </c>
      <c r="G16" s="11" t="n">
        <f aca="true">(TODAY()-D16)/7</f>
        <v>26.4285714285714</v>
      </c>
      <c r="H16" s="12" t="n">
        <v>80</v>
      </c>
      <c r="I16" s="12" t="n">
        <v>25</v>
      </c>
      <c r="J16" s="13" t="n">
        <f aca="false">IFERROR(((G16*H16)/F16)-I16,"")</f>
        <v>1.86025408348458</v>
      </c>
      <c r="K16" s="12" t="str">
        <f aca="false">IF(J16&lt;-10,"MUITO ADIANTADO",IF(J16&lt;-6,"ADIANTADO",IF(J16&lt;6,"EM DIAS",IF(J16&lt;12,"ATRASADO","MUITO ATRASADO"))))</f>
        <v>EM DIAS</v>
      </c>
      <c r="L16" s="9" t="n">
        <v>46161</v>
      </c>
      <c r="M16" s="6" t="n">
        <f aca="true">TODAY()-L16</f>
        <v>10</v>
      </c>
      <c r="N16" s="1" t="str">
        <f aca="false">IF(M16&lt;8,"VERIFICADO",IF(M16&lt;15,"VERIFICAR","VERIFICAR URGENTE"))</f>
        <v>VERIFICAR</v>
      </c>
    </row>
    <row r="17" customFormat="false" ht="15" hidden="false" customHeight="false" outlineLevel="0" collapsed="false">
      <c r="A17" s="6" t="s">
        <v>34</v>
      </c>
      <c r="B17" s="7" t="s">
        <v>22</v>
      </c>
      <c r="C17" s="8" t="n">
        <f aca="false">L17</f>
        <v>46163</v>
      </c>
      <c r="D17" s="9" t="n">
        <v>45967</v>
      </c>
      <c r="E17" s="10" t="n">
        <v>46532</v>
      </c>
      <c r="F17" s="11" t="n">
        <f aca="false">(E17-D17)/7</f>
        <v>80.7142857142857</v>
      </c>
      <c r="G17" s="11" t="n">
        <f aca="true">(TODAY()-D17)/7</f>
        <v>29.1428571428571</v>
      </c>
      <c r="H17" s="12" t="n">
        <v>80</v>
      </c>
      <c r="I17" s="12" t="n">
        <v>30</v>
      </c>
      <c r="J17" s="13" t="n">
        <f aca="false">IFERROR(((G17*H17)/F17)-I17,"")</f>
        <v>-1.1150442477876</v>
      </c>
      <c r="K17" s="12" t="str">
        <f aca="false">IF(J17&lt;-10,"MUITO ADIANTADO",IF(J17&lt;-6,"ADIANTADO",IF(J17&lt;6,"EM DIAS",IF(J17&lt;12,"ATRASADO","MUITO ATRASADO"))))</f>
        <v>EM DIAS</v>
      </c>
      <c r="L17" s="9" t="n">
        <v>46163</v>
      </c>
      <c r="M17" s="6" t="n">
        <f aca="true">TODAY()-L17</f>
        <v>8</v>
      </c>
      <c r="N17" s="1" t="str">
        <f aca="false">IF(M17&lt;8,"VERIFICADO",IF(M17&lt;15,"VERIFICAR","VERIFICAR URGENTE"))</f>
        <v>VERIFICAR</v>
      </c>
    </row>
    <row r="18" customFormat="false" ht="15" hidden="false" customHeight="false" outlineLevel="0" collapsed="false">
      <c r="A18" s="6" t="s">
        <v>35</v>
      </c>
      <c r="B18" s="7" t="s">
        <v>22</v>
      </c>
      <c r="C18" s="8" t="n">
        <f aca="false">L18</f>
        <v>46161</v>
      </c>
      <c r="D18" s="9" t="n">
        <v>45853</v>
      </c>
      <c r="E18" s="10" t="n">
        <v>46419</v>
      </c>
      <c r="F18" s="11" t="n">
        <f aca="false">(E18-D18)/7</f>
        <v>80.8571428571429</v>
      </c>
      <c r="G18" s="11" t="n">
        <f aca="true">(TODAY()-D18)/7</f>
        <v>45.4285714285714</v>
      </c>
      <c r="H18" s="12" t="n">
        <v>80</v>
      </c>
      <c r="I18" s="12" t="n">
        <v>41</v>
      </c>
      <c r="J18" s="13" t="n">
        <f aca="false">IFERROR(((G18*H18)/F18)-I18,"")</f>
        <v>3.94699646643107</v>
      </c>
      <c r="K18" s="12" t="str">
        <f aca="false">IF(J18&lt;-10,"MUITO ADIANTADO",IF(J18&lt;-6,"ADIANTADO",IF(J18&lt;6,"EM DIAS",IF(J18&lt;12,"ATRASADO","MUITO ATRASADO"))))</f>
        <v>EM DIAS</v>
      </c>
      <c r="L18" s="9" t="n">
        <v>46161</v>
      </c>
      <c r="M18" s="6" t="n">
        <f aca="true">TODAY()-L18</f>
        <v>10</v>
      </c>
      <c r="N18" s="1" t="str">
        <f aca="false">IF(M18&lt;8,"VERIFICADO",IF(M18&lt;15,"VERIFICAR","VERIFICAR URGENTE"))</f>
        <v>VERIFICAR</v>
      </c>
    </row>
    <row r="19" customFormat="false" ht="15" hidden="false" customHeight="false" outlineLevel="0" collapsed="false">
      <c r="A19" s="6" t="s">
        <v>36</v>
      </c>
      <c r="B19" s="7" t="s">
        <v>19</v>
      </c>
      <c r="C19" s="8" t="n">
        <f aca="false">L19</f>
        <v>46162</v>
      </c>
      <c r="D19" s="9" t="n">
        <v>45409</v>
      </c>
      <c r="E19" s="10" t="n">
        <v>46172</v>
      </c>
      <c r="F19" s="11" t="n">
        <f aca="false">(E19-D19)/7</f>
        <v>109</v>
      </c>
      <c r="G19" s="11" t="n">
        <f aca="true">(TODAY()-D19)/7</f>
        <v>108.857142857143</v>
      </c>
      <c r="H19" s="12" t="n">
        <v>128</v>
      </c>
      <c r="I19" s="12" t="n">
        <v>124</v>
      </c>
      <c r="J19" s="13" t="n">
        <f aca="false">IFERROR(((G19*H19)/F19)-I19,"")</f>
        <v>3.83224115334208</v>
      </c>
      <c r="K19" s="12" t="str">
        <f aca="false">IF(J19&lt;-10,"MUITO ADIANTADO",IF(J19&lt;-6,"ADIANTADO",IF(J19&lt;6,"EM DIAS",IF(J19&lt;12,"ATRASADO","MUITO ATRASADO"))))</f>
        <v>EM DIAS</v>
      </c>
      <c r="L19" s="9" t="n">
        <v>46162</v>
      </c>
      <c r="M19" s="6" t="n">
        <f aca="true">TODAY()-L19</f>
        <v>9</v>
      </c>
      <c r="N19" s="1" t="str">
        <f aca="false">IF(M19&lt;8,"VERIFICADO",IF(M19&lt;15,"VERIFICAR","VERIFICAR URGENTE"))</f>
        <v>VERIFICAR</v>
      </c>
    </row>
    <row r="20" customFormat="false" ht="15" hidden="false" customHeight="false" outlineLevel="0" collapsed="false">
      <c r="A20" s="6" t="s">
        <v>37</v>
      </c>
      <c r="B20" s="7" t="s">
        <v>24</v>
      </c>
      <c r="C20" s="8" t="n">
        <f aca="false">L20</f>
        <v>46158</v>
      </c>
      <c r="D20" s="9" t="n">
        <v>46123</v>
      </c>
      <c r="E20" s="10" t="n">
        <v>46485</v>
      </c>
      <c r="F20" s="11" t="n">
        <f aca="false">(E20-D20)/7</f>
        <v>51.7142857142857</v>
      </c>
      <c r="G20" s="11" t="n">
        <f aca="true">(TODAY()-D20)/7</f>
        <v>6.85714285714286</v>
      </c>
      <c r="H20" s="12" t="n">
        <v>80</v>
      </c>
      <c r="I20" s="12" t="n">
        <v>9</v>
      </c>
      <c r="J20" s="13" t="n">
        <f aca="false">IFERROR(((G20*H20)/F20)-I20,"")</f>
        <v>1.60773480662984</v>
      </c>
      <c r="K20" s="12" t="str">
        <f aca="false">IF(J20&lt;-10,"MUITO ADIANTADO",IF(J20&lt;-6,"ADIANTADO",IF(J20&lt;6,"EM DIAS",IF(J20&lt;12,"ATRASADO","MUITO ATRASADO"))))</f>
        <v>EM DIAS</v>
      </c>
      <c r="L20" s="9" t="n">
        <v>46158</v>
      </c>
      <c r="M20" s="6" t="n">
        <f aca="true">TODAY()-L20</f>
        <v>13</v>
      </c>
      <c r="N20" s="1" t="str">
        <f aca="false">IF(M20&lt;8,"VERIFICADO",IF(M20&lt;15,"VERIFICAR","VERIFICAR URGENTE"))</f>
        <v>VERIFICAR</v>
      </c>
    </row>
    <row r="21" customFormat="false" ht="15" hidden="false" customHeight="false" outlineLevel="0" collapsed="false">
      <c r="A21" s="6" t="s">
        <v>38</v>
      </c>
      <c r="B21" s="7" t="s">
        <v>17</v>
      </c>
      <c r="C21" s="8" t="n">
        <f aca="false">L21</f>
        <v>46160</v>
      </c>
      <c r="D21" s="9" t="n">
        <v>45803</v>
      </c>
      <c r="E21" s="10" t="n">
        <v>46356</v>
      </c>
      <c r="F21" s="11" t="n">
        <f aca="false">(E21-D21)/7</f>
        <v>79</v>
      </c>
      <c r="G21" s="11" t="n">
        <f aca="true">(TODAY()-D21)/7</f>
        <v>52.5714285714286</v>
      </c>
      <c r="H21" s="12" t="n">
        <v>82</v>
      </c>
      <c r="I21" s="12" t="n">
        <v>56</v>
      </c>
      <c r="J21" s="13" t="n">
        <f aca="false">IFERROR(((G21*H21)/F21)-I21,"")</f>
        <v>-1.43218806509945</v>
      </c>
      <c r="K21" s="12" t="str">
        <f aca="false">IF(J21&lt;-10,"MUITO ADIANTADO",IF(J21&lt;-6,"ADIANTADO",IF(J21&lt;6,"EM DIAS",IF(J21&lt;12,"ATRASADO","MUITO ATRASADO"))))</f>
        <v>EM DIAS</v>
      </c>
      <c r="L21" s="9" t="n">
        <v>46160</v>
      </c>
      <c r="M21" s="6" t="n">
        <f aca="true">TODAY()-L21</f>
        <v>11</v>
      </c>
      <c r="N21" s="1" t="str">
        <f aca="false">IF(M21&lt;8,"VERIFICADO",IF(M21&lt;15,"VERIFICAR","VERIFICAR URGENTE"))</f>
        <v>VERIFICAR</v>
      </c>
    </row>
    <row r="22" customFormat="false" ht="15" hidden="false" customHeight="false" outlineLevel="0" collapsed="false">
      <c r="A22" s="6" t="s">
        <v>39</v>
      </c>
      <c r="B22" s="7" t="s">
        <v>15</v>
      </c>
      <c r="C22" s="8" t="n">
        <f aca="false">L22</f>
        <v>46161</v>
      </c>
      <c r="D22" s="9" t="n">
        <v>45923</v>
      </c>
      <c r="E22" s="10" t="n">
        <v>46744</v>
      </c>
      <c r="F22" s="11" t="n">
        <f aca="false">(E22-D22)/7</f>
        <v>117.285714285714</v>
      </c>
      <c r="G22" s="11" t="n">
        <f aca="true">(TODAY()-D22)/7</f>
        <v>35.4285714285714</v>
      </c>
      <c r="H22" s="12" t="n">
        <v>140</v>
      </c>
      <c r="I22" s="12" t="n">
        <v>29</v>
      </c>
      <c r="J22" s="13" t="n">
        <f aca="false">IFERROR(((G22*H22)/F22)-I22,"")</f>
        <v>13.2898903775884</v>
      </c>
      <c r="K22" s="12" t="str">
        <f aca="false">IF(J22&lt;-10,"MUITO ADIANTADO",IF(J22&lt;-6,"ADIANTADO",IF(J22&lt;6,"EM DIAS",IF(J22&lt;12,"ATRASADO","MUITO ATRASADO"))))</f>
        <v>MUITO ATRASADO</v>
      </c>
      <c r="L22" s="9" t="n">
        <v>46161</v>
      </c>
      <c r="M22" s="6" t="n">
        <f aca="true">TODAY()-L22</f>
        <v>10</v>
      </c>
      <c r="N22" s="1" t="str">
        <f aca="false">IF(M22&lt;8,"VERIFICADO",IF(M22&lt;15,"VERIFICAR","VERIFICAR URGENTE"))</f>
        <v>VERIFICAR</v>
      </c>
    </row>
    <row r="23" customFormat="false" ht="15" hidden="false" customHeight="false" outlineLevel="0" collapsed="false">
      <c r="A23" s="6" t="s">
        <v>40</v>
      </c>
      <c r="B23" s="7" t="s">
        <v>19</v>
      </c>
      <c r="C23" s="8" t="n">
        <f aca="false">L23</f>
        <v>46162</v>
      </c>
      <c r="D23" s="9" t="n">
        <v>45966</v>
      </c>
      <c r="E23" s="10" t="n">
        <v>46671</v>
      </c>
      <c r="F23" s="11" t="n">
        <f aca="false">(E23-D23)/7</f>
        <v>100.714285714286</v>
      </c>
      <c r="G23" s="11" t="n">
        <f aca="true">(TODAY()-D23)/7</f>
        <v>29.2857142857143</v>
      </c>
      <c r="H23" s="12" t="n">
        <v>122</v>
      </c>
      <c r="I23" s="12" t="n">
        <v>35</v>
      </c>
      <c r="J23" s="13" t="n">
        <f aca="false">IFERROR(((G23*H23)/F23)-I23,"")</f>
        <v>0.475177304964433</v>
      </c>
      <c r="K23" s="12" t="str">
        <f aca="false">IF(J23&lt;-10,"MUITO ADIANTADO",IF(J23&lt;-6,"ADIANTADO",IF(J23&lt;6,"EM DIAS",IF(J23&lt;12,"ATRASADO","MUITO ATRASADO"))))</f>
        <v>EM DIAS</v>
      </c>
      <c r="L23" s="9" t="n">
        <v>46162</v>
      </c>
      <c r="M23" s="6" t="n">
        <f aca="true">TODAY()-L23</f>
        <v>9</v>
      </c>
      <c r="N23" s="1" t="str">
        <f aca="false">IF(M23&lt;8,"VERIFICADO",IF(M23&lt;15,"VERIFICAR","VERIFICAR URGENTE"))</f>
        <v>VERIFICAR</v>
      </c>
    </row>
    <row r="24" customFormat="false" ht="15" hidden="false" customHeight="false" outlineLevel="0" collapsed="false">
      <c r="A24" s="6" t="s">
        <v>41</v>
      </c>
      <c r="B24" s="7" t="s">
        <v>15</v>
      </c>
      <c r="C24" s="8" t="n">
        <f aca="false">L24</f>
        <v>46163</v>
      </c>
      <c r="D24" s="9" t="n">
        <v>45689</v>
      </c>
      <c r="E24" s="10" t="n">
        <v>46233</v>
      </c>
      <c r="F24" s="11" t="n">
        <f aca="false">(E24-D24)/7</f>
        <v>77.7142857142857</v>
      </c>
      <c r="G24" s="11" t="n">
        <f aca="true">(TODAY()-D24)/7</f>
        <v>68.8571428571429</v>
      </c>
      <c r="H24" s="12" t="n">
        <v>112</v>
      </c>
      <c r="I24" s="12" t="n">
        <v>99</v>
      </c>
      <c r="J24" s="13" t="n">
        <f aca="false">IFERROR(((G24*H24)/F24)-I24,"")</f>
        <v>0.235294117647086</v>
      </c>
      <c r="K24" s="12" t="str">
        <f aca="false">IF(J24&lt;-10,"MUITO ADIANTADO",IF(J24&lt;-6,"ADIANTADO",IF(J24&lt;6,"EM DIAS",IF(J24&lt;12,"ATRASADO","MUITO ATRASADO"))))</f>
        <v>EM DIAS</v>
      </c>
      <c r="L24" s="9" t="n">
        <v>46163</v>
      </c>
      <c r="M24" s="6" t="n">
        <f aca="true">TODAY()-L24</f>
        <v>8</v>
      </c>
      <c r="N24" s="1" t="str">
        <f aca="false">IF(M24&lt;8,"VERIFICADO",IF(M24&lt;15,"VERIFICAR","VERIFICAR URGENTE"))</f>
        <v>VERIFICAR</v>
      </c>
    </row>
    <row r="25" customFormat="false" ht="15" hidden="false" customHeight="false" outlineLevel="0" collapsed="false">
      <c r="A25" s="6" t="s">
        <v>42</v>
      </c>
      <c r="B25" s="7" t="s">
        <v>24</v>
      </c>
      <c r="C25" s="8" t="n">
        <f aca="false">L25</f>
        <v>46160</v>
      </c>
      <c r="D25" s="9" t="n">
        <v>45496</v>
      </c>
      <c r="E25" s="10" t="n">
        <v>46169</v>
      </c>
      <c r="F25" s="11" t="n">
        <f aca="false">(E25-D25)/7</f>
        <v>96.1428571428571</v>
      </c>
      <c r="G25" s="11" t="n">
        <f aca="true">(TODAY()-D25)/7</f>
        <v>96.4285714285714</v>
      </c>
      <c r="H25" s="12" t="n">
        <v>80</v>
      </c>
      <c r="I25" s="12" t="n">
        <v>74</v>
      </c>
      <c r="J25" s="13" t="n">
        <f aca="false">IFERROR(((G25*H25)/F25)-I25,"")</f>
        <v>6.23774145616646</v>
      </c>
      <c r="K25" s="12" t="str">
        <f aca="false">IF(J25&lt;-10,"MUITO ADIANTADO",IF(J25&lt;-6,"ADIANTADO",IF(J25&lt;6,"EM DIAS",IF(J25&lt;12,"ATRASADO","MUITO ATRASADO"))))</f>
        <v>ATRASADO</v>
      </c>
      <c r="L25" s="9" t="n">
        <v>46160</v>
      </c>
      <c r="M25" s="6" t="n">
        <f aca="true">TODAY()-L25</f>
        <v>11</v>
      </c>
      <c r="N25" s="1" t="str">
        <f aca="false">IF(M25&lt;8,"VERIFICADO",IF(M25&lt;15,"VERIFICAR","VERIFICAR URGENTE"))</f>
        <v>VERIFICAR</v>
      </c>
    </row>
    <row r="26" customFormat="false" ht="15" hidden="false" customHeight="false" outlineLevel="0" collapsed="false">
      <c r="A26" s="6" t="s">
        <v>43</v>
      </c>
      <c r="B26" s="7" t="s">
        <v>19</v>
      </c>
      <c r="C26" s="8" t="n">
        <f aca="false">L26</f>
        <v>46162</v>
      </c>
      <c r="D26" s="9" t="n">
        <v>46027</v>
      </c>
      <c r="E26" s="10" t="n">
        <v>46680</v>
      </c>
      <c r="F26" s="11" t="n">
        <f aca="false">(E26-D26)/7</f>
        <v>93.2857142857143</v>
      </c>
      <c r="G26" s="11" t="n">
        <f aca="true">(TODAY()-D26)/7</f>
        <v>20.5714285714286</v>
      </c>
      <c r="H26" s="12" t="n">
        <v>112</v>
      </c>
      <c r="I26" s="12" t="n">
        <v>22</v>
      </c>
      <c r="J26" s="13" t="n">
        <f aca="false">IFERROR(((G26*H26)/F26)-I26,"")</f>
        <v>2.69831546707503</v>
      </c>
      <c r="K26" s="12" t="str">
        <f aca="false">IF(J26&lt;-10,"MUITO ADIANTADO",IF(J26&lt;-6,"ADIANTADO",IF(J26&lt;6,"EM DIAS",IF(J26&lt;12,"ATRASADO","MUITO ATRASADO"))))</f>
        <v>EM DIAS</v>
      </c>
      <c r="L26" s="9" t="n">
        <v>46162</v>
      </c>
      <c r="M26" s="6" t="n">
        <f aca="true">TODAY()-L26</f>
        <v>9</v>
      </c>
      <c r="N26" s="1" t="str">
        <f aca="false">IF(M26&lt;8,"VERIFICADO",IF(M26&lt;15,"VERIFICAR","VERIFICAR URGENTE"))</f>
        <v>VERIFICAR</v>
      </c>
    </row>
    <row r="27" customFormat="false" ht="15" hidden="false" customHeight="false" outlineLevel="0" collapsed="false">
      <c r="A27" s="6" t="s">
        <v>44</v>
      </c>
      <c r="B27" s="7" t="s">
        <v>19</v>
      </c>
      <c r="C27" s="8" t="n">
        <f aca="false">L27</f>
        <v>46162</v>
      </c>
      <c r="D27" s="9" t="n">
        <v>45966</v>
      </c>
      <c r="E27" s="10" t="n">
        <v>46670</v>
      </c>
      <c r="F27" s="11" t="n">
        <f aca="false">(E27-D27)/7</f>
        <v>100.571428571429</v>
      </c>
      <c r="G27" s="11" t="n">
        <f aca="true">(TODAY()-D27)/7</f>
        <v>29.2857142857143</v>
      </c>
      <c r="H27" s="12" t="n">
        <v>122</v>
      </c>
      <c r="I27" s="12" t="n">
        <v>34</v>
      </c>
      <c r="J27" s="13" t="n">
        <f aca="false">IFERROR(((G27*H27)/F27)-I27,"")</f>
        <v>1.52556818181803</v>
      </c>
      <c r="K27" s="12" t="str">
        <f aca="false">IF(J27&lt;-10,"MUITO ADIANTADO",IF(J27&lt;-6,"ADIANTADO",IF(J27&lt;6,"EM DIAS",IF(J27&lt;12,"ATRASADO","MUITO ATRASADO"))))</f>
        <v>EM DIAS</v>
      </c>
      <c r="L27" s="9" t="n">
        <v>46162</v>
      </c>
      <c r="M27" s="6" t="n">
        <f aca="true">TODAY()-L27</f>
        <v>9</v>
      </c>
      <c r="N27" s="1" t="str">
        <f aca="false">IF(M27&lt;8,"VERIFICADO",IF(M27&lt;15,"VERIFICAR","VERIFICAR URGENTE"))</f>
        <v>VERIFICAR</v>
      </c>
    </row>
    <row r="28" customFormat="false" ht="15" hidden="false" customHeight="false" outlineLevel="0" collapsed="false">
      <c r="A28" s="6" t="s">
        <v>45</v>
      </c>
      <c r="B28" s="7" t="s">
        <v>22</v>
      </c>
      <c r="C28" s="8" t="n">
        <f aca="false">L28</f>
        <v>46161</v>
      </c>
      <c r="D28" s="9" t="n">
        <v>46042</v>
      </c>
      <c r="E28" s="10" t="n">
        <v>46572</v>
      </c>
      <c r="F28" s="11" t="n">
        <f aca="false">(E28-D28)/7</f>
        <v>75.7142857142857</v>
      </c>
      <c r="G28" s="11" t="n">
        <f aca="true">(TODAY()-D28)/7</f>
        <v>18.4285714285714</v>
      </c>
      <c r="H28" s="12" t="n">
        <v>80</v>
      </c>
      <c r="I28" s="12" t="n">
        <v>18</v>
      </c>
      <c r="J28" s="13" t="n">
        <f aca="false">IFERROR(((G28*H28)/F28)-I28,"")</f>
        <v>1.47169811320755</v>
      </c>
      <c r="K28" s="12" t="str">
        <f aca="false">IF(J28&lt;-10,"MUITO ADIANTADO",IF(J28&lt;-6,"ADIANTADO",IF(J28&lt;6,"EM DIAS",IF(J28&lt;12,"ATRASADO","MUITO ATRASADO"))))</f>
        <v>EM DIAS</v>
      </c>
      <c r="L28" s="9" t="n">
        <v>46161</v>
      </c>
      <c r="M28" s="6" t="n">
        <f aca="true">TODAY()-L28</f>
        <v>10</v>
      </c>
      <c r="N28" s="1" t="str">
        <f aca="false">IF(M28&lt;8,"VERIFICADO",IF(M28&lt;15,"VERIFICAR","VERIFICAR URGENTE"))</f>
        <v>VERIFICAR</v>
      </c>
    </row>
    <row r="29" customFormat="false" ht="15" hidden="false" customHeight="false" outlineLevel="0" collapsed="false">
      <c r="A29" s="6" t="s">
        <v>46</v>
      </c>
      <c r="B29" s="7" t="s">
        <v>22</v>
      </c>
      <c r="C29" s="8" t="n">
        <f aca="false">L29</f>
        <v>46161</v>
      </c>
      <c r="D29" s="9" t="n">
        <v>45820</v>
      </c>
      <c r="E29" s="10" t="n">
        <v>46356</v>
      </c>
      <c r="F29" s="11" t="n">
        <f aca="false">(E29-D29)/7</f>
        <v>76.5714285714286</v>
      </c>
      <c r="G29" s="11" t="n">
        <f aca="true">(TODAY()-D29)/7</f>
        <v>50.1428571428571</v>
      </c>
      <c r="H29" s="12" t="n">
        <v>97</v>
      </c>
      <c r="I29" s="12" t="n">
        <v>39</v>
      </c>
      <c r="J29" s="13" t="n">
        <f aca="false">IFERROR(((G29*H29)/F29)-I29,"")</f>
        <v>24.5205223880597</v>
      </c>
      <c r="K29" s="12" t="str">
        <f aca="false">IF(J29&lt;-10,"MUITO ADIANTADO",IF(J29&lt;-6,"ADIANTADO",IF(J29&lt;6,"EM DIAS",IF(J29&lt;12,"ATRASADO","MUITO ATRASADO"))))</f>
        <v>MUITO ATRASADO</v>
      </c>
      <c r="L29" s="9" t="n">
        <v>46161</v>
      </c>
      <c r="M29" s="6" t="n">
        <f aca="true">TODAY()-L29</f>
        <v>10</v>
      </c>
      <c r="N29" s="1" t="str">
        <f aca="false">IF(M29&lt;8,"VERIFICADO",IF(M29&lt;15,"VERIFICAR","VERIFICAR URGENTE"))</f>
        <v>VERIFICAR</v>
      </c>
    </row>
    <row r="30" customFormat="false" ht="15" hidden="false" customHeight="false" outlineLevel="0" collapsed="false">
      <c r="A30" s="6" t="s">
        <v>47</v>
      </c>
      <c r="B30" s="7" t="s">
        <v>48</v>
      </c>
      <c r="C30" s="8" t="n">
        <f aca="false">L30</f>
        <v>46164</v>
      </c>
      <c r="D30" s="9" t="n">
        <v>45629</v>
      </c>
      <c r="E30" s="10" t="n">
        <v>46614</v>
      </c>
      <c r="F30" s="11" t="n">
        <f aca="false">(E30-D30)/7</f>
        <v>140.714285714286</v>
      </c>
      <c r="G30" s="11" t="n">
        <f aca="true">(TODAY()-D30)/7</f>
        <v>77.4285714285714</v>
      </c>
      <c r="H30" s="12" t="n">
        <v>160</v>
      </c>
      <c r="I30" s="12" t="n">
        <v>88</v>
      </c>
      <c r="J30" s="13" t="n">
        <f aca="false">IFERROR(((G30*H30)/F30)-I30,"")</f>
        <v>0.0406091370556538</v>
      </c>
      <c r="K30" s="12" t="str">
        <f aca="false">IF(J30&lt;-10,"MUITO ADIANTADO",IF(J30&lt;-6,"ADIANTADO",IF(J30&lt;6,"EM DIAS",IF(J30&lt;12,"ATRASADO","MUITO ATRASADO"))))</f>
        <v>EM DIAS</v>
      </c>
      <c r="L30" s="9" t="n">
        <v>46164</v>
      </c>
      <c r="M30" s="6" t="n">
        <f aca="true">TODAY()-L30</f>
        <v>7</v>
      </c>
      <c r="N30" s="1" t="str">
        <f aca="false">IF(M30&lt;8,"VERIFICADO",IF(M30&lt;15,"VERIFICAR","VERIFICAR URGENTE"))</f>
        <v>VERIFICADO</v>
      </c>
    </row>
    <row r="31" customFormat="false" ht="15" hidden="false" customHeight="false" outlineLevel="0" collapsed="false">
      <c r="A31" s="6" t="s">
        <v>49</v>
      </c>
      <c r="B31" s="7" t="s">
        <v>24</v>
      </c>
      <c r="C31" s="8" t="n">
        <f aca="false">L31</f>
        <v>46158</v>
      </c>
      <c r="D31" s="9" t="n">
        <v>46060</v>
      </c>
      <c r="E31" s="10" t="n">
        <v>46407</v>
      </c>
      <c r="F31" s="11" t="n">
        <f aca="false">(E31-D31)/7</f>
        <v>49.5714285714286</v>
      </c>
      <c r="G31" s="11" t="n">
        <f aca="true">(TODAY()-D31)/7</f>
        <v>15.8571428571429</v>
      </c>
      <c r="H31" s="12" t="n">
        <v>64</v>
      </c>
      <c r="I31" s="12" t="n">
        <v>26</v>
      </c>
      <c r="J31" s="13" t="n">
        <f aca="false">IFERROR(((G31*H31)/F31)-I31,"")</f>
        <v>-5.52737752161384</v>
      </c>
      <c r="K31" s="12" t="str">
        <f aca="false">IF(J31&lt;-10,"MUITO ADIANTADO",IF(J31&lt;-6,"ADIANTADO",IF(J31&lt;6,"EM DIAS",IF(J31&lt;12,"ATRASADO","MUITO ATRASADO"))))</f>
        <v>EM DIAS</v>
      </c>
      <c r="L31" s="9" t="n">
        <v>46158</v>
      </c>
      <c r="M31" s="6" t="n">
        <f aca="true">TODAY()-L31</f>
        <v>13</v>
      </c>
      <c r="N31" s="1" t="str">
        <f aca="false">IF(M31&lt;8,"VERIFICADO",IF(M31&lt;15,"VERIFICAR","VERIFICAR URGENTE"))</f>
        <v>VERIFICAR</v>
      </c>
    </row>
    <row r="32" customFormat="false" ht="15" hidden="false" customHeight="false" outlineLevel="0" collapsed="false">
      <c r="A32" s="6" t="s">
        <v>50</v>
      </c>
      <c r="B32" s="7" t="s">
        <v>22</v>
      </c>
      <c r="C32" s="8" t="n">
        <f aca="false">L32</f>
        <v>46161</v>
      </c>
      <c r="D32" s="9" t="n">
        <v>46127</v>
      </c>
      <c r="E32" s="10" t="n">
        <v>47452</v>
      </c>
      <c r="F32" s="11" t="n">
        <f aca="false">(E32-D32)/7</f>
        <v>189.285714285714</v>
      </c>
      <c r="G32" s="11" t="n">
        <f aca="true">(TODAY()-D32)/7</f>
        <v>6.28571428571429</v>
      </c>
      <c r="H32" s="12" t="n">
        <v>192</v>
      </c>
      <c r="I32" s="12" t="n">
        <v>6</v>
      </c>
      <c r="J32" s="13" t="n">
        <f aca="false">IFERROR(((G32*H32)/F32)-I32,"")</f>
        <v>0.375849056603784</v>
      </c>
      <c r="K32" s="12" t="str">
        <f aca="false">IF(J32&lt;-10,"MUITO ADIANTADO",IF(J32&lt;-6,"ADIANTADO",IF(J32&lt;6,"EM DIAS",IF(J32&lt;12,"ATRASADO","MUITO ATRASADO"))))</f>
        <v>EM DIAS</v>
      </c>
      <c r="L32" s="9" t="n">
        <v>46161</v>
      </c>
      <c r="M32" s="6" t="n">
        <f aca="true">TODAY()-L32</f>
        <v>10</v>
      </c>
      <c r="N32" s="1" t="str">
        <f aca="false">IF(M32&lt;8,"VERIFICADO",IF(M32&lt;15,"VERIFICAR","VERIFICAR URGENTE"))</f>
        <v>VERIFICAR</v>
      </c>
    </row>
    <row r="33" customFormat="false" ht="15" hidden="false" customHeight="false" outlineLevel="0" collapsed="false">
      <c r="A33" s="6" t="s">
        <v>51</v>
      </c>
      <c r="B33" s="7" t="s">
        <v>22</v>
      </c>
      <c r="C33" s="8" t="n">
        <f aca="false">L33</f>
        <v>46161</v>
      </c>
      <c r="D33" s="9" t="n">
        <v>46126</v>
      </c>
      <c r="E33" s="10" t="n">
        <v>47376</v>
      </c>
      <c r="F33" s="11" t="n">
        <f aca="false">(E33-D33)/7</f>
        <v>178.571428571429</v>
      </c>
      <c r="G33" s="11" t="n">
        <f aca="true">(TODAY()-D33)/7</f>
        <v>6.42857142857143</v>
      </c>
      <c r="H33" s="12" t="n">
        <v>80</v>
      </c>
      <c r="I33" s="12" t="n">
        <v>5</v>
      </c>
      <c r="J33" s="13" t="n">
        <f aca="false">IFERROR(((G33*H33)/F33)-I33,"")</f>
        <v>-2.12000000000001</v>
      </c>
      <c r="K33" s="12" t="str">
        <f aca="false">IF(J33&lt;-10,"MUITO ADIANTADO",IF(J33&lt;-6,"ADIANTADO",IF(J33&lt;6,"EM DIAS",IF(J33&lt;12,"ATRASADO","MUITO ATRASADO"))))</f>
        <v>EM DIAS</v>
      </c>
      <c r="L33" s="9" t="n">
        <v>46161</v>
      </c>
      <c r="M33" s="6" t="n">
        <f aca="true">TODAY()-L33</f>
        <v>10</v>
      </c>
      <c r="N33" s="1" t="str">
        <f aca="false">IF(M33&lt;8,"VERIFICADO",IF(M33&lt;15,"VERIFICAR","VERIFICAR URGENTE"))</f>
        <v>VERIFICAR</v>
      </c>
    </row>
    <row r="34" customFormat="false" ht="15" hidden="false" customHeight="false" outlineLevel="0" collapsed="false">
      <c r="A34" s="6" t="s">
        <v>52</v>
      </c>
      <c r="B34" s="7" t="s">
        <v>15</v>
      </c>
      <c r="C34" s="8" t="n">
        <f aca="false">L34</f>
        <v>46160</v>
      </c>
      <c r="D34" s="9" t="n">
        <v>45922</v>
      </c>
      <c r="E34" s="10" t="n">
        <v>46287</v>
      </c>
      <c r="F34" s="11" t="n">
        <f aca="false">(E34-D34)/7</f>
        <v>52.1428571428571</v>
      </c>
      <c r="G34" s="11" t="n">
        <f aca="true">(TODAY()-D34)/7</f>
        <v>35.5714285714286</v>
      </c>
      <c r="H34" s="12" t="n">
        <v>64</v>
      </c>
      <c r="I34" s="12" t="n">
        <v>35</v>
      </c>
      <c r="J34" s="13" t="n">
        <f aca="false">IFERROR(((G34*H34)/F34)-I34,"")</f>
        <v>8.66027397260277</v>
      </c>
      <c r="K34" s="12" t="str">
        <f aca="false">IF(J34&lt;-10,"MUITO ADIANTADO",IF(J34&lt;-6,"ADIANTADO",IF(J34&lt;6,"EM DIAS",IF(J34&lt;12,"ATRASADO","MUITO ATRASADO"))))</f>
        <v>ATRASADO</v>
      </c>
      <c r="L34" s="9" t="n">
        <v>46160</v>
      </c>
      <c r="M34" s="6" t="n">
        <f aca="true">TODAY()-L34</f>
        <v>11</v>
      </c>
      <c r="N34" s="1" t="str">
        <f aca="false">IF(M34&lt;8,"VERIFICADO",IF(M34&lt;15,"VERIFICAR","VERIFICAR URGENTE"))</f>
        <v>VERIFICAR</v>
      </c>
    </row>
    <row r="35" customFormat="false" ht="15" hidden="false" customHeight="false" outlineLevel="0" collapsed="false">
      <c r="A35" s="6" t="s">
        <v>53</v>
      </c>
      <c r="B35" s="7" t="s">
        <v>22</v>
      </c>
      <c r="C35" s="8" t="n">
        <f aca="false">L35</f>
        <v>46161</v>
      </c>
      <c r="D35" s="9" t="n">
        <v>46093</v>
      </c>
      <c r="E35" s="10" t="n">
        <v>46568</v>
      </c>
      <c r="F35" s="11" t="n">
        <f aca="false">(E35-D35)/7</f>
        <v>67.8571428571429</v>
      </c>
      <c r="G35" s="11" t="n">
        <f aca="true">(TODAY()-D35)/7</f>
        <v>11.1428571428571</v>
      </c>
      <c r="H35" s="12" t="n">
        <v>64</v>
      </c>
      <c r="I35" s="12" t="n">
        <v>13</v>
      </c>
      <c r="J35" s="13" t="n">
        <f aca="false">IFERROR(((G35*H35)/F35)-I35,"")</f>
        <v>-2.49052631578948</v>
      </c>
      <c r="K35" s="12" t="str">
        <f aca="false">IF(J35&lt;-10,"MUITO ADIANTADO",IF(J35&lt;-6,"ADIANTADO",IF(J35&lt;6,"EM DIAS",IF(J35&lt;12,"ATRASADO","MUITO ATRASADO"))))</f>
        <v>EM DIAS</v>
      </c>
      <c r="L35" s="9" t="n">
        <v>46161</v>
      </c>
      <c r="M35" s="6" t="n">
        <f aca="true">TODAY()-L35</f>
        <v>10</v>
      </c>
      <c r="N35" s="1" t="str">
        <f aca="false">IF(M35&lt;8,"VERIFICADO",IF(M35&lt;15,"VERIFICAR","VERIFICAR URGENTE"))</f>
        <v>VERIFICAR</v>
      </c>
    </row>
    <row r="36" customFormat="false" ht="15" hidden="false" customHeight="false" outlineLevel="0" collapsed="false">
      <c r="A36" s="6" t="s">
        <v>54</v>
      </c>
      <c r="B36" s="7" t="s">
        <v>24</v>
      </c>
      <c r="C36" s="8" t="n">
        <f aca="false">L36</f>
        <v>46163</v>
      </c>
      <c r="D36" s="9" t="n">
        <v>46108</v>
      </c>
      <c r="E36" s="10" t="n">
        <v>46784</v>
      </c>
      <c r="F36" s="11" t="n">
        <f aca="false">(E36-D36)/7</f>
        <v>96.5714285714286</v>
      </c>
      <c r="G36" s="11" t="n">
        <f aca="true">(TODAY()-D36)/7</f>
        <v>9</v>
      </c>
      <c r="H36" s="12" t="n">
        <v>112</v>
      </c>
      <c r="I36" s="12" t="n">
        <v>12</v>
      </c>
      <c r="J36" s="13" t="n">
        <f aca="false">IFERROR(((G36*H36)/F36)-I36,"")</f>
        <v>-1.5621301775148</v>
      </c>
      <c r="K36" s="12" t="str">
        <f aca="false">IF(J36&lt;-10,"MUITO ADIANTADO",IF(J36&lt;-6,"ADIANTADO",IF(J36&lt;6,"EM DIAS",IF(J36&lt;12,"ATRASADO","MUITO ATRASADO"))))</f>
        <v>EM DIAS</v>
      </c>
      <c r="L36" s="9" t="n">
        <v>46163</v>
      </c>
      <c r="M36" s="6" t="n">
        <f aca="true">TODAY()-L36</f>
        <v>8</v>
      </c>
      <c r="N36" s="1" t="str">
        <f aca="false">IF(M36&lt;8,"VERIFICADO",IF(M36&lt;15,"VERIFICAR","VERIFICAR URGENTE"))</f>
        <v>VERIFICAR</v>
      </c>
    </row>
    <row r="37" customFormat="false" ht="15" hidden="false" customHeight="false" outlineLevel="0" collapsed="false">
      <c r="A37" s="6" t="s">
        <v>55</v>
      </c>
      <c r="B37" s="7" t="s">
        <v>22</v>
      </c>
      <c r="C37" s="8" t="n">
        <f aca="false">L37</f>
        <v>46160</v>
      </c>
      <c r="D37" s="9" t="n">
        <v>45673</v>
      </c>
      <c r="E37" s="10" t="n">
        <v>46462</v>
      </c>
      <c r="F37" s="11" t="n">
        <f aca="false">(E37-D37)/7</f>
        <v>112.714285714286</v>
      </c>
      <c r="G37" s="11" t="n">
        <f aca="true">(TODAY()-D37)/7</f>
        <v>71.1428571428571</v>
      </c>
      <c r="H37" s="12" t="n">
        <v>112</v>
      </c>
      <c r="I37" s="12" t="n">
        <v>71</v>
      </c>
      <c r="J37" s="13" t="n">
        <f aca="false">IFERROR(((G37*H37)/F37)-I37,"")</f>
        <v>-0.307984790874713</v>
      </c>
      <c r="K37" s="12" t="str">
        <f aca="false">IF(J37&lt;-10,"MUITO ADIANTADO",IF(J37&lt;-6,"ADIANTADO",IF(J37&lt;6,"EM DIAS",IF(J37&lt;12,"ATRASADO","MUITO ATRASADO"))))</f>
        <v>EM DIAS</v>
      </c>
      <c r="L37" s="9" t="n">
        <v>46160</v>
      </c>
      <c r="M37" s="6" t="n">
        <f aca="true">TODAY()-L37</f>
        <v>11</v>
      </c>
      <c r="N37" s="1" t="str">
        <f aca="false">IF(M37&lt;8,"VERIFICADO",IF(M37&lt;15,"VERIFICAR","VERIFICAR URGENTE"))</f>
        <v>VERIFICAR</v>
      </c>
    </row>
    <row r="38" customFormat="false" ht="15" hidden="false" customHeight="false" outlineLevel="0" collapsed="false">
      <c r="A38" s="6" t="s">
        <v>56</v>
      </c>
      <c r="B38" s="7" t="s">
        <v>22</v>
      </c>
      <c r="C38" s="8" t="n">
        <f aca="false">L38</f>
        <v>46165</v>
      </c>
      <c r="D38" s="9" t="n">
        <v>45565</v>
      </c>
      <c r="E38" s="10" t="n">
        <v>46661</v>
      </c>
      <c r="F38" s="11" t="n">
        <f aca="false">(E38-D38)/7</f>
        <v>156.571428571429</v>
      </c>
      <c r="G38" s="11" t="n">
        <f aca="true">(TODAY()-D38)/7</f>
        <v>86.5714285714286</v>
      </c>
      <c r="H38" s="12" t="n">
        <v>176</v>
      </c>
      <c r="I38" s="12" t="n">
        <v>107</v>
      </c>
      <c r="J38" s="13" t="n">
        <f aca="false">IFERROR(((G38*H38)/F38)-I38,"")</f>
        <v>-9.68613138686159</v>
      </c>
      <c r="K38" s="12" t="str">
        <f aca="false">IF(J38&lt;-10,"MUITO ADIANTADO",IF(J38&lt;-6,"ADIANTADO",IF(J38&lt;6,"EM DIAS",IF(J38&lt;12,"ATRASADO","MUITO ATRASADO"))))</f>
        <v>ADIANTADO</v>
      </c>
      <c r="L38" s="9" t="n">
        <v>46165</v>
      </c>
      <c r="M38" s="6" t="n">
        <f aca="true">TODAY()-L38</f>
        <v>6</v>
      </c>
      <c r="N38" s="1" t="str">
        <f aca="false">IF(M38&lt;8,"VERIFICADO",IF(M38&lt;15,"VERIFICAR","VERIFICAR URGENTE"))</f>
        <v>VERIFICADO</v>
      </c>
    </row>
    <row r="39" customFormat="false" ht="15" hidden="false" customHeight="false" outlineLevel="0" collapsed="false">
      <c r="A39" s="6" t="s">
        <v>57</v>
      </c>
      <c r="B39" s="7" t="s">
        <v>22</v>
      </c>
      <c r="C39" s="8" t="n">
        <f aca="false">L39</f>
        <v>46161</v>
      </c>
      <c r="D39" s="9" t="n">
        <v>45629</v>
      </c>
      <c r="E39" s="10" t="n">
        <v>46320</v>
      </c>
      <c r="F39" s="11" t="n">
        <f aca="false">(E39-D39)/7</f>
        <v>98.7142857142857</v>
      </c>
      <c r="G39" s="11" t="n">
        <f aca="true">(TODAY()-D39)/7</f>
        <v>77.4285714285714</v>
      </c>
      <c r="H39" s="12" t="n">
        <v>112</v>
      </c>
      <c r="I39" s="12" t="n">
        <v>76</v>
      </c>
      <c r="J39" s="13" t="n">
        <f aca="false">IFERROR(((G39*H39)/F39)-I39,"")</f>
        <v>11.849493487699</v>
      </c>
      <c r="K39" s="12" t="str">
        <f aca="false">IF(J39&lt;-10,"MUITO ADIANTADO",IF(J39&lt;-6,"ADIANTADO",IF(J39&lt;6,"EM DIAS",IF(J39&lt;12,"ATRASADO","MUITO ATRASADO"))))</f>
        <v>ATRASADO</v>
      </c>
      <c r="L39" s="9" t="n">
        <v>46161</v>
      </c>
      <c r="M39" s="6" t="n">
        <f aca="true">TODAY()-L39</f>
        <v>10</v>
      </c>
      <c r="N39" s="1" t="str">
        <f aca="false">IF(M39&lt;8,"VERIFICADO",IF(M39&lt;15,"VERIFICAR","VERIFICAR URGENTE"))</f>
        <v>VERIFICAR</v>
      </c>
    </row>
    <row r="40" customFormat="false" ht="15" hidden="false" customHeight="false" outlineLevel="0" collapsed="false">
      <c r="A40" s="6" t="s">
        <v>58</v>
      </c>
      <c r="B40" s="7" t="s">
        <v>22</v>
      </c>
      <c r="C40" s="8" t="n">
        <f aca="false">L40</f>
        <v>46163</v>
      </c>
      <c r="D40" s="9" t="n">
        <v>46086</v>
      </c>
      <c r="E40" s="10" t="n">
        <v>47389</v>
      </c>
      <c r="F40" s="11" t="n">
        <f aca="false">(E40-D40)/7</f>
        <v>186.142857142857</v>
      </c>
      <c r="G40" s="11" t="n">
        <f aca="true">(TODAY()-D40)/7</f>
        <v>12.1428571428571</v>
      </c>
      <c r="H40" s="12" t="n">
        <v>176</v>
      </c>
      <c r="I40" s="12" t="n">
        <v>22</v>
      </c>
      <c r="J40" s="13" t="n">
        <f aca="false">IFERROR(((G40*H40)/F40)-I40,"")</f>
        <v>-10.5188027628549</v>
      </c>
      <c r="K40" s="12" t="str">
        <f aca="false">IF(J40&lt;-10,"MUITO ADIANTADO",IF(J40&lt;-6,"ADIANTADO",IF(J40&lt;6,"EM DIAS",IF(J40&lt;12,"ATRASADO","MUITO ATRASADO"))))</f>
        <v>MUITO ADIANTADO</v>
      </c>
      <c r="L40" s="9" t="n">
        <v>46163</v>
      </c>
      <c r="M40" s="6" t="n">
        <f aca="true">TODAY()-L40</f>
        <v>8</v>
      </c>
      <c r="N40" s="1" t="str">
        <f aca="false">IF(M40&lt;8,"VERIFICADO",IF(M40&lt;15,"VERIFICAR","VERIFICAR URGENTE"))</f>
        <v>VERIFICAR</v>
      </c>
    </row>
    <row r="41" customFormat="false" ht="15" hidden="false" customHeight="false" outlineLevel="0" collapsed="false">
      <c r="A41" s="6" t="s">
        <v>59</v>
      </c>
      <c r="B41" s="7" t="s">
        <v>17</v>
      </c>
      <c r="C41" s="8" t="n">
        <f aca="false">L41</f>
        <v>46157</v>
      </c>
      <c r="D41" s="9" t="n">
        <v>45757</v>
      </c>
      <c r="E41" s="10" t="n">
        <v>47159</v>
      </c>
      <c r="F41" s="11" t="n">
        <f aca="false">(E41-D41)/7</f>
        <v>200.285714285714</v>
      </c>
      <c r="G41" s="11" t="n">
        <f aca="true">(TODAY()-D41)/7</f>
        <v>59.1428571428571</v>
      </c>
      <c r="H41" s="12" t="n">
        <v>192</v>
      </c>
      <c r="I41" s="12" t="n">
        <v>58</v>
      </c>
      <c r="J41" s="13" t="n">
        <f aca="false">IFERROR(((G41*H41)/F41)-I41,"")</f>
        <v>-1.30385164051346</v>
      </c>
      <c r="K41" s="12" t="str">
        <f aca="false">IF(J41&lt;-10,"MUITO ADIANTADO",IF(J41&lt;-6,"ADIANTADO",IF(J41&lt;6,"EM DIAS",IF(J41&lt;12,"ATRASADO","MUITO ATRASADO"))))</f>
        <v>EM DIAS</v>
      </c>
      <c r="L41" s="9" t="n">
        <v>46157</v>
      </c>
      <c r="M41" s="6" t="n">
        <f aca="true">TODAY()-L41</f>
        <v>14</v>
      </c>
      <c r="N41" s="1" t="str">
        <f aca="false">IF(M41&lt;8,"VERIFICADO",IF(M41&lt;15,"VERIFICAR","VERIFICAR URGENTE"))</f>
        <v>VERIFICAR</v>
      </c>
    </row>
    <row r="42" customFormat="false" ht="15" hidden="false" customHeight="false" outlineLevel="0" collapsed="false">
      <c r="A42" s="6" t="s">
        <v>60</v>
      </c>
      <c r="B42" s="7" t="s">
        <v>24</v>
      </c>
      <c r="C42" s="8" t="n">
        <f aca="false">L42</f>
        <v>46158</v>
      </c>
      <c r="D42" s="9" t="n">
        <v>45951</v>
      </c>
      <c r="E42" s="10" t="n">
        <v>46423</v>
      </c>
      <c r="F42" s="11" t="n">
        <f aca="false">(E42-D42)/7</f>
        <v>67.4285714285714</v>
      </c>
      <c r="G42" s="11" t="n">
        <f aca="true">(TODAY()-D42)/7</f>
        <v>31.4285714285714</v>
      </c>
      <c r="H42" s="12" t="n">
        <v>64</v>
      </c>
      <c r="I42" s="12" t="n">
        <v>32</v>
      </c>
      <c r="J42" s="13" t="n">
        <f aca="false">IFERROR(((G42*H42)/F42)-I42,"")</f>
        <v>-2.16949152542372</v>
      </c>
      <c r="K42" s="12" t="str">
        <f aca="false">IF(J42&lt;-10,"MUITO ADIANTADO",IF(J42&lt;-6,"ADIANTADO",IF(J42&lt;6,"EM DIAS",IF(J42&lt;12,"ATRASADO","MUITO ATRASADO"))))</f>
        <v>EM DIAS</v>
      </c>
      <c r="L42" s="9" t="n">
        <v>46158</v>
      </c>
      <c r="M42" s="6" t="n">
        <f aca="true">TODAY()-L42</f>
        <v>13</v>
      </c>
      <c r="N42" s="1" t="str">
        <f aca="false">IF(M42&lt;8,"VERIFICADO",IF(M42&lt;15,"VERIFICAR","VERIFICAR URGENTE"))</f>
        <v>VERIFICAR</v>
      </c>
    </row>
    <row r="43" customFormat="false" ht="15" hidden="false" customHeight="false" outlineLevel="0" collapsed="false">
      <c r="A43" s="6" t="s">
        <v>61</v>
      </c>
      <c r="B43" s="7" t="s">
        <v>15</v>
      </c>
      <c r="C43" s="8" t="n">
        <f aca="false">L43</f>
        <v>46161</v>
      </c>
      <c r="D43" s="9" t="n">
        <v>46119</v>
      </c>
      <c r="E43" s="10" t="n">
        <v>46246</v>
      </c>
      <c r="F43" s="11" t="n">
        <f aca="false">(E43-D43)/7</f>
        <v>18.1428571428571</v>
      </c>
      <c r="G43" s="11" t="n">
        <v>0</v>
      </c>
      <c r="H43" s="12" t="n">
        <v>16</v>
      </c>
      <c r="I43" s="12" t="n">
        <v>6</v>
      </c>
      <c r="J43" s="13" t="n">
        <f aca="false">IFERROR(((G43*H43)/F43)-I43,"")</f>
        <v>-6</v>
      </c>
      <c r="K43" s="12" t="str">
        <f aca="false">IF(J43&lt;-10,"MUITO ADIANTADO",IF(J43&lt;-6,"ADIANTADO",IF(J43&lt;6,"EM DIAS",IF(J43&lt;12,"ATRASADO","MUITO ATRASADO"))))</f>
        <v>EM DIAS</v>
      </c>
      <c r="L43" s="9" t="n">
        <v>46161</v>
      </c>
      <c r="M43" s="6" t="n">
        <f aca="true">TODAY()-L43</f>
        <v>10</v>
      </c>
      <c r="N43" s="1" t="str">
        <f aca="false">IF(M43&lt;8,"VERIFICADO",IF(M43&lt;15,"VERIFICAR","VERIFICAR URGENTE"))</f>
        <v>VERIFICAR</v>
      </c>
    </row>
    <row r="44" customFormat="false" ht="15" hidden="false" customHeight="false" outlineLevel="0" collapsed="false">
      <c r="A44" s="6" t="s">
        <v>62</v>
      </c>
      <c r="B44" s="7" t="s">
        <v>22</v>
      </c>
      <c r="C44" s="8" t="n">
        <f aca="false">L44</f>
        <v>46163</v>
      </c>
      <c r="D44" s="9" t="n">
        <v>45882</v>
      </c>
      <c r="E44" s="10" t="n">
        <v>46598</v>
      </c>
      <c r="F44" s="11" t="n">
        <f aca="false">(E44-D44)/7</f>
        <v>102.285714285714</v>
      </c>
      <c r="G44" s="11" t="n">
        <f aca="true">(TODAY()-D44)/7</f>
        <v>41.2857142857143</v>
      </c>
      <c r="H44" s="12" t="n">
        <v>112</v>
      </c>
      <c r="I44" s="12" t="n">
        <v>39</v>
      </c>
      <c r="J44" s="13" t="n">
        <f aca="false">IFERROR(((G44*H44)/F44)-I44,"")</f>
        <v>6.20670391061466</v>
      </c>
      <c r="K44" s="12" t="str">
        <f aca="false">IF(J44&lt;-10,"MUITO ADIANTADO",IF(J44&lt;-6,"ADIANTADO",IF(J44&lt;6,"EM DIAS",IF(J44&lt;12,"ATRASADO","MUITO ATRASADO"))))</f>
        <v>ATRASADO</v>
      </c>
      <c r="L44" s="9" t="n">
        <v>46163</v>
      </c>
      <c r="M44" s="6" t="n">
        <f aca="true">TODAY()-L44</f>
        <v>8</v>
      </c>
      <c r="N44" s="1" t="str">
        <f aca="false">IF(M44&lt;8,"VERIFICADO",IF(M44&lt;15,"VERIFICAR","VERIFICAR URGENTE"))</f>
        <v>VERIFICAR</v>
      </c>
    </row>
    <row r="45" customFormat="false" ht="15" hidden="false" customHeight="false" outlineLevel="0" collapsed="false">
      <c r="A45" s="6" t="s">
        <v>63</v>
      </c>
      <c r="B45" s="7" t="s">
        <v>24</v>
      </c>
      <c r="C45" s="8" t="n">
        <f aca="false">L45</f>
        <v>46164</v>
      </c>
      <c r="D45" s="9" t="n">
        <v>46001</v>
      </c>
      <c r="E45" s="10" t="n">
        <v>46564</v>
      </c>
      <c r="F45" s="11" t="n">
        <f aca="false">(E45-D45)/7</f>
        <v>80.4285714285714</v>
      </c>
      <c r="G45" s="11" t="n">
        <f aca="true">(TODAY()-D45)/7</f>
        <v>24.2857142857143</v>
      </c>
      <c r="H45" s="12" t="n">
        <v>80</v>
      </c>
      <c r="I45" s="12" t="n">
        <v>13</v>
      </c>
      <c r="J45" s="13" t="n">
        <f aca="false">IFERROR(((G45*H45)/F45)-I45,"")</f>
        <v>11.1563055062167</v>
      </c>
      <c r="K45" s="12" t="str">
        <f aca="false">IF(J45&lt;-10,"MUITO ADIANTADO",IF(J45&lt;-6,"ADIANTADO",IF(J45&lt;6,"EM DIAS",IF(J45&lt;12,"ATRASADO","MUITO ATRASADO"))))</f>
        <v>ATRASADO</v>
      </c>
      <c r="L45" s="9" t="n">
        <v>46164</v>
      </c>
      <c r="M45" s="6" t="n">
        <f aca="true">TODAY()-L45</f>
        <v>7</v>
      </c>
      <c r="N45" s="1" t="str">
        <f aca="false">IF(M45&lt;8,"VERIFICADO",IF(M45&lt;15,"VERIFICAR","VERIFICAR URGENTE"))</f>
        <v>VERIFICADO</v>
      </c>
    </row>
    <row r="46" customFormat="false" ht="15" hidden="false" customHeight="false" outlineLevel="0" collapsed="false">
      <c r="A46" s="6" t="s">
        <v>64</v>
      </c>
      <c r="B46" s="7" t="s">
        <v>65</v>
      </c>
      <c r="C46" s="8" t="n">
        <f aca="false">L46</f>
        <v>46177</v>
      </c>
      <c r="D46" s="9" t="n">
        <v>46135</v>
      </c>
      <c r="E46" s="10" t="n">
        <v>46524</v>
      </c>
      <c r="F46" s="11" t="n">
        <f aca="false">(E46-D46)/7</f>
        <v>55.5714285714286</v>
      </c>
      <c r="G46" s="11" t="n">
        <f aca="true">(TODAY()-D46)/7</f>
        <v>5.14285714285714</v>
      </c>
      <c r="H46" s="12" t="n">
        <v>100</v>
      </c>
      <c r="I46" s="12" t="n">
        <v>5</v>
      </c>
      <c r="J46" s="13" t="n">
        <f aca="false">IFERROR(((G46*H46)/F46)-I46,"")</f>
        <v>4.25449871465295</v>
      </c>
      <c r="K46" s="12" t="str">
        <f aca="false">IF(J46&lt;-10,"MUITO ADIANTADO",IF(J46&lt;-6,"ADIANTADO",IF(J46&lt;6,"EM DIAS",IF(J46&lt;12,"ATRASADO","MUITO ATRASADO"))))</f>
        <v>EM DIAS</v>
      </c>
      <c r="L46" s="9" t="n">
        <v>46177</v>
      </c>
      <c r="M46" s="6" t="n">
        <f aca="true">TODAY()-L46</f>
        <v>-6</v>
      </c>
      <c r="N46" s="1" t="str">
        <f aca="false">IF(M46&lt;8,"VERIFICADO",IF(M46&lt;15,"VERIFICAR","VERIFICAR URGENTE"))</f>
        <v>VERIFICADO</v>
      </c>
    </row>
    <row r="47" customFormat="false" ht="15" hidden="false" customHeight="false" outlineLevel="0" collapsed="false">
      <c r="A47" s="6" t="s">
        <v>66</v>
      </c>
      <c r="B47" s="7" t="s">
        <v>22</v>
      </c>
      <c r="C47" s="8" t="n">
        <f aca="false">L47</f>
        <v>46161</v>
      </c>
      <c r="D47" s="9" t="n">
        <v>46125</v>
      </c>
      <c r="E47" s="10" t="n">
        <v>47858</v>
      </c>
      <c r="F47" s="11" t="n">
        <f aca="false">(E47-D47)/7</f>
        <v>247.571428571429</v>
      </c>
      <c r="G47" s="11" t="n">
        <f aca="true">(TODAY()-D47)/7</f>
        <v>6.57142857142857</v>
      </c>
      <c r="H47" s="12" t="n">
        <v>240</v>
      </c>
      <c r="I47" s="12" t="n">
        <v>9</v>
      </c>
      <c r="J47" s="13" t="n">
        <f aca="false">IFERROR(((G47*H47)/F47)-I47,"")</f>
        <v>-2.62954414310445</v>
      </c>
      <c r="K47" s="12" t="str">
        <f aca="false">IF(J41&lt;-10,"MUITO ADIANTADO",IF(J41&lt;-6,"ADIANTADO",IF(J41&lt;6,"EM DIAS",IF(J41&lt;12,"ATRASADO","MUITO ATRASADO"))))</f>
        <v>EM DIAS</v>
      </c>
      <c r="L47" s="9" t="n">
        <v>46161</v>
      </c>
      <c r="M47" s="6" t="n">
        <f aca="true">TODAY()-L47</f>
        <v>10</v>
      </c>
      <c r="N47" s="1" t="str">
        <f aca="false">IF(M47&lt;8,"VERIFICADO",IF(M47&lt;15,"VERIFICAR","VERIFICAR URGENTE"))</f>
        <v>VERIFICAR</v>
      </c>
    </row>
    <row r="48" customFormat="false" ht="15" hidden="false" customHeight="false" outlineLevel="0" collapsed="false">
      <c r="A48" s="6" t="s">
        <v>67</v>
      </c>
      <c r="B48" s="7" t="s">
        <v>19</v>
      </c>
      <c r="C48" s="8" t="n">
        <f aca="false">L48</f>
        <v>46162</v>
      </c>
      <c r="D48" s="9" t="n">
        <v>46113</v>
      </c>
      <c r="E48" s="10" t="n">
        <v>46315</v>
      </c>
      <c r="F48" s="11" t="n">
        <f aca="false">(E48-D48)/7</f>
        <v>28.8571428571429</v>
      </c>
      <c r="G48" s="11" t="n">
        <f aca="true">(TODAY()-D48)/7</f>
        <v>8.28571428571429</v>
      </c>
      <c r="H48" s="12" t="n">
        <v>48</v>
      </c>
      <c r="I48" s="12" t="n">
        <v>6</v>
      </c>
      <c r="J48" s="13" t="n">
        <f aca="false">IFERROR(((G48*H48)/F48)-I48,"")</f>
        <v>7.78217821782176</v>
      </c>
      <c r="K48" s="12" t="str">
        <f aca="false">IF(J48&lt;-10,"MUITO ADIANTADO",IF(J48&lt;-6,"ADIANTADO",IF(J48&lt;6,"EM DIAS",IF(J48&lt;12,"ATRASADO","MUITO ATRASADO"))))</f>
        <v>ATRASADO</v>
      </c>
      <c r="L48" s="9" t="n">
        <v>46162</v>
      </c>
      <c r="M48" s="6" t="n">
        <f aca="true">TODAY()-L48</f>
        <v>9</v>
      </c>
      <c r="N48" s="1" t="str">
        <f aca="false">IF(M48&lt;8,"VERIFICADO",IF(M48&lt;15,"VERIFICAR","VERIFICAR URGENTE"))</f>
        <v>VERIFICAR</v>
      </c>
    </row>
    <row r="49" customFormat="false" ht="15" hidden="false" customHeight="false" outlineLevel="0" collapsed="false">
      <c r="A49" s="6" t="s">
        <v>68</v>
      </c>
      <c r="B49" s="7" t="s">
        <v>17</v>
      </c>
      <c r="C49" s="8" t="n">
        <f aca="false">L49</f>
        <v>46162</v>
      </c>
      <c r="D49" s="9" t="n">
        <v>46111</v>
      </c>
      <c r="E49" s="10" t="n">
        <v>46770</v>
      </c>
      <c r="F49" s="11" t="n">
        <f aca="false">(E49-D49)/7</f>
        <v>94.1428571428571</v>
      </c>
      <c r="G49" s="11" t="n">
        <f aca="true">(TODAY()-D49)/7</f>
        <v>8.57142857142857</v>
      </c>
      <c r="H49" s="12" t="n">
        <v>112</v>
      </c>
      <c r="I49" s="12" t="n">
        <v>2</v>
      </c>
      <c r="J49" s="13" t="n">
        <f aca="false">IFERROR(((G49*H49)/F49)-I49,"")</f>
        <v>8.19726858877087</v>
      </c>
      <c r="K49" s="12" t="str">
        <f aca="false">IF(J49&lt;-10,"MUITO ADIANTADO",IF(J49&lt;-6,"ADIANTADO",IF(J49&lt;6,"EM DIAS",IF(J49&lt;12,"ATRASADO","MUITO ATRASADO"))))</f>
        <v>ATRASADO</v>
      </c>
      <c r="L49" s="9" t="n">
        <v>46162</v>
      </c>
      <c r="M49" s="6" t="n">
        <f aca="true">TODAY()-L49</f>
        <v>9</v>
      </c>
      <c r="N49" s="1" t="str">
        <f aca="false">IF(M49&lt;8,"VERIFICADO",IF(M49&lt;15,"VERIFICAR","VERIFICAR URGENTE"))</f>
        <v>VERIFICAR</v>
      </c>
    </row>
    <row r="50" customFormat="false" ht="15" hidden="false" customHeight="false" outlineLevel="0" collapsed="false">
      <c r="A50" s="6" t="s">
        <v>69</v>
      </c>
      <c r="B50" s="7" t="s">
        <v>24</v>
      </c>
      <c r="C50" s="8" t="n">
        <f aca="false">L50</f>
        <v>46160</v>
      </c>
      <c r="D50" s="9" t="n">
        <v>46104</v>
      </c>
      <c r="E50" s="10" t="n">
        <v>46614</v>
      </c>
      <c r="F50" s="11" t="n">
        <f aca="false">(E50-D50)/7</f>
        <v>72.8571428571429</v>
      </c>
      <c r="G50" s="11" t="n">
        <f aca="true">(TODAY()-D50)/7</f>
        <v>9.57142857142857</v>
      </c>
      <c r="H50" s="12" t="n">
        <v>48</v>
      </c>
      <c r="I50" s="12" t="n">
        <v>2</v>
      </c>
      <c r="J50" s="13" t="n">
        <f aca="false">IFERROR(((G50*H50)/F50)-I50,"")</f>
        <v>4.30588235294117</v>
      </c>
      <c r="K50" s="12" t="str">
        <f aca="false">IF(J50&lt;-10,"MUITO ADIANTADO",IF(J50&lt;-6,"ADIANTADO",IF(J50&lt;6,"EM DIAS",IF(J50&lt;12,"ATRASADO","MUITO ATRASADO"))))</f>
        <v>EM DIAS</v>
      </c>
      <c r="L50" s="9" t="n">
        <v>46160</v>
      </c>
      <c r="M50" s="6" t="n">
        <f aca="true">TODAY()-L50</f>
        <v>11</v>
      </c>
      <c r="N50" s="1" t="str">
        <f aca="false">IF(M50&lt;8,"VERIFICADO",IF(M50&lt;15,"VERIFICAR","VERIFICAR URGENTE"))</f>
        <v>VERIFICAR</v>
      </c>
    </row>
    <row r="51" customFormat="false" ht="15" hidden="false" customHeight="false" outlineLevel="0" collapsed="false">
      <c r="A51" s="6" t="s">
        <v>70</v>
      </c>
      <c r="B51" s="7" t="s">
        <v>19</v>
      </c>
      <c r="C51" s="8" t="n">
        <f aca="false">L51</f>
        <v>46162</v>
      </c>
      <c r="D51" s="9" t="n">
        <v>45536</v>
      </c>
      <c r="E51" s="10" t="n">
        <v>46290</v>
      </c>
      <c r="F51" s="11" t="n">
        <f aca="false">(E51-D51)/7</f>
        <v>107.714285714286</v>
      </c>
      <c r="G51" s="11" t="n">
        <f aca="true">(TODAY()-D51)/7</f>
        <v>90.7142857142857</v>
      </c>
      <c r="H51" s="12" t="n">
        <v>112</v>
      </c>
      <c r="I51" s="12" t="n">
        <v>88</v>
      </c>
      <c r="J51" s="13" t="n">
        <f aca="false">IFERROR(((G51*H51)/F51)-I51,"")</f>
        <v>6.32360742705545</v>
      </c>
      <c r="K51" s="12" t="str">
        <f aca="false">IF(J51&lt;-10,"MUITO ADIANTADO",IF(J51&lt;-6,"ADIANTADO",IF(J51&lt;6,"EM DIAS",IF(J51&lt;12,"ATRASADO","MUITO ATRASADO"))))</f>
        <v>ATRASADO</v>
      </c>
      <c r="L51" s="9" t="n">
        <v>46162</v>
      </c>
      <c r="M51" s="6" t="n">
        <f aca="true">TODAY()-L51</f>
        <v>9</v>
      </c>
      <c r="N51" s="1" t="str">
        <f aca="false">IF(M51&lt;8,"VERIFICADO",IF(M51&lt;15,"VERIFICAR","VERIFICAR URGENTE"))</f>
        <v>VERIFICAR</v>
      </c>
    </row>
    <row r="52" customFormat="false" ht="15" hidden="false" customHeight="false" outlineLevel="0" collapsed="false">
      <c r="A52" s="6" t="s">
        <v>71</v>
      </c>
      <c r="B52" s="7" t="s">
        <v>22</v>
      </c>
      <c r="C52" s="8" t="n">
        <f aca="false">L52</f>
        <v>46161</v>
      </c>
      <c r="D52" s="9" t="n">
        <v>46147</v>
      </c>
      <c r="E52" s="10" t="n">
        <v>47413</v>
      </c>
      <c r="F52" s="11" t="n">
        <f aca="false">(E52-D52)/7</f>
        <v>180.857142857143</v>
      </c>
      <c r="G52" s="11" t="n">
        <f aca="true">(TODAY()-D52)/7</f>
        <v>3.42857142857143</v>
      </c>
      <c r="H52" s="12" t="n">
        <v>160</v>
      </c>
      <c r="I52" s="12" t="n">
        <v>4</v>
      </c>
      <c r="J52" s="13" t="n">
        <f aca="false">IFERROR(((G52*H52)/F52)-I52,"")</f>
        <v>-0.966824644549766</v>
      </c>
      <c r="K52" s="12" t="str">
        <f aca="false">IF(J52&lt;-10,"MUITO ADIANTADO",IF(J52&lt;-6,"ADIANTADO",IF(J52&lt;6,"EM DIAS",IF(J52&lt;12,"ATRASADO","MUITO ATRASADO"))))</f>
        <v>EM DIAS</v>
      </c>
      <c r="L52" s="9" t="n">
        <v>46161</v>
      </c>
      <c r="M52" s="6" t="n">
        <f aca="true">TODAY()-L52</f>
        <v>10</v>
      </c>
      <c r="N52" s="1" t="str">
        <f aca="false">IF(M52&lt;8,"VERIFICADO",IF(M52&lt;15,"VERIFICAR","VERIFICAR URGENTE"))</f>
        <v>VERIFICAR</v>
      </c>
    </row>
    <row r="53" customFormat="false" ht="15" hidden="false" customHeight="false" outlineLevel="0" collapsed="false">
      <c r="A53" s="6" t="s">
        <v>72</v>
      </c>
      <c r="B53" s="7" t="s">
        <v>22</v>
      </c>
      <c r="C53" s="8" t="n">
        <f aca="false">L53</f>
        <v>46161</v>
      </c>
      <c r="D53" s="9" t="n">
        <v>45755</v>
      </c>
      <c r="E53" s="10" t="n">
        <v>47519</v>
      </c>
      <c r="F53" s="11" t="n">
        <f aca="false">(E53-D53)/7</f>
        <v>252</v>
      </c>
      <c r="G53" s="11" t="n">
        <f aca="true">(TODAY()-D53)/7</f>
        <v>59.4285714285714</v>
      </c>
      <c r="H53" s="12" t="n">
        <v>272</v>
      </c>
      <c r="I53" s="12" t="n">
        <v>76</v>
      </c>
      <c r="J53" s="13" t="n">
        <f aca="false">IFERROR(((G53*H53)/F53)-I53,"")</f>
        <v>-11.8548752834467</v>
      </c>
      <c r="K53" s="12" t="str">
        <f aca="false">IF(J53&lt;-10,"MUITO ADIANTADO",IF(J53&lt;-6,"ADIANTADO",IF(J53&lt;6,"EM DIAS",IF(J53&lt;12,"ATRASADO","MUITO ATRASADO"))))</f>
        <v>MUITO ADIANTADO</v>
      </c>
      <c r="L53" s="9" t="n">
        <v>46161</v>
      </c>
      <c r="M53" s="6" t="n">
        <f aca="true">TODAY()-L53</f>
        <v>10</v>
      </c>
      <c r="N53" s="1" t="str">
        <f aca="false">IF(M53&lt;8,"VERIFICADO",IF(M53&lt;15,"VERIFICAR","VERIFICAR URGENTE"))</f>
        <v>VERIFICAR</v>
      </c>
    </row>
    <row r="54" customFormat="false" ht="15" hidden="false" customHeight="false" outlineLevel="0" collapsed="false">
      <c r="A54" s="6" t="s">
        <v>73</v>
      </c>
      <c r="B54" s="7" t="s">
        <v>24</v>
      </c>
      <c r="C54" s="8" t="n">
        <f aca="false">L54</f>
        <v>46161</v>
      </c>
      <c r="D54" s="9" t="n">
        <v>45696</v>
      </c>
      <c r="E54" s="10" t="n">
        <v>46933</v>
      </c>
      <c r="F54" s="11" t="n">
        <f aca="false">(E54-D54)/7</f>
        <v>176.714285714286</v>
      </c>
      <c r="G54" s="11" t="n">
        <f aca="true">(TODAY()-D54)/7</f>
        <v>67.8571428571429</v>
      </c>
      <c r="H54" s="12" t="n">
        <v>160</v>
      </c>
      <c r="I54" s="12" t="n">
        <v>58</v>
      </c>
      <c r="J54" s="13" t="n">
        <f aca="false">IFERROR(((G54*H54)/F54)-I54,"")</f>
        <v>3.4389652384801</v>
      </c>
      <c r="K54" s="12" t="str">
        <f aca="false">IF(J54&lt;-10,"MUITO ADIANTADO",IF(J54&lt;-6,"ADIANTADO",IF(J54&lt;6,"EM DIAS",IF(J54&lt;12,"ATRASADO","MUITO ATRASADO"))))</f>
        <v>EM DIAS</v>
      </c>
      <c r="L54" s="9" t="n">
        <v>46161</v>
      </c>
      <c r="M54" s="6" t="n">
        <f aca="true">TODAY()-L54</f>
        <v>10</v>
      </c>
      <c r="N54" s="1" t="str">
        <f aca="false">IF(M54&lt;8,"VERIFICADO",IF(M54&lt;15,"VERIFICAR","VERIFICAR URGENTE"))</f>
        <v>VERIFICAR</v>
      </c>
    </row>
    <row r="55" customFormat="false" ht="15" hidden="false" customHeight="false" outlineLevel="0" collapsed="false">
      <c r="A55" s="6" t="s">
        <v>74</v>
      </c>
      <c r="B55" s="7" t="s">
        <v>15</v>
      </c>
      <c r="C55" s="8" t="n">
        <f aca="false">L55</f>
        <v>46162</v>
      </c>
      <c r="D55" s="9" t="n">
        <v>45623</v>
      </c>
      <c r="E55" s="10" t="n">
        <v>46863</v>
      </c>
      <c r="F55" s="11" t="n">
        <f aca="false">(E55-D55)/7</f>
        <v>177.142857142857</v>
      </c>
      <c r="G55" s="11" t="n">
        <f aca="true">(TODAY()-D55)/7</f>
        <v>78.2857142857143</v>
      </c>
      <c r="H55" s="12" t="n">
        <v>160</v>
      </c>
      <c r="I55" s="12" t="n">
        <v>78</v>
      </c>
      <c r="J55" s="13" t="n">
        <f aca="false">IFERROR(((G55*H55)/F55)-I55,"")</f>
        <v>-7.2903225806451</v>
      </c>
      <c r="K55" s="12" t="str">
        <f aca="false">IF(J55&lt;-10,"MUITO ADIANTADO",IF(J55&lt;-6,"ADIANTADO",IF(J55&lt;6,"EM DIAS",IF(J55&lt;12,"ATRASADO","MUITO ATRASADO"))))</f>
        <v>ADIANTADO</v>
      </c>
      <c r="L55" s="9" t="n">
        <v>46162</v>
      </c>
      <c r="M55" s="6" t="n">
        <f aca="true">TODAY()-L55</f>
        <v>9</v>
      </c>
      <c r="N55" s="1" t="str">
        <f aca="false">IF(M55&lt;8,"VERIFICADO",IF(M55&lt;15,"VERIFICAR","VERIFICAR URGENTE"))</f>
        <v>VERIFICAR</v>
      </c>
    </row>
    <row r="56" customFormat="false" ht="15" hidden="false" customHeight="false" outlineLevel="0" collapsed="false">
      <c r="A56" s="6" t="s">
        <v>75</v>
      </c>
      <c r="B56" s="7" t="s">
        <v>22</v>
      </c>
      <c r="C56" s="8" t="n">
        <f aca="false">L56</f>
        <v>46162</v>
      </c>
      <c r="D56" s="9" t="n">
        <v>46043</v>
      </c>
      <c r="E56" s="10" t="n">
        <v>46747</v>
      </c>
      <c r="F56" s="11" t="n">
        <f aca="false">(E56-D56)/7</f>
        <v>100.571428571429</v>
      </c>
      <c r="G56" s="11" t="n">
        <f aca="true">(TODAY()-D56)/7</f>
        <v>18.2857142857143</v>
      </c>
      <c r="H56" s="12" t="n">
        <v>112</v>
      </c>
      <c r="I56" s="12" t="n">
        <v>21</v>
      </c>
      <c r="J56" s="13" t="n">
        <f aca="false">IFERROR(((G56*H56)/F56)-I56,"")</f>
        <v>-0.636363636363722</v>
      </c>
      <c r="K56" s="12" t="str">
        <f aca="false">IF(J56&lt;-10,"MUITO ADIANTADO",IF(J56&lt;-6,"ADIANTADO",IF(J56&lt;6,"EM DIAS",IF(J56&lt;12,"ATRASADO","MUITO ATRASADO"))))</f>
        <v>EM DIAS</v>
      </c>
      <c r="L56" s="9" t="n">
        <v>46162</v>
      </c>
      <c r="M56" s="6" t="n">
        <f aca="true">TODAY()-L56</f>
        <v>9</v>
      </c>
      <c r="N56" s="1" t="str">
        <f aca="false">IF(M56&lt;8,"VERIFICADO",IF(M56&lt;15,"VERIFICAR","VERIFICAR URGENTE"))</f>
        <v>VERIFICAR</v>
      </c>
    </row>
    <row r="57" customFormat="false" ht="15" hidden="false" customHeight="false" outlineLevel="0" collapsed="false">
      <c r="A57" s="6" t="s">
        <v>76</v>
      </c>
      <c r="B57" s="7" t="s">
        <v>22</v>
      </c>
      <c r="C57" s="8" t="n">
        <f aca="false">L57</f>
        <v>46161</v>
      </c>
      <c r="D57" s="9" t="n">
        <v>45664</v>
      </c>
      <c r="E57" s="10" t="n">
        <v>46218</v>
      </c>
      <c r="F57" s="11" t="n">
        <f aca="false">(E57-D57)/7</f>
        <v>79.1428571428571</v>
      </c>
      <c r="G57" s="11" t="n">
        <f aca="true">(TODAY()-D57)/7</f>
        <v>72.4285714285714</v>
      </c>
      <c r="H57" s="12" t="n">
        <v>92</v>
      </c>
      <c r="I57" s="12" t="n">
        <v>81</v>
      </c>
      <c r="J57" s="13" t="n">
        <f aca="false">IFERROR(((G57*H57)/F57)-I57,"")</f>
        <v>3.1949458483755</v>
      </c>
      <c r="K57" s="12" t="str">
        <f aca="false">IF(J57&lt;-10,"MUITO ADIANTADO",IF(J57&lt;-6,"ADIANTADO",IF(J57&lt;6,"EM DIAS",IF(J57&lt;12,"ATRASADO","MUITO ATRASADO"))))</f>
        <v>EM DIAS</v>
      </c>
      <c r="L57" s="9" t="n">
        <v>46161</v>
      </c>
      <c r="M57" s="6" t="n">
        <f aca="true">TODAY()-L57</f>
        <v>10</v>
      </c>
      <c r="N57" s="1" t="str">
        <f aca="false">IF(M57&lt;8,"VERIFICADO",IF(M57&lt;15,"VERIFICAR","VERIFICAR URGENTE"))</f>
        <v>VERIFICAR</v>
      </c>
    </row>
    <row r="58" customFormat="false" ht="15" hidden="false" customHeight="false" outlineLevel="0" collapsed="false">
      <c r="A58" s="6" t="s">
        <v>77</v>
      </c>
      <c r="B58" s="7" t="s">
        <v>24</v>
      </c>
      <c r="C58" s="8" t="n">
        <f aca="false">L58</f>
        <v>46163</v>
      </c>
      <c r="D58" s="9" t="n">
        <v>45733</v>
      </c>
      <c r="E58" s="10" t="n">
        <v>46325</v>
      </c>
      <c r="F58" s="11" t="n">
        <f aca="false">(E58-D58)/7</f>
        <v>84.5714285714286</v>
      </c>
      <c r="G58" s="11" t="n">
        <f aca="true">(TODAY()-D58)/7</f>
        <v>62.5714285714286</v>
      </c>
      <c r="H58" s="12" t="n">
        <v>80</v>
      </c>
      <c r="I58" s="12" t="n">
        <v>53</v>
      </c>
      <c r="J58" s="13" t="n">
        <f aca="false">IFERROR(((G58*H58)/F58)-I58,"")</f>
        <v>6.18918918918917</v>
      </c>
      <c r="K58" s="12" t="str">
        <f aca="false">IF(J58&lt;-10,"MUITO ADIANTADO",IF(J58&lt;-6,"ADIANTADO",IF(J58&lt;6,"EM DIAS",IF(J58&lt;12,"ATRASADO","MUITO ATRASADO"))))</f>
        <v>ATRASADO</v>
      </c>
      <c r="L58" s="9" t="n">
        <v>46163</v>
      </c>
      <c r="M58" s="6" t="n">
        <f aca="true">TODAY()-L58</f>
        <v>8</v>
      </c>
      <c r="N58" s="1" t="str">
        <f aca="false">IF(M58&lt;8,"VERIFICADO",IF(M58&lt;15,"VERIFICAR","VERIFICAR URGENTE"))</f>
        <v>VERIFICAR</v>
      </c>
    </row>
    <row r="59" customFormat="false" ht="15" hidden="false" customHeight="false" outlineLevel="0" collapsed="false">
      <c r="A59" s="6" t="s">
        <v>78</v>
      </c>
      <c r="B59" s="7" t="s">
        <v>22</v>
      </c>
      <c r="C59" s="8" t="n">
        <f aca="false">L59</f>
        <v>46161</v>
      </c>
      <c r="D59" s="9" t="n">
        <v>46140</v>
      </c>
      <c r="E59" s="10" t="n">
        <v>46676</v>
      </c>
      <c r="F59" s="11" t="n">
        <f aca="false">(E59-D59)/7</f>
        <v>76.5714285714286</v>
      </c>
      <c r="G59" s="11" t="n">
        <f aca="true">(TODAY()-D59)/7</f>
        <v>4.42857142857143</v>
      </c>
      <c r="H59" s="12" t="n">
        <v>80</v>
      </c>
      <c r="I59" s="12" t="n">
        <v>5</v>
      </c>
      <c r="J59" s="13" t="n">
        <f aca="false">IFERROR(((G59*H59)/F59)-I59,"")</f>
        <v>-0.37313432835821</v>
      </c>
      <c r="K59" s="12" t="str">
        <f aca="false">IF(J59&lt;-10,"MUITO ADIANTADO",IF(J59&lt;-6,"ADIANTADO",IF(J59&lt;6,"EM DIAS",IF(J59&lt;12,"ATRASADO","MUITO ATRASADO"))))</f>
        <v>EM DIAS</v>
      </c>
      <c r="L59" s="9" t="n">
        <v>46161</v>
      </c>
      <c r="M59" s="6" t="n">
        <f aca="true">TODAY()-L59</f>
        <v>10</v>
      </c>
      <c r="N59" s="1" t="str">
        <f aca="false">IF(M59&lt;8,"VERIFICADO",IF(M59&lt;15,"VERIFICAR","VERIFICAR URGENTE"))</f>
        <v>VERIFICAR</v>
      </c>
    </row>
    <row r="60" customFormat="false" ht="15" hidden="false" customHeight="false" outlineLevel="0" collapsed="false">
      <c r="A60" s="6" t="s">
        <v>79</v>
      </c>
      <c r="B60" s="7" t="s">
        <v>22</v>
      </c>
      <c r="C60" s="8" t="n">
        <f aca="false">L60</f>
        <v>46160</v>
      </c>
      <c r="D60" s="9" t="n">
        <v>46064</v>
      </c>
      <c r="E60" s="10" t="n">
        <v>46388</v>
      </c>
      <c r="F60" s="11" t="n">
        <f aca="false">(E60-D60)/7</f>
        <v>46.2857142857143</v>
      </c>
      <c r="G60" s="11" t="n">
        <f aca="true">(TODAY()-D60)/7</f>
        <v>15.2857142857143</v>
      </c>
      <c r="H60" s="12" t="n">
        <v>48</v>
      </c>
      <c r="I60" s="12" t="n">
        <v>13</v>
      </c>
      <c r="J60" s="13" t="n">
        <f aca="false">IFERROR(((G60*H60)/F60)-I60,"")</f>
        <v>2.85185185185185</v>
      </c>
      <c r="K60" s="12" t="str">
        <f aca="false">IF(J60&lt;-10,"MUITO ADIANTADO",IF(J60&lt;-6,"ADIANTADO",IF(J60&lt;6,"EM DIAS",IF(J60&lt;12,"ATRASADO","MUITO ATRASADO"))))</f>
        <v>EM DIAS</v>
      </c>
      <c r="L60" s="9" t="n">
        <v>46160</v>
      </c>
      <c r="M60" s="6" t="n">
        <f aca="true">TODAY()-L60</f>
        <v>11</v>
      </c>
      <c r="N60" s="1" t="str">
        <f aca="false">IF(M60&lt;8,"VERIFICADO",IF(M60&lt;15,"VERIFICAR","VERIFICAR URGENTE"))</f>
        <v>VERIFICAR</v>
      </c>
    </row>
    <row r="61" customFormat="false" ht="15" hidden="false" customHeight="false" outlineLevel="0" collapsed="false">
      <c r="A61" s="6" t="s">
        <v>80</v>
      </c>
      <c r="B61" s="7" t="s">
        <v>22</v>
      </c>
      <c r="C61" s="8" t="n">
        <f aca="false">L61</f>
        <v>46165</v>
      </c>
      <c r="D61" s="9" t="n">
        <v>45721</v>
      </c>
      <c r="E61" s="10" t="n">
        <v>46295</v>
      </c>
      <c r="F61" s="11" t="n">
        <f aca="false">(E61-D61)/7</f>
        <v>82</v>
      </c>
      <c r="G61" s="11" t="n">
        <f aca="true">(TODAY()-D61)/7</f>
        <v>64.2857142857143</v>
      </c>
      <c r="H61" s="12" t="n">
        <v>80</v>
      </c>
      <c r="I61" s="12" t="n">
        <v>43</v>
      </c>
      <c r="J61" s="13" t="n">
        <f aca="false">IFERROR(((G61*H61)/F61)-I61,"")</f>
        <v>19.7177700348432</v>
      </c>
      <c r="K61" s="12" t="str">
        <f aca="false">IF(J61&lt;-10,"MUITO ADIANTADO",IF(J61&lt;-6,"ADIANTADO",IF(J61&lt;6,"EM DIAS",IF(J61&lt;12,"ATRASADO","MUITO ATRASADO"))))</f>
        <v>MUITO ATRASADO</v>
      </c>
      <c r="L61" s="9" t="n">
        <v>46165</v>
      </c>
      <c r="M61" s="6" t="n">
        <f aca="true">TODAY()-L61</f>
        <v>6</v>
      </c>
      <c r="N61" s="1" t="str">
        <f aca="false">IF(M61&lt;8,"VERIFICADO",IF(M61&lt;15,"VERIFICAR","VERIFICAR URGENTE"))</f>
        <v>VERIFICADO</v>
      </c>
    </row>
    <row r="62" customFormat="false" ht="15" hidden="false" customHeight="false" outlineLevel="0" collapsed="false">
      <c r="A62" s="6" t="s">
        <v>81</v>
      </c>
      <c r="B62" s="7" t="s">
        <v>24</v>
      </c>
      <c r="C62" s="8" t="n">
        <f aca="false">L62</f>
        <v>46164</v>
      </c>
      <c r="D62" s="9" t="n">
        <v>45947</v>
      </c>
      <c r="E62" s="10" t="n">
        <v>46503</v>
      </c>
      <c r="F62" s="11" t="n">
        <f aca="false">(E62-D62)/7</f>
        <v>79.4285714285714</v>
      </c>
      <c r="G62" s="11" t="n">
        <f aca="true">(TODAY()-D62)/7</f>
        <v>32</v>
      </c>
      <c r="H62" s="12" t="n">
        <v>80</v>
      </c>
      <c r="I62" s="12" t="n">
        <v>30</v>
      </c>
      <c r="J62" s="13" t="n">
        <f aca="false">IFERROR(((G62*H62)/F62)-I62,"")</f>
        <v>2.23021582733814</v>
      </c>
      <c r="K62" s="12" t="str">
        <f aca="false">IF(J62&lt;-10,"MUITO ADIANTADO",IF(J62&lt;-6,"ADIANTADO",IF(J62&lt;6,"EM DIAS",IF(J62&lt;12,"ATRASADO","MUITO ATRASADO"))))</f>
        <v>EM DIAS</v>
      </c>
      <c r="L62" s="9" t="n">
        <v>46164</v>
      </c>
      <c r="M62" s="6" t="n">
        <f aca="true">TODAY()-L62</f>
        <v>7</v>
      </c>
      <c r="N62" s="1" t="str">
        <f aca="false">IF(M62&lt;8,"VERIFICADO",IF(M62&lt;15,"VERIFICAR","VERIFICAR URGENTE"))</f>
        <v>VERIFICADO</v>
      </c>
    </row>
    <row r="63" customFormat="false" ht="15" hidden="false" customHeight="false" outlineLevel="0" collapsed="false">
      <c r="A63" s="6" t="s">
        <v>82</v>
      </c>
      <c r="B63" s="7" t="s">
        <v>22</v>
      </c>
      <c r="C63" s="8" t="n">
        <f aca="false">L63</f>
        <v>46165</v>
      </c>
      <c r="D63" s="9" t="n">
        <v>46039</v>
      </c>
      <c r="E63" s="10" t="n">
        <v>46760</v>
      </c>
      <c r="F63" s="11" t="n">
        <f aca="false">(E63-D63)/7</f>
        <v>103</v>
      </c>
      <c r="G63" s="11" t="n">
        <f aca="true">(TODAY()-D63)/7</f>
        <v>18.8571428571429</v>
      </c>
      <c r="H63" s="12" t="n">
        <v>140</v>
      </c>
      <c r="I63" s="12" t="n">
        <v>27</v>
      </c>
      <c r="J63" s="13" t="n">
        <f aca="false">IFERROR(((G63*H63)/F63)-I63,"")</f>
        <v>-1.36893203883495</v>
      </c>
      <c r="K63" s="12" t="str">
        <f aca="false">IF(J63&lt;-10,"MUITO ADIANTADO",IF(J63&lt;-6,"ADIANTADO",IF(J63&lt;6,"EM DIAS",IF(J63&lt;12,"ATRASADO","MUITO ATRASADO"))))</f>
        <v>EM DIAS</v>
      </c>
      <c r="L63" s="9" t="n">
        <v>46165</v>
      </c>
      <c r="M63" s="6" t="n">
        <f aca="true">TODAY()-L63</f>
        <v>6</v>
      </c>
      <c r="N63" s="1" t="str">
        <f aca="false">IF(M63&lt;8,"VERIFICADO",IF(M63&lt;15,"VERIFICAR","VERIFICAR URGENTE"))</f>
        <v>VERIFICADO</v>
      </c>
    </row>
    <row r="64" customFormat="false" ht="15" hidden="false" customHeight="false" outlineLevel="0" collapsed="false">
      <c r="A64" s="6" t="s">
        <v>83</v>
      </c>
      <c r="B64" s="7" t="s">
        <v>15</v>
      </c>
      <c r="C64" s="8" t="n">
        <f aca="false">L64</f>
        <v>46165</v>
      </c>
      <c r="D64" s="9" t="n">
        <v>45903</v>
      </c>
      <c r="E64" s="10" t="n">
        <v>46751</v>
      </c>
      <c r="F64" s="11" t="n">
        <f aca="false">(E64-D64)/7</f>
        <v>121.142857142857</v>
      </c>
      <c r="G64" s="11" t="n">
        <f aca="true">(TODAY()-D64)/7</f>
        <v>38.2857142857143</v>
      </c>
      <c r="H64" s="12" t="n">
        <v>112</v>
      </c>
      <c r="I64" s="12" t="n">
        <v>24</v>
      </c>
      <c r="J64" s="13" t="n">
        <f aca="false">IFERROR(((G64*H64)/F64)-I64,"")</f>
        <v>11.3962264150944</v>
      </c>
      <c r="K64" s="12" t="str">
        <f aca="false">IF(J64&lt;-10,"MUITO ADIANTADO",IF(J64&lt;-6,"ADIANTADO",IF(J64&lt;6,"EM DIAS",IF(J64&lt;12,"ATRASADO","MUITO ATRASADO"))))</f>
        <v>ATRASADO</v>
      </c>
      <c r="L64" s="9" t="n">
        <v>46165</v>
      </c>
      <c r="M64" s="6" t="n">
        <f aca="true">TODAY()-L64</f>
        <v>6</v>
      </c>
      <c r="N64" s="1" t="str">
        <f aca="false">IF(M64&lt;8,"VERIFICADO",IF(M64&lt;15,"VERIFICAR","VERIFICAR URGENTE"))</f>
        <v>VERIFICADO</v>
      </c>
    </row>
    <row r="65" customFormat="false" ht="15" hidden="false" customHeight="false" outlineLevel="0" collapsed="false">
      <c r="A65" s="6" t="s">
        <v>84</v>
      </c>
      <c r="B65" s="7" t="s">
        <v>22</v>
      </c>
      <c r="C65" s="8" t="n">
        <f aca="false">L65</f>
        <v>46165</v>
      </c>
      <c r="D65" s="9" t="n">
        <v>45899</v>
      </c>
      <c r="E65" s="10" t="n">
        <v>46375</v>
      </c>
      <c r="F65" s="11" t="n">
        <f aca="false">(E65-D65)/7</f>
        <v>68</v>
      </c>
      <c r="G65" s="11" t="n">
        <f aca="true">(TODAY()-D65)/7</f>
        <v>38.8571428571429</v>
      </c>
      <c r="H65" s="12" t="n">
        <v>80</v>
      </c>
      <c r="I65" s="12" t="n">
        <v>43</v>
      </c>
      <c r="J65" s="13" t="n">
        <f aca="false">IFERROR(((G65*H65)/F65)-I65,"")</f>
        <v>2.71428571428572</v>
      </c>
      <c r="K65" s="12" t="str">
        <f aca="false">IF(J65&lt;-10,"MUITO ADIANTADO",IF(J65&lt;-6,"ADIANTADO",IF(J65&lt;6,"EM DIAS",IF(J65&lt;12,"ATRASADO","MUITO ATRASADO"))))</f>
        <v>EM DIAS</v>
      </c>
      <c r="L65" s="9" t="n">
        <v>46165</v>
      </c>
      <c r="M65" s="6" t="n">
        <f aca="true">TODAY()-L65</f>
        <v>6</v>
      </c>
      <c r="N65" s="1" t="str">
        <f aca="false">IF(M65&lt;8,"VERIFICADO",IF(M65&lt;15,"VERIFICAR","VERIFICAR URGENTE"))</f>
        <v>VERIFICADO</v>
      </c>
    </row>
    <row r="66" customFormat="false" ht="15" hidden="false" customHeight="false" outlineLevel="0" collapsed="false">
      <c r="A66" s="6" t="s">
        <v>85</v>
      </c>
      <c r="B66" s="7" t="s">
        <v>22</v>
      </c>
      <c r="C66" s="8" t="n">
        <f aca="false">L66</f>
        <v>46162</v>
      </c>
      <c r="D66" s="9" t="n">
        <v>45761</v>
      </c>
      <c r="E66" s="10" t="n">
        <v>46327</v>
      </c>
      <c r="F66" s="11" t="n">
        <f aca="false">(E66-D66)/7</f>
        <v>80.8571428571429</v>
      </c>
      <c r="G66" s="11" t="n">
        <f aca="true">(TODAY()-D66)/7</f>
        <v>58.5714285714286</v>
      </c>
      <c r="H66" s="12" t="n">
        <v>112</v>
      </c>
      <c r="I66" s="12" t="n">
        <v>80</v>
      </c>
      <c r="J66" s="13" t="n">
        <f aca="false">IFERROR(((G66*H66)/F66)-I66,"")</f>
        <v>1.13074204946992</v>
      </c>
      <c r="K66" s="12" t="str">
        <f aca="false">IF(J66&lt;-10,"MUITO ADIANTADO",IF(J66&lt;-6,"ADIANTADO",IF(J66&lt;6,"EM DIAS",IF(J66&lt;12,"ATRASADO","MUITO ATRASADO"))))</f>
        <v>EM DIAS</v>
      </c>
      <c r="L66" s="9" t="n">
        <v>46162</v>
      </c>
      <c r="M66" s="6" t="n">
        <f aca="true">TODAY()-L66</f>
        <v>9</v>
      </c>
      <c r="N66" s="1" t="str">
        <f aca="false">IF(M66&lt;8,"VERIFICADO",IF(M66&lt;15,"VERIFICAR","VERIFICAR URGENTE"))</f>
        <v>VERIFICAR</v>
      </c>
    </row>
    <row r="67" customFormat="false" ht="15" hidden="false" customHeight="false" outlineLevel="0" collapsed="false">
      <c r="A67" s="6" t="s">
        <v>86</v>
      </c>
      <c r="B67" s="7" t="s">
        <v>24</v>
      </c>
      <c r="C67" s="8" t="n">
        <f aca="false">L67</f>
        <v>46162</v>
      </c>
      <c r="D67" s="9" t="n">
        <v>45957</v>
      </c>
      <c r="E67" s="10" t="n">
        <v>47469</v>
      </c>
      <c r="F67" s="11" t="n">
        <f aca="false">(E67-D67)/7</f>
        <v>216</v>
      </c>
      <c r="G67" s="11" t="n">
        <f aca="true">(TODAY()-D67)/7</f>
        <v>30.5714285714286</v>
      </c>
      <c r="H67" s="12" t="n">
        <v>240</v>
      </c>
      <c r="I67" s="12" t="n">
        <v>22</v>
      </c>
      <c r="J67" s="13" t="n">
        <f aca="false">IFERROR(((G67*H67)/F67)-I67,"")</f>
        <v>11.968253968254</v>
      </c>
      <c r="K67" s="12" t="str">
        <f aca="false">IF(J67&lt;-10,"MUITO ADIANTADO",IF(J67&lt;-6,"ADIANTADO",IF(J67&lt;6,"EM DIAS",IF(J67&lt;12,"ATRASADO","MUITO ATRASADO"))))</f>
        <v>ATRASADO</v>
      </c>
      <c r="L67" s="9" t="n">
        <v>46162</v>
      </c>
      <c r="M67" s="6" t="n">
        <f aca="true">TODAY()-L67</f>
        <v>9</v>
      </c>
      <c r="N67" s="1" t="str">
        <f aca="false">IF(M67&lt;8,"VERIFICADO",IF(M67&lt;15,"VERIFICAR","VERIFICAR URGENTE"))</f>
        <v>VERIFICAR</v>
      </c>
    </row>
    <row r="68" customFormat="false" ht="15" hidden="false" customHeight="false" outlineLevel="0" collapsed="false">
      <c r="A68" s="6" t="s">
        <v>87</v>
      </c>
      <c r="B68" s="7" t="s">
        <v>24</v>
      </c>
      <c r="C68" s="8" t="n">
        <f aca="false">L68</f>
        <v>46162</v>
      </c>
      <c r="D68" s="9" t="n">
        <v>46099</v>
      </c>
      <c r="E68" s="10" t="n">
        <v>46619</v>
      </c>
      <c r="F68" s="11" t="n">
        <f aca="false">(E68-D68)/7</f>
        <v>74.2857142857143</v>
      </c>
      <c r="G68" s="11" t="n">
        <f aca="true">(TODAY()-D68)/7</f>
        <v>10.2857142857143</v>
      </c>
      <c r="H68" s="12" t="n">
        <v>80</v>
      </c>
      <c r="I68" s="12" t="n">
        <v>11</v>
      </c>
      <c r="J68" s="13" t="n">
        <f aca="false">IFERROR(((G68*H68)/F68)-I68,"")</f>
        <v>0.0769230769230749</v>
      </c>
      <c r="K68" s="12" t="str">
        <f aca="false">IF(J68&lt;-10,"MUITO ADIANTADO",IF(J68&lt;-6,"ADIANTADO",IF(J68&lt;6,"EM DIAS",IF(J68&lt;12,"ATRASADO","MUITO ATRASADO"))))</f>
        <v>EM DIAS</v>
      </c>
      <c r="L68" s="9" t="n">
        <v>46162</v>
      </c>
      <c r="M68" s="6" t="n">
        <f aca="true">TODAY()-L68</f>
        <v>9</v>
      </c>
      <c r="N68" s="1" t="str">
        <f aca="false">IF(M68&lt;8,"VERIFICADO",IF(M68&lt;15,"VERIFICAR","VERIFICAR URGENTE"))</f>
        <v>VERIFICAR</v>
      </c>
    </row>
    <row r="69" customFormat="false" ht="15" hidden="false" customHeight="false" outlineLevel="0" collapsed="false">
      <c r="A69" s="6" t="s">
        <v>88</v>
      </c>
      <c r="B69" s="7" t="s">
        <v>24</v>
      </c>
      <c r="C69" s="8" t="n">
        <f aca="false">L69</f>
        <v>46162</v>
      </c>
      <c r="D69" s="9" t="n">
        <v>45514</v>
      </c>
      <c r="E69" s="10" t="n">
        <v>46178</v>
      </c>
      <c r="F69" s="11" t="n">
        <f aca="false">(E69-D69)/7</f>
        <v>94.8571428571429</v>
      </c>
      <c r="G69" s="11" t="n">
        <f aca="true">(TODAY()-D69)/7</f>
        <v>93.8571428571429</v>
      </c>
      <c r="H69" s="12" t="n">
        <v>128</v>
      </c>
      <c r="I69" s="12" t="n">
        <v>128</v>
      </c>
      <c r="J69" s="13" t="n">
        <f aca="false">IFERROR(((G69*H69)/F69)-I69,"")</f>
        <v>-1.34939759036151</v>
      </c>
      <c r="K69" s="12" t="str">
        <f aca="false">IF(J69&lt;-10,"MUITO ADIANTADO",IF(J69&lt;-6,"ADIANTADO",IF(J69&lt;6,"EM DIAS",IF(J69&lt;12,"ATRASADO","MUITO ATRASADO"))))</f>
        <v>EM DIAS</v>
      </c>
      <c r="L69" s="9" t="n">
        <v>46162</v>
      </c>
      <c r="M69" s="6" t="n">
        <f aca="true">TODAY()-L69</f>
        <v>9</v>
      </c>
      <c r="N69" s="1" t="str">
        <f aca="false">IF(M69&lt;8,"VERIFICADO",IF(M69&lt;15,"VERIFICAR","VERIFICAR URGENTE"))</f>
        <v>VERIFICAR</v>
      </c>
    </row>
    <row r="70" customFormat="false" ht="15" hidden="false" customHeight="false" outlineLevel="0" collapsed="false">
      <c r="A70" s="6" t="s">
        <v>89</v>
      </c>
      <c r="B70" s="6" t="s">
        <v>19</v>
      </c>
      <c r="C70" s="8" t="n">
        <f aca="false">L70</f>
        <v>46162</v>
      </c>
      <c r="D70" s="9" t="n">
        <v>45847</v>
      </c>
      <c r="E70" s="10" t="n">
        <v>46517</v>
      </c>
      <c r="F70" s="11" t="n">
        <f aca="false">(E70-D70)/7</f>
        <v>95.7142857142857</v>
      </c>
      <c r="G70" s="11" t="n">
        <f aca="true">(TODAY()-D70)/7</f>
        <v>46.2857142857143</v>
      </c>
      <c r="H70" s="12" t="n">
        <v>96</v>
      </c>
      <c r="I70" s="12" t="n">
        <v>23</v>
      </c>
      <c r="J70" s="13" t="n">
        <f aca="false">IFERROR(((G70*H70)/F70)-I70,"")</f>
        <v>23.4238805970149</v>
      </c>
      <c r="K70" s="12" t="str">
        <f aca="false">IF(J70&lt;-10,"MUITO ADIANTADO",IF(J70&lt;-6,"ADIANTADO",IF(J70&lt;6,"EM DIAS",IF(J70&lt;12,"ATRASADO","MUITO ATRASADO"))))</f>
        <v>MUITO ATRASADO</v>
      </c>
      <c r="L70" s="9" t="n">
        <v>46162</v>
      </c>
      <c r="M70" s="6" t="n">
        <f aca="true">TODAY()-L70</f>
        <v>9</v>
      </c>
      <c r="N70" s="1" t="str">
        <f aca="false">IF(M70&lt;8,"VERIFICADO",IF(M70&lt;15,"VERIFICAR","VERIFICAR URGENTE"))</f>
        <v>VERIFICAR</v>
      </c>
    </row>
    <row r="71" customFormat="false" ht="15" hidden="false" customHeight="false" outlineLevel="0" collapsed="false">
      <c r="A71" s="6" t="s">
        <v>90</v>
      </c>
      <c r="B71" s="7" t="s">
        <v>17</v>
      </c>
      <c r="C71" s="8" t="n">
        <f aca="false">L71</f>
        <v>46163</v>
      </c>
      <c r="D71" s="9" t="n">
        <v>45882</v>
      </c>
      <c r="E71" s="10" t="n">
        <v>46588</v>
      </c>
      <c r="F71" s="11" t="n">
        <f aca="false">(E71-D71)/7</f>
        <v>100.857142857143</v>
      </c>
      <c r="G71" s="11" t="n">
        <f aca="true">(TODAY()-D71)/7</f>
        <v>41.2857142857143</v>
      </c>
      <c r="H71" s="12" t="n">
        <v>112</v>
      </c>
      <c r="I71" s="12" t="n">
        <v>43</v>
      </c>
      <c r="J71" s="13" t="n">
        <f aca="false">IFERROR(((G71*H71)/F71)-I71,"")</f>
        <v>2.84702549575064</v>
      </c>
      <c r="K71" s="12" t="str">
        <f aca="false">IF(J71&lt;-10,"MUITO ADIANTADO",IF(J71&lt;-6,"ADIANTADO",IF(J71&lt;6,"EM DIAS",IF(J71&lt;12,"ATRASADO","MUITO ATRASADO"))))</f>
        <v>EM DIAS</v>
      </c>
      <c r="L71" s="9" t="n">
        <v>46163</v>
      </c>
      <c r="M71" s="6" t="n">
        <f aca="true">TODAY()-L71</f>
        <v>8</v>
      </c>
      <c r="N71" s="1" t="str">
        <f aca="false">IF(M71&lt;8,"VERIFICADO",IF(M71&lt;15,"VERIFICAR","VERIFICAR URGENTE"))</f>
        <v>VERIFICAR</v>
      </c>
    </row>
    <row r="72" customFormat="false" ht="15" hidden="false" customHeight="false" outlineLevel="0" collapsed="false">
      <c r="A72" s="6" t="s">
        <v>91</v>
      </c>
      <c r="B72" s="7" t="s">
        <v>22</v>
      </c>
      <c r="C72" s="8" t="n">
        <f aca="false">L72</f>
        <v>46161</v>
      </c>
      <c r="D72" s="9" t="n">
        <v>46125</v>
      </c>
      <c r="E72" s="10" t="n">
        <v>46706</v>
      </c>
      <c r="F72" s="11" t="n">
        <f aca="false">(E72-D72)/7</f>
        <v>83</v>
      </c>
      <c r="G72" s="11" t="n">
        <f aca="true">(TODAY()-D72)/7</f>
        <v>6.57142857142857</v>
      </c>
      <c r="H72" s="12" t="n">
        <v>80</v>
      </c>
      <c r="I72" s="12" t="n">
        <v>5</v>
      </c>
      <c r="J72" s="13" t="n">
        <f aca="false">IFERROR(((G72*H72)/F72)-I72,"")</f>
        <v>1.33390705679862</v>
      </c>
      <c r="K72" s="12" t="str">
        <f aca="false">IF(J72&lt;-10,"MUITO ADIANTADO",IF(J72&lt;-6,"ADIANTADO",IF(J72&lt;6,"EM DIAS",IF(J72&lt;12,"ATRASADO","MUITO ATRASADO"))))</f>
        <v>EM DIAS</v>
      </c>
      <c r="L72" s="9" t="n">
        <v>46161</v>
      </c>
      <c r="M72" s="6" t="n">
        <f aca="true">TODAY()-L72</f>
        <v>10</v>
      </c>
      <c r="N72" s="1" t="str">
        <f aca="false">IF(M72&lt;8,"VERIFICADO",IF(M72&lt;15,"VERIFICAR","VERIFICAR URGENTE"))</f>
        <v>VERIFICAR</v>
      </c>
    </row>
    <row r="73" customFormat="false" ht="15" hidden="false" customHeight="false" outlineLevel="0" collapsed="false">
      <c r="A73" s="6" t="s">
        <v>92</v>
      </c>
      <c r="B73" s="7" t="s">
        <v>22</v>
      </c>
      <c r="C73" s="8" t="n">
        <f aca="false">L73</f>
        <v>46161</v>
      </c>
      <c r="D73" s="9" t="n">
        <v>46105</v>
      </c>
      <c r="E73" s="10" t="n">
        <v>46346</v>
      </c>
      <c r="F73" s="11" t="n">
        <f aca="false">(E73-D73)/7</f>
        <v>34.4285714285714</v>
      </c>
      <c r="G73" s="11" t="n">
        <f aca="true">(TODAY()-D73)/7</f>
        <v>9.42857142857143</v>
      </c>
      <c r="H73" s="12" t="n">
        <v>80</v>
      </c>
      <c r="I73" s="12" t="n">
        <v>12</v>
      </c>
      <c r="J73" s="13" t="n">
        <f aca="false">IFERROR(((G73*H73)/F73)-I73,"")</f>
        <v>9.90871369294608</v>
      </c>
      <c r="K73" s="12" t="str">
        <f aca="false">IF(J73&lt;-10,"MUITO ADIANTADO",IF(J73&lt;-6,"ADIANTADO",IF(J73&lt;6,"EM DIAS",IF(J73&lt;12,"ATRASADO","MUITO ATRASADO"))))</f>
        <v>ATRASADO</v>
      </c>
      <c r="L73" s="9" t="n">
        <v>46161</v>
      </c>
      <c r="M73" s="6" t="n">
        <f aca="true">TODAY()-L73</f>
        <v>10</v>
      </c>
      <c r="N73" s="1" t="str">
        <f aca="false">IF(M73&lt;8,"VERIFICADO",IF(M73&lt;15,"VERIFICAR","VERIFICAR URGENTE"))</f>
        <v>VERIFICAR</v>
      </c>
    </row>
    <row r="74" customFormat="false" ht="15" hidden="false" customHeight="false" outlineLevel="0" collapsed="false">
      <c r="A74" s="6" t="s">
        <v>93</v>
      </c>
      <c r="B74" s="7" t="s">
        <v>22</v>
      </c>
      <c r="C74" s="8" t="n">
        <f aca="false">L74</f>
        <v>46161</v>
      </c>
      <c r="D74" s="9" t="n">
        <v>46049</v>
      </c>
      <c r="E74" s="10" t="n">
        <v>46832</v>
      </c>
      <c r="F74" s="11" t="n">
        <f aca="false">(E74-D74)/7</f>
        <v>111.857142857143</v>
      </c>
      <c r="G74" s="11" t="n">
        <f aca="true">(TODAY()-D74)/7</f>
        <v>17.4285714285714</v>
      </c>
      <c r="H74" s="12" t="n">
        <v>128</v>
      </c>
      <c r="I74" s="12" t="n">
        <v>18</v>
      </c>
      <c r="J74" s="13" t="n">
        <f aca="false">IFERROR(((G74*H74)/F74)-I74,"")</f>
        <v>1.94380587484033</v>
      </c>
      <c r="K74" s="12" t="str">
        <f aca="false">IF(J74&lt;-10,"MUITO ADIANTADO",IF(J74&lt;-6,"ADIANTADO",IF(J74&lt;6,"EM DIAS",IF(J74&lt;12,"ATRASADO","MUITO ATRASADO"))))</f>
        <v>EM DIAS</v>
      </c>
      <c r="L74" s="9" t="n">
        <v>46161</v>
      </c>
      <c r="M74" s="6" t="n">
        <f aca="true">TODAY()-L74</f>
        <v>10</v>
      </c>
      <c r="N74" s="1" t="str">
        <f aca="false">IF(M74&lt;8,"VERIFICADO",IF(M74&lt;15,"VERIFICAR","VERIFICAR URGENTE"))</f>
        <v>VERIFICAR</v>
      </c>
    </row>
    <row r="75" customFormat="false" ht="15" hidden="false" customHeight="false" outlineLevel="0" collapsed="false">
      <c r="A75" s="6" t="s">
        <v>94</v>
      </c>
      <c r="B75" s="7" t="s">
        <v>24</v>
      </c>
      <c r="C75" s="8" t="n">
        <f aca="false">L75</f>
        <v>46158</v>
      </c>
      <c r="D75" s="9" t="n">
        <v>46088</v>
      </c>
      <c r="E75" s="10" t="n">
        <v>46425</v>
      </c>
      <c r="F75" s="11" t="n">
        <f aca="false">(E75-D75)/7</f>
        <v>48.1428571428571</v>
      </c>
      <c r="G75" s="11" t="n">
        <f aca="true">(TODAY()-D75)/7</f>
        <v>11.8571428571429</v>
      </c>
      <c r="H75" s="12" t="n">
        <v>48</v>
      </c>
      <c r="I75" s="12" t="n">
        <v>9</v>
      </c>
      <c r="J75" s="13" t="n">
        <f aca="false">IFERROR(((G75*H75)/F75)-I75,"")</f>
        <v>2.8219584569733</v>
      </c>
      <c r="K75" s="12" t="str">
        <f aca="false">IF(J75&lt;-10,"MUITO ADIANTADO",IF(J75&lt;-6,"ADIANTADO",IF(J75&lt;6,"EM DIAS",IF(J75&lt;12,"ATRASADO","MUITO ATRASADO"))))</f>
        <v>EM DIAS</v>
      </c>
      <c r="L75" s="9" t="n">
        <v>46158</v>
      </c>
      <c r="M75" s="6" t="n">
        <f aca="true">TODAY()-L75</f>
        <v>13</v>
      </c>
      <c r="N75" s="1" t="str">
        <f aca="false">IF(M75&lt;8,"VERIFICADO",IF(M75&lt;15,"VERIFICAR","VERIFICAR URGENTE"))</f>
        <v>VERIFICAR</v>
      </c>
    </row>
    <row r="76" customFormat="false" ht="15" hidden="false" customHeight="false" outlineLevel="0" collapsed="false">
      <c r="A76" s="1" t="s">
        <v>95</v>
      </c>
      <c r="B76" s="7" t="s">
        <v>24</v>
      </c>
      <c r="C76" s="8" t="n">
        <f aca="false">L76</f>
        <v>46161</v>
      </c>
      <c r="D76" s="9" t="n">
        <v>45867</v>
      </c>
      <c r="E76" s="10" t="n">
        <v>46543</v>
      </c>
      <c r="F76" s="11" t="n">
        <f aca="false">(E76-D76)/7</f>
        <v>96.5714285714286</v>
      </c>
      <c r="G76" s="11" t="n">
        <f aca="true">(TODAY()-D76)/7</f>
        <v>43.4285714285714</v>
      </c>
      <c r="H76" s="12" t="n">
        <v>128</v>
      </c>
      <c r="I76" s="12" t="n">
        <v>54</v>
      </c>
      <c r="J76" s="13" t="n">
        <f aca="false">IFERROR(((G76*H76)/F76)-I76,"")</f>
        <v>3.56213017751478</v>
      </c>
      <c r="K76" s="12" t="str">
        <f aca="false">IF(J76&lt;-10,"MUITO ADIANTADO",IF(J76&lt;-6,"ADIANTADO",IF(J76&lt;6,"EM DIAS",IF(J76&lt;12,"ATRASADO","MUITO ATRASADO"))))</f>
        <v>EM DIAS</v>
      </c>
      <c r="L76" s="9" t="n">
        <v>46161</v>
      </c>
      <c r="M76" s="6" t="n">
        <f aca="true">TODAY()-L76</f>
        <v>10</v>
      </c>
      <c r="N76" s="1" t="str">
        <f aca="false">IF(M76&lt;8,"VERIFICADO",IF(M76&lt;15,"VERIFICAR","VERIFICAR URGENTE"))</f>
        <v>VERIFICAR</v>
      </c>
    </row>
    <row r="77" customFormat="false" ht="15" hidden="false" customHeight="false" outlineLevel="0" collapsed="false">
      <c r="A77" s="6" t="s">
        <v>96</v>
      </c>
      <c r="B77" s="7" t="s">
        <v>22</v>
      </c>
      <c r="C77" s="8" t="n">
        <f aca="false">L77</f>
        <v>46161</v>
      </c>
      <c r="D77" s="9" t="n">
        <v>46098</v>
      </c>
      <c r="E77" s="10" t="n">
        <v>46924</v>
      </c>
      <c r="F77" s="11" t="n">
        <f aca="false">(E77-D77)/7</f>
        <v>118</v>
      </c>
      <c r="G77" s="11" t="n">
        <f aca="true">(TODAY()-D77)/7</f>
        <v>10.4285714285714</v>
      </c>
      <c r="H77" s="12" t="n">
        <v>96</v>
      </c>
      <c r="I77" s="12" t="n">
        <v>9</v>
      </c>
      <c r="J77" s="13" t="n">
        <f aca="false">IFERROR(((G77*H77)/F77)-I77,"")</f>
        <v>-0.515738498789347</v>
      </c>
      <c r="K77" s="12" t="str">
        <f aca="false">IF(J77&lt;-10,"MUITO ADIANTADO",IF(J77&lt;-6,"ADIANTADO",IF(J77&lt;6,"EM DIAS",IF(J77&lt;12,"ATRASADO","MUITO ATRASADO"))))</f>
        <v>EM DIAS</v>
      </c>
      <c r="L77" s="9" t="n">
        <v>46161</v>
      </c>
      <c r="M77" s="6" t="n">
        <f aca="true">TODAY()-L77</f>
        <v>10</v>
      </c>
      <c r="N77" s="1" t="str">
        <f aca="false">IF(M77&lt;8,"VERIFICADO",IF(M77&lt;15,"VERIFICAR","VERIFICAR URGENTE"))</f>
        <v>VERIFICAR</v>
      </c>
    </row>
    <row r="78" customFormat="false" ht="15" hidden="false" customHeight="false" outlineLevel="0" collapsed="false">
      <c r="A78" s="6" t="s">
        <v>97</v>
      </c>
      <c r="B78" s="7" t="s">
        <v>22</v>
      </c>
      <c r="C78" s="8" t="n">
        <f aca="false">L78</f>
        <v>46163</v>
      </c>
      <c r="D78" s="9" t="n">
        <v>45512</v>
      </c>
      <c r="E78" s="10" t="n">
        <v>46174</v>
      </c>
      <c r="F78" s="11" t="n">
        <f aca="false">(E78-D78)/7</f>
        <v>94.5714285714286</v>
      </c>
      <c r="G78" s="11" t="n">
        <f aca="true">(TODAY()-D78)/7</f>
        <v>94.1428571428571</v>
      </c>
      <c r="H78" s="12" t="n">
        <v>124</v>
      </c>
      <c r="I78" s="12" t="n">
        <v>124</v>
      </c>
      <c r="J78" s="13" t="n">
        <f aca="false">IFERROR(((G78*H78)/F78)-I78,"")</f>
        <v>-0.561933534743247</v>
      </c>
      <c r="K78" s="12" t="str">
        <f aca="false">IF(J78&lt;-10,"MUITO ADIANTADO",IF(J78&lt;-6,"ADIANTADO",IF(J78&lt;6,"EM DIAS",IF(J78&lt;12,"ATRASADO","MUITO ATRASADO"))))</f>
        <v>EM DIAS</v>
      </c>
      <c r="L78" s="9" t="n">
        <v>46163</v>
      </c>
      <c r="M78" s="6" t="n">
        <f aca="true">TODAY()-L78</f>
        <v>8</v>
      </c>
      <c r="N78" s="1" t="str">
        <f aca="false">IF(M78&lt;8,"VERIFICADO",IF(M78&lt;15,"VERIFICAR","VERIFICAR URGENTE"))</f>
        <v>VERIFICAR</v>
      </c>
    </row>
    <row r="79" customFormat="false" ht="15" hidden="false" customHeight="false" outlineLevel="0" collapsed="false">
      <c r="A79" s="6" t="s">
        <v>98</v>
      </c>
      <c r="B79" s="7" t="s">
        <v>15</v>
      </c>
      <c r="C79" s="8" t="n">
        <f aca="false">L79</f>
        <v>46165</v>
      </c>
      <c r="D79" s="9" t="n">
        <v>46051</v>
      </c>
      <c r="E79" s="10" t="n">
        <v>46905</v>
      </c>
      <c r="F79" s="11" t="n">
        <f aca="false">(E79-D79)/7</f>
        <v>122</v>
      </c>
      <c r="G79" s="11" t="n">
        <f aca="true">(TODAY()-D79)/7</f>
        <v>17.1428571428571</v>
      </c>
      <c r="H79" s="12" t="n">
        <v>128</v>
      </c>
      <c r="I79" s="12" t="n">
        <v>27</v>
      </c>
      <c r="J79" s="13" t="n">
        <f aca="false">IFERROR(((G79*H79)/F79)-I79,"")</f>
        <v>-9.01405152224825</v>
      </c>
      <c r="K79" s="12" t="str">
        <f aca="false">IF(J79&lt;-10,"MUITO ADIANTADO",IF(J79&lt;-6,"ADIANTADO",IF(J79&lt;6,"EM DIAS",IF(J79&lt;12,"ATRASADO","MUITO ATRASADO"))))</f>
        <v>ADIANTADO</v>
      </c>
      <c r="L79" s="9" t="n">
        <v>46165</v>
      </c>
      <c r="M79" s="6" t="n">
        <f aca="true">TODAY()-L79</f>
        <v>6</v>
      </c>
      <c r="N79" s="1" t="str">
        <f aca="false">IF(M79&lt;8,"VERIFICADO",IF(M79&lt;15,"VERIFICAR","VERIFICAR URGENTE"))</f>
        <v>VERIFICADO</v>
      </c>
    </row>
    <row r="80" customFormat="false" ht="15" hidden="false" customHeight="false" outlineLevel="0" collapsed="false">
      <c r="A80" s="6" t="s">
        <v>99</v>
      </c>
      <c r="B80" s="7" t="s">
        <v>24</v>
      </c>
      <c r="C80" s="8" t="n">
        <f aca="false">L80</f>
        <v>46163</v>
      </c>
      <c r="D80" s="9" t="n">
        <v>45777</v>
      </c>
      <c r="E80" s="10" t="n">
        <v>46832</v>
      </c>
      <c r="F80" s="11" t="n">
        <f aca="false">(E80-D80)/7</f>
        <v>150.714285714286</v>
      </c>
      <c r="G80" s="11" t="n">
        <f aca="true">(TODAY()-D80)/7</f>
        <v>56.2857142857143</v>
      </c>
      <c r="H80" s="12" t="n">
        <v>176</v>
      </c>
      <c r="I80" s="12" t="n">
        <v>58</v>
      </c>
      <c r="J80" s="13" t="n">
        <f aca="false">IFERROR(((G80*H80)/F80)-I80,"")</f>
        <v>7.7289099526065</v>
      </c>
      <c r="K80" s="12" t="str">
        <f aca="false">IF(J80&lt;-10,"MUITO ADIANTADO",IF(J80&lt;-6,"ADIANTADO",IF(J80&lt;6,"EM DIAS",IF(J80&lt;12,"ATRASADO","MUITO ATRASADO"))))</f>
        <v>ATRASADO</v>
      </c>
      <c r="L80" s="9" t="n">
        <v>46163</v>
      </c>
      <c r="M80" s="6" t="n">
        <f aca="true">TODAY()-L80</f>
        <v>8</v>
      </c>
      <c r="N80" s="1" t="str">
        <f aca="false">IF(M80&lt;8,"VERIFICADO",IF(M80&lt;15,"VERIFICAR","VERIFICAR URGENTE"))</f>
        <v>VERIFICAR</v>
      </c>
    </row>
    <row r="81" customFormat="false" ht="15" hidden="false" customHeight="false" outlineLevel="0" collapsed="false">
      <c r="A81" s="6" t="s">
        <v>100</v>
      </c>
      <c r="B81" s="7" t="s">
        <v>24</v>
      </c>
      <c r="C81" s="8" t="n">
        <f aca="false">L81</f>
        <v>46162</v>
      </c>
      <c r="D81" s="9" t="n">
        <v>45973</v>
      </c>
      <c r="E81" s="10" t="n">
        <v>47016</v>
      </c>
      <c r="F81" s="11" t="n">
        <f aca="false">(E81-D81)/7</f>
        <v>149</v>
      </c>
      <c r="G81" s="11" t="n">
        <f aca="true">(TODAY()-D81)/7</f>
        <v>28.2857142857143</v>
      </c>
      <c r="H81" s="12" t="n">
        <v>144</v>
      </c>
      <c r="I81" s="12" t="n">
        <v>24</v>
      </c>
      <c r="J81" s="13" t="n">
        <f aca="false">IFERROR(((G81*H81)/F81)-I81,"")</f>
        <v>3.33652924256951</v>
      </c>
      <c r="K81" s="12" t="str">
        <f aca="false">IF(J81&lt;-10,"MUITO ADIANTADO",IF(J81&lt;-6,"ADIANTADO",IF(J81&lt;6,"EM DIAS",IF(J81&lt;12,"ATRASADO","MUITO ATRASADO"))))</f>
        <v>EM DIAS</v>
      </c>
      <c r="L81" s="9" t="n">
        <v>46162</v>
      </c>
      <c r="M81" s="6" t="n">
        <f aca="true">TODAY()-L81</f>
        <v>9</v>
      </c>
      <c r="N81" s="1" t="str">
        <f aca="false">IF(M81&lt;8,"VERIFICADO",IF(M81&lt;15,"VERIFICAR","VERIFICAR URGENTE"))</f>
        <v>VERIFICAR</v>
      </c>
    </row>
    <row r="82" customFormat="false" ht="15" hidden="false" customHeight="false" outlineLevel="0" collapsed="false">
      <c r="A82" s="6" t="s">
        <v>101</v>
      </c>
      <c r="B82" s="7" t="s">
        <v>15</v>
      </c>
      <c r="C82" s="8" t="n">
        <f aca="false">L82</f>
        <v>46161</v>
      </c>
      <c r="D82" s="9" t="n">
        <v>46077</v>
      </c>
      <c r="E82" s="10" t="n">
        <v>46762</v>
      </c>
      <c r="F82" s="11" t="n">
        <f aca="false">(E82-D82)/7</f>
        <v>97.8571428571429</v>
      </c>
      <c r="G82" s="11" t="n">
        <f aca="true">(TODAY()-D82)/7</f>
        <v>13.4285714285714</v>
      </c>
      <c r="H82" s="12" t="n">
        <v>112</v>
      </c>
      <c r="I82" s="12" t="n">
        <v>9</v>
      </c>
      <c r="J82" s="13" t="n">
        <f aca="false">IFERROR(((G82*H82)/F82)-I82,"")</f>
        <v>6.36934306569342</v>
      </c>
      <c r="K82" s="12" t="str">
        <f aca="false">IF(J82&lt;-10,"MUITO ADIANTADO",IF(J82&lt;-6,"ADIANTADO",IF(J82&lt;6,"EM DIAS",IF(J82&lt;12,"ATRASADO","MUITO ATRASADO"))))</f>
        <v>ATRASADO</v>
      </c>
      <c r="L82" s="9" t="n">
        <v>46161</v>
      </c>
      <c r="M82" s="6" t="n">
        <f aca="true">TODAY()-L82</f>
        <v>10</v>
      </c>
      <c r="N82" s="1" t="str">
        <f aca="false">IF(M82&lt;8,"VERIFICADO",IF(M82&lt;15,"VERIFICAR","VERIFICAR URGENTE"))</f>
        <v>VERIFICAR</v>
      </c>
    </row>
    <row r="83" customFormat="false" ht="15" hidden="false" customHeight="false" outlineLevel="0" collapsed="false">
      <c r="A83" s="6" t="s">
        <v>102</v>
      </c>
      <c r="B83" s="7" t="s">
        <v>24</v>
      </c>
      <c r="C83" s="8" t="n">
        <f aca="false">L83</f>
        <v>46162</v>
      </c>
      <c r="D83" s="9" t="n">
        <v>46099</v>
      </c>
      <c r="E83" s="10" t="n">
        <v>46772</v>
      </c>
      <c r="F83" s="11" t="n">
        <f aca="false">(E83-D83)/7</f>
        <v>96.1428571428571</v>
      </c>
      <c r="G83" s="11" t="n">
        <f aca="true">(TODAY()-D83)/7</f>
        <v>10.2857142857143</v>
      </c>
      <c r="H83" s="12" t="n">
        <v>112</v>
      </c>
      <c r="I83" s="12" t="n">
        <v>7</v>
      </c>
      <c r="J83" s="13" t="n">
        <f aca="false">IFERROR(((G83*H83)/F83)-I83,"")</f>
        <v>4.98216939078752</v>
      </c>
      <c r="K83" s="12" t="str">
        <f aca="false">IF(J83&lt;-10,"MUITO ADIANTADO",IF(J83&lt;-6,"ADIANTADO",IF(J83&lt;6,"EM DIAS",IF(J83&lt;12,"ATRASADO","MUITO ATRASADO"))))</f>
        <v>EM DIAS</v>
      </c>
      <c r="L83" s="9" t="n">
        <v>46162</v>
      </c>
      <c r="M83" s="6" t="n">
        <f aca="true">TODAY()-L83</f>
        <v>9</v>
      </c>
      <c r="N83" s="1" t="str">
        <f aca="false">IF(M83&lt;8,"VERIFICADO",IF(M83&lt;15,"VERIFICAR","VERIFICAR URGENTE"))</f>
        <v>VERIFICAR</v>
      </c>
    </row>
    <row r="84" customFormat="false" ht="15" hidden="false" customHeight="false" outlineLevel="0" collapsed="false">
      <c r="A84" s="6" t="s">
        <v>103</v>
      </c>
      <c r="B84" s="7" t="s">
        <v>22</v>
      </c>
      <c r="C84" s="8" t="n">
        <f aca="false">L84</f>
        <v>46161</v>
      </c>
      <c r="D84" s="9" t="n">
        <v>46063</v>
      </c>
      <c r="E84" s="10" t="n">
        <v>46487</v>
      </c>
      <c r="F84" s="11" t="n">
        <f aca="false">(E84-D84)/7</f>
        <v>60.5714285714286</v>
      </c>
      <c r="G84" s="11" t="n">
        <f aca="true">(TODAY()-D84)/7</f>
        <v>15.4285714285714</v>
      </c>
      <c r="H84" s="12" t="n">
        <v>68</v>
      </c>
      <c r="I84" s="12" t="n">
        <v>14</v>
      </c>
      <c r="J84" s="13" t="n">
        <f aca="false">IFERROR(((G84*H84)/F84)-I84,"")</f>
        <v>3.32075471698112</v>
      </c>
      <c r="K84" s="12" t="str">
        <f aca="false">IF(J84&lt;-10,"MUITO ADIANTADO",IF(J84&lt;-6,"ADIANTADO",IF(J84&lt;6,"EM DIAS",IF(J84&lt;12,"ATRASADO","MUITO ATRASADO"))))</f>
        <v>EM DIAS</v>
      </c>
      <c r="L84" s="9" t="n">
        <v>46161</v>
      </c>
      <c r="M84" s="6" t="n">
        <f aca="true">TODAY()-L84</f>
        <v>10</v>
      </c>
      <c r="N84" s="1" t="str">
        <f aca="false">IF(M84&lt;8,"VERIFICADO",IF(M84&lt;15,"VERIFICAR","VERIFICAR URGENTE"))</f>
        <v>VERIFICAR</v>
      </c>
    </row>
    <row r="85" customFormat="false" ht="15" hidden="false" customHeight="false" outlineLevel="0" collapsed="false">
      <c r="A85" s="6" t="s">
        <v>104</v>
      </c>
      <c r="B85" s="7" t="s">
        <v>17</v>
      </c>
      <c r="C85" s="8" t="n">
        <f aca="false">L85</f>
        <v>46160</v>
      </c>
      <c r="D85" s="9" t="n">
        <v>45684</v>
      </c>
      <c r="E85" s="10" t="n">
        <v>46356</v>
      </c>
      <c r="F85" s="11" t="n">
        <f aca="false">(E85-D85)/7</f>
        <v>96</v>
      </c>
      <c r="G85" s="11" t="n">
        <f aca="true">(TODAY()-D85)/7</f>
        <v>69.5714285714286</v>
      </c>
      <c r="H85" s="12" t="n">
        <v>97</v>
      </c>
      <c r="I85" s="12" t="n">
        <v>80</v>
      </c>
      <c r="J85" s="13" t="n">
        <f aca="false">IFERROR(((G85*H85)/F85)-I85,"")</f>
        <v>-9.70386904761905</v>
      </c>
      <c r="K85" s="12" t="str">
        <f aca="false">IF(J85&lt;-10,"MUITO ADIANTADO",IF(J85&lt;-6,"ADIANTADO",IF(J85&lt;6,"EM DIAS",IF(J85&lt;12,"ATRASADO","MUITO ATRASADO"))))</f>
        <v>ADIANTADO</v>
      </c>
      <c r="L85" s="9" t="n">
        <v>46160</v>
      </c>
      <c r="M85" s="6" t="n">
        <f aca="true">TODAY()-L85</f>
        <v>11</v>
      </c>
      <c r="N85" s="1" t="str">
        <f aca="false">IF(M85&lt;8,"VERIFICADO",IF(M85&lt;15,"VERIFICAR","VERIFICAR URGENTE"))</f>
        <v>VERIFICAR</v>
      </c>
    </row>
    <row r="86" customFormat="false" ht="15" hidden="false" customHeight="false" outlineLevel="0" collapsed="false">
      <c r="A86" s="6" t="s">
        <v>105</v>
      </c>
      <c r="B86" s="7" t="s">
        <v>19</v>
      </c>
      <c r="C86" s="8" t="n">
        <f aca="false">L86</f>
        <v>46163</v>
      </c>
      <c r="D86" s="9" t="n">
        <v>45994</v>
      </c>
      <c r="E86" s="10" t="n">
        <v>46266</v>
      </c>
      <c r="F86" s="11" t="n">
        <f aca="false">(E86-D86)/7</f>
        <v>38.8571428571429</v>
      </c>
      <c r="G86" s="11" t="n">
        <f aca="true">(TODAY()-D86)/7</f>
        <v>25.2857142857143</v>
      </c>
      <c r="H86" s="12" t="n">
        <v>96</v>
      </c>
      <c r="I86" s="12" t="n">
        <v>64</v>
      </c>
      <c r="J86" s="13" t="n">
        <f aca="false">IFERROR(((G86*H86)/F86)-I86,"")</f>
        <v>-1.52941176470594</v>
      </c>
      <c r="K86" s="12" t="str">
        <f aca="false">IF(J86&lt;-10,"MUITO ADIANTADO",IF(J86&lt;-6,"ADIANTADO",IF(J86&lt;6,"EM DIAS",IF(J86&lt;12,"ATRASADO","MUITO ATRASADO"))))</f>
        <v>EM DIAS</v>
      </c>
      <c r="L86" s="9" t="n">
        <v>46163</v>
      </c>
      <c r="M86" s="6" t="n">
        <f aca="true">TODAY()-L86</f>
        <v>8</v>
      </c>
      <c r="N86" s="1" t="str">
        <f aca="false">IF(M86&lt;8,"VERIFICADO",IF(M86&lt;15,"VERIFICAR","VERIFICAR URGENTE"))</f>
        <v>VERIFICAR</v>
      </c>
    </row>
    <row r="87" customFormat="false" ht="15" hidden="false" customHeight="false" outlineLevel="0" collapsed="false">
      <c r="A87" s="6" t="s">
        <v>106</v>
      </c>
      <c r="B87" s="7" t="s">
        <v>22</v>
      </c>
      <c r="C87" s="8" t="n">
        <f aca="false">L87</f>
        <v>46162</v>
      </c>
      <c r="D87" s="9" t="n">
        <v>45698</v>
      </c>
      <c r="E87" s="10" t="n">
        <v>46244</v>
      </c>
      <c r="F87" s="11" t="n">
        <f aca="false">(E87-D87)/7</f>
        <v>78</v>
      </c>
      <c r="G87" s="11" t="n">
        <f aca="true">(TODAY()-D87)/7</f>
        <v>67.5714285714286</v>
      </c>
      <c r="H87" s="12" t="n">
        <v>80</v>
      </c>
      <c r="I87" s="12" t="n">
        <v>60</v>
      </c>
      <c r="J87" s="13" t="n">
        <f aca="false">IFERROR(((G87*H87)/F87)-I87,"")</f>
        <v>9.3040293040293</v>
      </c>
      <c r="K87" s="12" t="str">
        <f aca="false">IF(J87&lt;-10,"MUITO ADIANTADO",IF(J87&lt;-6,"ADIANTADO",IF(J87&lt;6,"EM DIAS",IF(J87&lt;12,"ATRASADO","MUITO ATRASADO"))))</f>
        <v>ATRASADO</v>
      </c>
      <c r="L87" s="9" t="n">
        <v>46162</v>
      </c>
      <c r="M87" s="6" t="n">
        <f aca="true">TODAY()-L87</f>
        <v>9</v>
      </c>
      <c r="N87" s="1" t="str">
        <f aca="false">IF(M87&lt;8,"VERIFICADO",IF(M87&lt;15,"VERIFICAR","VERIFICAR URGENTE"))</f>
        <v>VERIFICAR</v>
      </c>
    </row>
    <row r="88" customFormat="false" ht="15" hidden="false" customHeight="false" outlineLevel="0" collapsed="false">
      <c r="A88" s="6" t="s">
        <v>107</v>
      </c>
      <c r="B88" s="7" t="s">
        <v>24</v>
      </c>
      <c r="C88" s="8" t="n">
        <f aca="false">L88</f>
        <v>46164</v>
      </c>
      <c r="D88" s="9" t="n">
        <v>45405</v>
      </c>
      <c r="E88" s="10" t="n">
        <v>46172</v>
      </c>
      <c r="F88" s="11" t="n">
        <f aca="false">(E88-D88)/7</f>
        <v>109.571428571429</v>
      </c>
      <c r="G88" s="11" t="n">
        <f aca="true">(TODAY()-D88)/7</f>
        <v>109.428571428571</v>
      </c>
      <c r="H88" s="12" t="n">
        <v>176</v>
      </c>
      <c r="I88" s="12" t="n">
        <v>170</v>
      </c>
      <c r="J88" s="13" t="n">
        <f aca="false">IFERROR(((G88*H88)/F88)-I88,"")</f>
        <v>5.7705345501949</v>
      </c>
      <c r="K88" s="12" t="str">
        <f aca="false">IF(J88&lt;-10,"MUITO ADIANTADO",IF(J88&lt;-6,"ADIANTADO",IF(J88&lt;6,"EM DIAS",IF(J88&lt;12,"ATRASADO","MUITO ATRASADO"))))</f>
        <v>EM DIAS</v>
      </c>
      <c r="L88" s="9" t="n">
        <v>46164</v>
      </c>
      <c r="M88" s="6" t="n">
        <f aca="true">TODAY()-L88</f>
        <v>7</v>
      </c>
      <c r="N88" s="1" t="str">
        <f aca="false">IF(M88&lt;8,"VERIFICADO",IF(M88&lt;15,"VERIFICAR","VERIFICAR URGENTE"))</f>
        <v>VERIFICADO</v>
      </c>
    </row>
    <row r="89" customFormat="false" ht="15" hidden="false" customHeight="false" outlineLevel="0" collapsed="false">
      <c r="A89" s="6" t="s">
        <v>107</v>
      </c>
      <c r="B89" s="7" t="s">
        <v>65</v>
      </c>
      <c r="C89" s="8" t="n">
        <f aca="false">L89</f>
        <v>46177</v>
      </c>
      <c r="D89" s="9" t="n">
        <v>46177</v>
      </c>
      <c r="E89" s="10" t="n">
        <v>47887</v>
      </c>
      <c r="F89" s="11" t="n">
        <f aca="false">(E89-D89)/7</f>
        <v>244.285714285714</v>
      </c>
      <c r="G89" s="11" t="n">
        <f aca="true">(TODAY()-D89)/7</f>
        <v>-0.857142857142857</v>
      </c>
      <c r="H89" s="12" t="n">
        <v>200</v>
      </c>
      <c r="I89" s="12" t="n">
        <v>0</v>
      </c>
      <c r="J89" s="13" t="n">
        <f aca="false">IFERROR(((G89*H89)/F89)-I89,"")</f>
        <v>-0.701754385964913</v>
      </c>
      <c r="K89" s="12" t="str">
        <f aca="false">IF(J89&lt;-10,"MUITO ADIANTADO",IF(J89&lt;-6,"ADIANTADO",IF(J89&lt;6,"EM DIAS",IF(J89&lt;12,"ATRASADO","MUITO ATRASADO"))))</f>
        <v>EM DIAS</v>
      </c>
      <c r="L89" s="9" t="n">
        <v>46177</v>
      </c>
      <c r="M89" s="6" t="n">
        <f aca="true">TODAY()-L89</f>
        <v>-6</v>
      </c>
      <c r="N89" s="1" t="str">
        <f aca="false">IF(M89&lt;8,"VERIFICADO",IF(M89&lt;15,"VERIFICAR","VERIFICAR URGENTE"))</f>
        <v>VERIFICADO</v>
      </c>
    </row>
    <row r="90" customFormat="false" ht="15" hidden="false" customHeight="false" outlineLevel="0" collapsed="false">
      <c r="A90" s="6" t="s">
        <v>108</v>
      </c>
      <c r="B90" s="7" t="s">
        <v>19</v>
      </c>
      <c r="C90" s="8" t="n">
        <f aca="false">L90</f>
        <v>46163</v>
      </c>
      <c r="D90" s="9" t="n">
        <v>45908</v>
      </c>
      <c r="E90" s="10" t="n">
        <v>46614</v>
      </c>
      <c r="F90" s="11" t="n">
        <f aca="false">(E90-D90)/7</f>
        <v>100.857142857143</v>
      </c>
      <c r="G90" s="11" t="n">
        <f aca="true">(TODAY()-D90)/7</f>
        <v>37.5714285714286</v>
      </c>
      <c r="H90" s="12" t="n">
        <v>112</v>
      </c>
      <c r="I90" s="12" t="n">
        <v>42</v>
      </c>
      <c r="J90" s="13" t="n">
        <f aca="false">IFERROR(((G90*H90)/F90)-I90,"")</f>
        <v>-0.277620396600625</v>
      </c>
      <c r="K90" s="12" t="str">
        <f aca="false">IF(J90&lt;-10,"MUITO ADIANTADO",IF(J90&lt;-6,"ADIANTADO",IF(J90&lt;6,"EM DIAS",IF(J90&lt;12,"ATRASADO","MUITO ATRASADO"))))</f>
        <v>EM DIAS</v>
      </c>
      <c r="L90" s="9" t="n">
        <v>46163</v>
      </c>
      <c r="M90" s="6" t="n">
        <f aca="true">TODAY()-L90</f>
        <v>8</v>
      </c>
      <c r="N90" s="1" t="str">
        <f aca="false">IF(M90&lt;8,"VERIFICADO",IF(M90&lt;15,"VERIFICAR","VERIFICAR URGENTE"))</f>
        <v>VERIFICAR</v>
      </c>
    </row>
    <row r="91" customFormat="false" ht="15" hidden="false" customHeight="false" outlineLevel="0" collapsed="false">
      <c r="A91" s="6" t="s">
        <v>109</v>
      </c>
      <c r="B91" s="7" t="s">
        <v>17</v>
      </c>
      <c r="C91" s="8" t="n">
        <f aca="false">L91</f>
        <v>46162</v>
      </c>
      <c r="D91" s="9" t="n">
        <v>46035</v>
      </c>
      <c r="E91" s="10" t="n">
        <v>46186</v>
      </c>
      <c r="F91" s="11" t="n">
        <f aca="false">(E91-D91)/7</f>
        <v>21.5714285714286</v>
      </c>
      <c r="G91" s="11" t="n">
        <f aca="true">(TODAY()-D91)/7</f>
        <v>19.4285714285714</v>
      </c>
      <c r="H91" s="12" t="n">
        <v>48</v>
      </c>
      <c r="I91" s="12" t="n">
        <v>42</v>
      </c>
      <c r="J91" s="13" t="n">
        <f aca="false">IFERROR(((G91*H91)/F91)-I91,"")</f>
        <v>1.23178807947014</v>
      </c>
      <c r="K91" s="12" t="str">
        <f aca="false">IF(J91&lt;-10,"MUITO ADIANTADO",IF(J91&lt;-6,"ADIANTADO",IF(J91&lt;6,"EM DIAS",IF(J91&lt;12,"ATRASADO","MUITO ATRASADO"))))</f>
        <v>EM DIAS</v>
      </c>
      <c r="L91" s="9" t="n">
        <v>46162</v>
      </c>
      <c r="M91" s="6" t="n">
        <f aca="true">TODAY()-L91</f>
        <v>9</v>
      </c>
      <c r="N91" s="1" t="str">
        <f aca="false">IF(M91&lt;8,"VERIFICADO",IF(M91&lt;15,"VERIFICAR","VERIFICAR URGENTE"))</f>
        <v>VERIFICAR</v>
      </c>
    </row>
    <row r="92" customFormat="false" ht="15" hidden="false" customHeight="false" outlineLevel="0" collapsed="false">
      <c r="A92" s="6" t="s">
        <v>110</v>
      </c>
      <c r="B92" s="7" t="s">
        <v>24</v>
      </c>
      <c r="C92" s="8" t="n">
        <f aca="false">L92</f>
        <v>46163</v>
      </c>
      <c r="D92" s="9" t="n">
        <v>46142</v>
      </c>
      <c r="E92" s="10" t="n">
        <v>47486</v>
      </c>
      <c r="F92" s="11" t="n">
        <f aca="false">(E92-D92)/7</f>
        <v>192</v>
      </c>
      <c r="G92" s="11" t="n">
        <f aca="true">(TODAY()-D92)/7</f>
        <v>4.14285714285714</v>
      </c>
      <c r="H92" s="12" t="n">
        <v>80</v>
      </c>
      <c r="I92" s="12" t="n">
        <v>3</v>
      </c>
      <c r="J92" s="13" t="n">
        <f aca="false">IFERROR(((G92*H92)/F92)-I92,"")</f>
        <v>-1.27380952380952</v>
      </c>
      <c r="K92" s="12" t="str">
        <f aca="false">IF(J92&lt;-10,"MUITO ADIANTADO",IF(J92&lt;-6,"ADIANTADO",IF(J92&lt;6,"EM DIAS",IF(J92&lt;12,"ATRASADO","MUITO ATRASADO"))))</f>
        <v>EM DIAS</v>
      </c>
      <c r="L92" s="9" t="n">
        <v>46163</v>
      </c>
      <c r="M92" s="6" t="n">
        <f aca="true">TODAY()-L92</f>
        <v>8</v>
      </c>
      <c r="N92" s="1" t="str">
        <f aca="false">IF(M92&lt;8,"VERIFICADO",IF(M92&lt;15,"VERIFICAR","VERIFICAR URGENTE"))</f>
        <v>VERIFICAR</v>
      </c>
    </row>
    <row r="93" customFormat="false" ht="15" hidden="false" customHeight="false" outlineLevel="0" collapsed="false">
      <c r="A93" s="6" t="s">
        <v>111</v>
      </c>
      <c r="B93" s="7" t="s">
        <v>15</v>
      </c>
      <c r="C93" s="8" t="n">
        <f aca="false">L93</f>
        <v>46161</v>
      </c>
      <c r="D93" s="9" t="n">
        <v>45790</v>
      </c>
      <c r="E93" s="10" t="n">
        <v>46296</v>
      </c>
      <c r="F93" s="11" t="n">
        <f aca="false">(E93-D93)/7</f>
        <v>72.2857142857143</v>
      </c>
      <c r="G93" s="11" t="n">
        <f aca="true">(TODAY()-D93)/7</f>
        <v>54.4285714285714</v>
      </c>
      <c r="H93" s="12" t="n">
        <v>80</v>
      </c>
      <c r="I93" s="12" t="n">
        <v>60</v>
      </c>
      <c r="J93" s="13" t="n">
        <f aca="false">IFERROR(((G93*H93)/F93)-I93,"")</f>
        <v>0.237154150197618</v>
      </c>
      <c r="K93" s="12" t="str">
        <f aca="false">IF(J93&lt;-10,"MUITO ADIANTADO",IF(J93&lt;-6,"ADIANTADO",IF(J93&lt;6,"EM DIAS",IF(J93&lt;12,"ATRASADO","MUITO ATRASADO"))))</f>
        <v>EM DIAS</v>
      </c>
      <c r="L93" s="9" t="n">
        <v>46161</v>
      </c>
      <c r="M93" s="6" t="n">
        <f aca="true">TODAY()-L93</f>
        <v>10</v>
      </c>
      <c r="N93" s="1" t="str">
        <f aca="false">IF(M93&lt;8,"VERIFICADO",IF(M93&lt;15,"VERIFICAR","VERIFICAR URGENTE"))</f>
        <v>VERIFICAR</v>
      </c>
    </row>
    <row r="94" customFormat="false" ht="15" hidden="false" customHeight="false" outlineLevel="0" collapsed="false">
      <c r="A94" s="6" t="s">
        <v>112</v>
      </c>
      <c r="B94" s="7" t="s">
        <v>17</v>
      </c>
      <c r="C94" s="8" t="n">
        <f aca="false">L94</f>
        <v>46157</v>
      </c>
      <c r="D94" s="9" t="n">
        <v>45752</v>
      </c>
      <c r="E94" s="10" t="n">
        <v>46264</v>
      </c>
      <c r="F94" s="11" t="n">
        <f aca="false">(E94-D94)/7</f>
        <v>73.1428571428571</v>
      </c>
      <c r="G94" s="11" t="n">
        <f aca="true">(TODAY()-D94)/7</f>
        <v>59.8571428571429</v>
      </c>
      <c r="H94" s="12" t="n">
        <v>48</v>
      </c>
      <c r="I94" s="12" t="n">
        <v>31</v>
      </c>
      <c r="J94" s="13" t="n">
        <f aca="false">IFERROR(((G94*H94)/F94)-I94,"")</f>
        <v>8.28125000000002</v>
      </c>
      <c r="K94" s="12" t="str">
        <f aca="false">IF(J94&lt;-10,"MUITO ADIANTADO",IF(J94&lt;-6,"ADIANTADO",IF(J94&lt;6,"EM DIAS",IF(J94&lt;12,"ATRASADO","MUITO ATRASADO"))))</f>
        <v>ATRASADO</v>
      </c>
      <c r="L94" s="9" t="n">
        <v>46157</v>
      </c>
      <c r="M94" s="6" t="n">
        <f aca="true">TODAY()-L94</f>
        <v>14</v>
      </c>
      <c r="N94" s="1" t="str">
        <f aca="false">IF(M94&lt;8,"VERIFICADO",IF(M94&lt;15,"VERIFICAR","VERIFICAR URGENTE"))</f>
        <v>VERIFICAR</v>
      </c>
    </row>
    <row r="95" customFormat="false" ht="15" hidden="false" customHeight="false" outlineLevel="0" collapsed="false">
      <c r="A95" s="6" t="s">
        <v>113</v>
      </c>
      <c r="B95" s="7" t="s">
        <v>19</v>
      </c>
      <c r="C95" s="8" t="n">
        <f aca="false">L95</f>
        <v>46163</v>
      </c>
      <c r="D95" s="9" t="n">
        <v>45400</v>
      </c>
      <c r="E95" s="10" t="n">
        <v>46798</v>
      </c>
      <c r="F95" s="11" t="n">
        <f aca="false">(E95-D95)/7</f>
        <v>199.714285714286</v>
      </c>
      <c r="G95" s="11" t="n">
        <f aca="true">(TODAY()-D95)/7</f>
        <v>110.142857142857</v>
      </c>
      <c r="H95" s="12" t="n">
        <v>176</v>
      </c>
      <c r="I95" s="12" t="n">
        <v>176</v>
      </c>
      <c r="J95" s="13" t="n">
        <f aca="false">IFERROR(((G95*H95)/F95)-I95,"")</f>
        <v>-78.9356223175967</v>
      </c>
      <c r="K95" s="12" t="str">
        <f aca="false">IF(J95&lt;-10,"MUITO ADIANTADO",IF(J95&lt;-6,"ADIANTADO",IF(J95&lt;6,"EM DIAS",IF(J95&lt;12,"ATRASADO","MUITO ATRASADO"))))</f>
        <v>MUITO ADIANTADO</v>
      </c>
      <c r="L95" s="9" t="n">
        <v>46163</v>
      </c>
      <c r="M95" s="6" t="n">
        <f aca="true">TODAY()-L95</f>
        <v>8</v>
      </c>
      <c r="N95" s="1" t="str">
        <f aca="false">IF(M95&lt;8,"VERIFICADO",IF(M95&lt;15,"VERIFICAR","VERIFICAR URGENTE"))</f>
        <v>VERIFICAR</v>
      </c>
    </row>
    <row r="96" customFormat="false" ht="15" hidden="false" customHeight="false" outlineLevel="0" collapsed="false">
      <c r="A96" s="6" t="s">
        <v>114</v>
      </c>
      <c r="B96" s="7" t="s">
        <v>17</v>
      </c>
      <c r="C96" s="8" t="n">
        <f aca="false">L96</f>
        <v>46162</v>
      </c>
      <c r="D96" s="9" t="n">
        <v>45873</v>
      </c>
      <c r="E96" s="10" t="n">
        <v>46588</v>
      </c>
      <c r="F96" s="11" t="n">
        <f aca="false">(E96-D96)/7</f>
        <v>102.142857142857</v>
      </c>
      <c r="G96" s="11" t="n">
        <f aca="true">(TODAY()-D96)/7</f>
        <v>42.5714285714286</v>
      </c>
      <c r="H96" s="12" t="n">
        <v>96</v>
      </c>
      <c r="I96" s="12" t="n">
        <v>37</v>
      </c>
      <c r="J96" s="13" t="n">
        <f aca="false">IFERROR(((G96*H96)/F96)-I96,"")</f>
        <v>3.01118881118887</v>
      </c>
      <c r="K96" s="12" t="str">
        <f aca="false">IF(J96&lt;-10,"MUITO ADIANTADO",IF(J96&lt;-6,"ADIANTADO",IF(J96&lt;6,"EM DIAS",IF(J96&lt;12,"ATRASADO","MUITO ATRASADO"))))</f>
        <v>EM DIAS</v>
      </c>
      <c r="L96" s="9" t="n">
        <v>46162</v>
      </c>
      <c r="M96" s="6" t="n">
        <f aca="true">TODAY()-L96</f>
        <v>9</v>
      </c>
      <c r="N96" s="1" t="str">
        <f aca="false">IF(M96&lt;8,"VERIFICADO",IF(M96&lt;15,"VERIFICAR","VERIFICAR URGENTE"))</f>
        <v>VERIFICAR</v>
      </c>
    </row>
    <row r="97" customFormat="false" ht="15" hidden="false" customHeight="false" outlineLevel="0" collapsed="false">
      <c r="A97" s="6" t="s">
        <v>115</v>
      </c>
      <c r="B97" s="7" t="s">
        <v>24</v>
      </c>
      <c r="C97" s="8" t="n">
        <f aca="false">L97</f>
        <v>46164</v>
      </c>
      <c r="D97" s="9" t="n">
        <v>45937</v>
      </c>
      <c r="E97" s="10" t="n">
        <v>46966</v>
      </c>
      <c r="F97" s="11" t="n">
        <f aca="false">(E97-D97)/7</f>
        <v>147</v>
      </c>
      <c r="G97" s="11" t="n">
        <f aca="true">(TODAY()-D97)/7</f>
        <v>33.4285714285714</v>
      </c>
      <c r="H97" s="12" t="n">
        <v>144</v>
      </c>
      <c r="I97" s="12" t="n">
        <v>40</v>
      </c>
      <c r="J97" s="13" t="n">
        <f aca="false">IFERROR(((G97*H97)/F97)-I97,"")</f>
        <v>-7.2536443148688</v>
      </c>
      <c r="K97" s="12" t="str">
        <f aca="false">IF(J97&lt;-10,"MUITO ADIANTADO",IF(J97&lt;-6,"ADIANTADO",IF(J97&lt;6,"EM DIAS",IF(J97&lt;12,"ATRASADO","MUITO ATRASADO"))))</f>
        <v>ADIANTADO</v>
      </c>
      <c r="L97" s="9" t="n">
        <v>46164</v>
      </c>
      <c r="M97" s="6" t="n">
        <f aca="true">TODAY()-L97</f>
        <v>7</v>
      </c>
      <c r="N97" s="1" t="str">
        <f aca="false">IF(M97&lt;8,"VERIFICADO",IF(M97&lt;15,"VERIFICAR","VERIFICAR URGENTE"))</f>
        <v>VERIFICADO</v>
      </c>
    </row>
    <row r="98" customFormat="false" ht="15" hidden="false" customHeight="false" outlineLevel="0" collapsed="false">
      <c r="A98" s="6" t="s">
        <v>116</v>
      </c>
      <c r="B98" s="7" t="s">
        <v>24</v>
      </c>
      <c r="C98" s="8" t="n">
        <f aca="false">L98</f>
        <v>46161</v>
      </c>
      <c r="D98" s="9" t="n">
        <v>46064</v>
      </c>
      <c r="E98" s="10" t="n">
        <v>46659</v>
      </c>
      <c r="F98" s="11" t="n">
        <f aca="false">(E98-D98)/7</f>
        <v>85</v>
      </c>
      <c r="G98" s="11" t="n">
        <f aca="true">(TODAY()-D98)/7</f>
        <v>15.2857142857143</v>
      </c>
      <c r="H98" s="12" t="n">
        <v>80</v>
      </c>
      <c r="I98" s="12" t="n">
        <v>18</v>
      </c>
      <c r="J98" s="13" t="n">
        <f aca="false">IFERROR(((G98*H98)/F98)-I98,"")</f>
        <v>-3.61344537815126</v>
      </c>
      <c r="K98" s="12" t="str">
        <f aca="false">IF(J98&lt;-10,"MUITO ADIANTADO",IF(J98&lt;-6,"ADIANTADO",IF(J98&lt;6,"EM DIAS",IF(J98&lt;12,"ATRASADO","MUITO ATRASADO"))))</f>
        <v>EM DIAS</v>
      </c>
      <c r="L98" s="9" t="n">
        <v>46161</v>
      </c>
      <c r="M98" s="6" t="n">
        <f aca="true">TODAY()-L98</f>
        <v>10</v>
      </c>
      <c r="N98" s="1" t="str">
        <f aca="false">IF(M98&lt;8,"VERIFICADO",IF(M98&lt;15,"VERIFICAR","VERIFICAR URGENTE"))</f>
        <v>VERIFICAR</v>
      </c>
    </row>
    <row r="99" customFormat="false" ht="15" hidden="false" customHeight="false" outlineLevel="0" collapsed="false">
      <c r="A99" s="6" t="s">
        <v>117</v>
      </c>
      <c r="B99" s="7" t="s">
        <v>17</v>
      </c>
      <c r="C99" s="8" t="n">
        <f aca="false">L99</f>
        <v>46162</v>
      </c>
      <c r="D99" s="9" t="n">
        <v>46093</v>
      </c>
      <c r="E99" s="10" t="n">
        <v>46762</v>
      </c>
      <c r="F99" s="11" t="n">
        <f aca="false">(E99-D99)/7</f>
        <v>95.5714285714286</v>
      </c>
      <c r="G99" s="11" t="n">
        <f aca="true">(TODAY()-D99)/7</f>
        <v>11.1428571428571</v>
      </c>
      <c r="H99" s="12" t="n">
        <v>122</v>
      </c>
      <c r="I99" s="12" t="n">
        <v>17</v>
      </c>
      <c r="J99" s="13" t="n">
        <f aca="false">IFERROR(((G99*H99)/F99)-I99,"")</f>
        <v>-2.77578475336323</v>
      </c>
      <c r="K99" s="12" t="str">
        <f aca="false">IF(J99&lt;-10,"MUITO ADIANTADO",IF(J99&lt;-6,"ADIANTADO",IF(J99&lt;6,"EM DIAS",IF(J99&lt;12,"ATRASADO","MUITO ATRASADO"))))</f>
        <v>EM DIAS</v>
      </c>
      <c r="L99" s="9" t="n">
        <v>46162</v>
      </c>
      <c r="M99" s="6" t="n">
        <f aca="true">TODAY()-L99</f>
        <v>9</v>
      </c>
      <c r="N99" s="1" t="str">
        <f aca="false">IF(M99&lt;8,"VERIFICADO",IF(M99&lt;15,"VERIFICAR","VERIFICAR URGENTE"))</f>
        <v>VERIFICAR</v>
      </c>
    </row>
    <row r="100" customFormat="false" ht="15" hidden="false" customHeight="false" outlineLevel="0" collapsed="false">
      <c r="A100" s="6" t="s">
        <v>118</v>
      </c>
      <c r="B100" s="7" t="s">
        <v>19</v>
      </c>
      <c r="C100" s="8" t="n">
        <f aca="false">L100</f>
        <v>46163</v>
      </c>
      <c r="D100" s="9" t="n">
        <v>45884</v>
      </c>
      <c r="E100" s="10" t="n">
        <v>46172</v>
      </c>
      <c r="F100" s="11" t="n">
        <f aca="false">(E100-D100)/7</f>
        <v>41.1428571428571</v>
      </c>
      <c r="G100" s="11" t="n">
        <f aca="true">(TODAY()-D100)/7</f>
        <v>41</v>
      </c>
      <c r="H100" s="12" t="n">
        <v>48</v>
      </c>
      <c r="I100" s="12" t="n">
        <v>44</v>
      </c>
      <c r="J100" s="13" t="n">
        <f aca="false">IFERROR(((G100*H100)/F100)-I100,"")</f>
        <v>3.83333333333338</v>
      </c>
      <c r="K100" s="12" t="str">
        <f aca="false">IF(J100&lt;-10,"MUITO ADIANTADO",IF(J100&lt;-6,"ADIANTADO",IF(J100&lt;6,"EM DIAS",IF(J100&lt;12,"ATRASADO","MUITO ATRASADO"))))</f>
        <v>EM DIAS</v>
      </c>
      <c r="L100" s="9" t="n">
        <v>46163</v>
      </c>
      <c r="M100" s="6" t="n">
        <f aca="true">TODAY()-L100</f>
        <v>8</v>
      </c>
      <c r="N100" s="1" t="str">
        <f aca="false">IF(M100&lt;8,"VERIFICADO",IF(M100&lt;15,"VERIFICAR","VERIFICAR URGENTE"))</f>
        <v>VERIFICAR</v>
      </c>
    </row>
    <row r="101" customFormat="false" ht="15" hidden="false" customHeight="false" outlineLevel="0" collapsed="false">
      <c r="A101" s="6" t="s">
        <v>119</v>
      </c>
      <c r="B101" s="7" t="s">
        <v>22</v>
      </c>
      <c r="C101" s="8" t="n">
        <f aca="false">L101</f>
        <v>46161</v>
      </c>
      <c r="D101" s="9" t="n">
        <v>45892</v>
      </c>
      <c r="E101" s="10" t="n">
        <v>46357</v>
      </c>
      <c r="F101" s="11" t="n">
        <f aca="false">(E101-D101)/7</f>
        <v>66.4285714285714</v>
      </c>
      <c r="G101" s="11" t="n">
        <f aca="true">(TODAY()-D101)/7</f>
        <v>39.8571428571429</v>
      </c>
      <c r="H101" s="12" t="n">
        <v>64</v>
      </c>
      <c r="I101" s="12" t="n">
        <v>36</v>
      </c>
      <c r="J101" s="13" t="n">
        <f aca="false">IFERROR(((G101*H101)/F101)-I101,"")</f>
        <v>2.40000000000001</v>
      </c>
      <c r="K101" s="12" t="str">
        <f aca="false">IF(J101&lt;-10,"MUITO ADIANTADO",IF(J101&lt;-6,"ADIANTADO",IF(J101&lt;6,"EM DIAS",IF(J101&lt;12,"ATRASADO","MUITO ATRASADO"))))</f>
        <v>EM DIAS</v>
      </c>
      <c r="L101" s="9" t="n">
        <v>46161</v>
      </c>
      <c r="M101" s="6" t="n">
        <f aca="true">TODAY()-L101</f>
        <v>10</v>
      </c>
      <c r="N101" s="1" t="str">
        <f aca="false">IF(M101&lt;8,"VERIFICADO",IF(M101&lt;15,"VERIFICAR","VERIFICAR URGENTE"))</f>
        <v>VERIFICAR</v>
      </c>
    </row>
    <row r="102" customFormat="false" ht="15" hidden="false" customHeight="false" outlineLevel="0" collapsed="false">
      <c r="A102" s="6" t="s">
        <v>120</v>
      </c>
      <c r="B102" s="7" t="s">
        <v>22</v>
      </c>
      <c r="C102" s="8" t="n">
        <f aca="false">L102</f>
        <v>46160</v>
      </c>
      <c r="D102" s="9" t="n">
        <v>45817</v>
      </c>
      <c r="E102" s="10" t="n">
        <v>46600</v>
      </c>
      <c r="F102" s="11" t="n">
        <f aca="false">(E102-D102)/7</f>
        <v>111.857142857143</v>
      </c>
      <c r="G102" s="11" t="n">
        <f aca="true">(TODAY()-D102)/7</f>
        <v>50.5714285714286</v>
      </c>
      <c r="H102" s="12" t="n">
        <v>160</v>
      </c>
      <c r="I102" s="12" t="n">
        <v>69</v>
      </c>
      <c r="J102" s="13" t="n">
        <f aca="false">IFERROR(((G102*H102)/F102)-I102,"")</f>
        <v>3.33716475095775</v>
      </c>
      <c r="K102" s="12" t="str">
        <f aca="false">IF(J102&lt;-10,"MUITO ADIANTADO",IF(J102&lt;-6,"ADIANTADO",IF(J102&lt;6,"EM DIAS",IF(J102&lt;12,"ATRASADO","MUITO ATRASADO"))))</f>
        <v>EM DIAS</v>
      </c>
      <c r="L102" s="9" t="n">
        <v>46160</v>
      </c>
      <c r="M102" s="6" t="n">
        <f aca="true">TODAY()-L102</f>
        <v>11</v>
      </c>
      <c r="N102" s="1" t="str">
        <f aca="false">IF(M102&lt;8,"VERIFICADO",IF(M102&lt;15,"VERIFICAR","VERIFICAR URGENTE"))</f>
        <v>VERIFICAR</v>
      </c>
    </row>
    <row r="103" customFormat="false" ht="15" hidden="false" customHeight="false" outlineLevel="0" collapsed="false">
      <c r="A103" s="6" t="s">
        <v>121</v>
      </c>
      <c r="B103" s="7" t="s">
        <v>19</v>
      </c>
      <c r="C103" s="8" t="n">
        <f aca="false">L103</f>
        <v>46163</v>
      </c>
      <c r="D103" s="9" t="n">
        <v>45581</v>
      </c>
      <c r="E103" s="10" t="n">
        <v>46751</v>
      </c>
      <c r="F103" s="11" t="n">
        <f aca="false">(E103-D103)/7</f>
        <v>167.142857142857</v>
      </c>
      <c r="G103" s="11" t="n">
        <f aca="true">(TODAY()-D103)/7</f>
        <v>84.2857142857143</v>
      </c>
      <c r="H103" s="12" t="n">
        <v>176</v>
      </c>
      <c r="I103" s="12" t="n">
        <v>79</v>
      </c>
      <c r="J103" s="13" t="n">
        <f aca="false">IFERROR(((G103*H103)/F103)-I103,"")</f>
        <v>9.75213675213684</v>
      </c>
      <c r="K103" s="12" t="str">
        <f aca="false">IF(J103&lt;-10,"MUITO ADIANTADO",IF(J103&lt;-6,"ADIANTADO",IF(J103&lt;6,"EM DIAS",IF(J103&lt;12,"ATRASADO","MUITO ATRASADO"))))</f>
        <v>ATRASADO</v>
      </c>
      <c r="L103" s="9" t="n">
        <v>46163</v>
      </c>
      <c r="M103" s="6" t="n">
        <f aca="true">TODAY()-L103</f>
        <v>8</v>
      </c>
      <c r="N103" s="1" t="str">
        <f aca="false">IF(M103&lt;8,"VERIFICADO",IF(M103&lt;15,"VERIFICAR","VERIFICAR URGENTE"))</f>
        <v>VERIFICAR</v>
      </c>
    </row>
    <row r="104" customFormat="false" ht="15" hidden="false" customHeight="false" outlineLevel="0" collapsed="false">
      <c r="A104" s="6" t="s">
        <v>122</v>
      </c>
      <c r="B104" s="7" t="s">
        <v>24</v>
      </c>
      <c r="C104" s="8" t="n">
        <f aca="false">L104</f>
        <v>46164</v>
      </c>
      <c r="D104" s="9" t="n">
        <v>45989</v>
      </c>
      <c r="E104" s="10" t="n">
        <v>47715</v>
      </c>
      <c r="F104" s="11" t="n">
        <f aca="false">(E104-D104)/7</f>
        <v>246.571428571429</v>
      </c>
      <c r="G104" s="11" t="n">
        <f aca="true">(TODAY()-D104)/7</f>
        <v>26</v>
      </c>
      <c r="H104" s="12" t="n">
        <v>272</v>
      </c>
      <c r="I104" s="12" t="n">
        <v>35</v>
      </c>
      <c r="J104" s="13" t="n">
        <f aca="false">IFERROR(((G104*H104)/F104)-I104,"")</f>
        <v>-6.31865585168024</v>
      </c>
      <c r="K104" s="12" t="str">
        <f aca="false">IF(J104&lt;-10,"MUITO ADIANTADO",IF(J104&lt;-6,"ADIANTADO",IF(J104&lt;6,"EM DIAS",IF(J104&lt;12,"ATRASADO","MUITO ATRASADO"))))</f>
        <v>ADIANTADO</v>
      </c>
      <c r="L104" s="9" t="n">
        <v>46164</v>
      </c>
      <c r="M104" s="6" t="n">
        <f aca="true">TODAY()-L104</f>
        <v>7</v>
      </c>
      <c r="N104" s="1" t="str">
        <f aca="false">IF(M104&lt;8,"VERIFICADO",IF(M104&lt;15,"VERIFICAR","VERIFICAR URGENTE"))</f>
        <v>VERIFICADO</v>
      </c>
    </row>
    <row r="105" customFormat="false" ht="15" hidden="false" customHeight="false" outlineLevel="0" collapsed="false">
      <c r="A105" s="6" t="s">
        <v>123</v>
      </c>
      <c r="B105" s="7" t="s">
        <v>22</v>
      </c>
      <c r="C105" s="8" t="n">
        <f aca="false">L105</f>
        <v>46162</v>
      </c>
      <c r="D105" s="9" t="n">
        <v>45936</v>
      </c>
      <c r="E105" s="10" t="n">
        <v>47659</v>
      </c>
      <c r="F105" s="11" t="n">
        <f aca="false">(E105-D105)/7</f>
        <v>246.142857142857</v>
      </c>
      <c r="G105" s="11" t="n">
        <f aca="true">(TODAY()-D105)/7</f>
        <v>33.5714285714286</v>
      </c>
      <c r="H105" s="12" t="n">
        <v>96</v>
      </c>
      <c r="I105" s="12" t="n">
        <v>4</v>
      </c>
      <c r="J105" s="13" t="n">
        <f aca="false">IFERROR(((G105*H105)/F105)-I105,"")</f>
        <v>9.0934416715032</v>
      </c>
      <c r="K105" s="12" t="str">
        <f aca="false">IF(J105&lt;-10,"MUITO ADIANTADO",IF(J105&lt;-6,"ADIANTADO",IF(J105&lt;6,"EM DIAS",IF(J105&lt;12,"ATRASADO","MUITO ATRASADO"))))</f>
        <v>ATRASADO</v>
      </c>
      <c r="L105" s="9" t="n">
        <v>46162</v>
      </c>
      <c r="M105" s="6" t="n">
        <f aca="true">TODAY()-L105</f>
        <v>9</v>
      </c>
      <c r="N105" s="1" t="str">
        <f aca="false">IF(M105&lt;8,"VERIFICADO",IF(M105&lt;15,"VERIFICAR","VERIFICAR URGENTE"))</f>
        <v>VERIFICAR</v>
      </c>
    </row>
    <row r="106" customFormat="false" ht="15" hidden="false" customHeight="false" outlineLevel="0" collapsed="false">
      <c r="A106" s="6" t="s">
        <v>124</v>
      </c>
      <c r="B106" s="7" t="s">
        <v>17</v>
      </c>
      <c r="C106" s="8" t="n">
        <f aca="false">L106</f>
        <v>46162</v>
      </c>
      <c r="D106" s="9" t="n">
        <v>46043</v>
      </c>
      <c r="E106" s="10" t="n">
        <v>46741</v>
      </c>
      <c r="F106" s="11" t="n">
        <f aca="false">(E106-D106)/7</f>
        <v>99.7142857142857</v>
      </c>
      <c r="G106" s="11" t="n">
        <f aca="true">(TODAY()-D106)/7</f>
        <v>18.2857142857143</v>
      </c>
      <c r="H106" s="12" t="n">
        <v>128</v>
      </c>
      <c r="I106" s="12" t="n">
        <v>23</v>
      </c>
      <c r="J106" s="13" t="n">
        <f aca="false">IFERROR(((G106*H106)/F106)-I106,"")</f>
        <v>0.47277936962751</v>
      </c>
      <c r="K106" s="12" t="str">
        <f aca="false">IF(J106&lt;-10,"MUITO ADIANTADO",IF(J106&lt;-6,"ADIANTADO",IF(J106&lt;6,"EM DIAS",IF(J106&lt;12,"ATRASADO","MUITO ATRASADO"))))</f>
        <v>EM DIAS</v>
      </c>
      <c r="L106" s="9" t="n">
        <v>46162</v>
      </c>
      <c r="M106" s="6" t="n">
        <f aca="true">TODAY()-L106</f>
        <v>9</v>
      </c>
      <c r="N106" s="1" t="str">
        <f aca="false">IF(M106&lt;8,"VERIFICADO",IF(M106&lt;15,"VERIFICAR","VERIFICAR URGENTE"))</f>
        <v>VERIFICAR</v>
      </c>
    </row>
    <row r="107" customFormat="false" ht="15" hidden="false" customHeight="false" outlineLevel="0" collapsed="false">
      <c r="A107" s="6" t="s">
        <v>125</v>
      </c>
      <c r="B107" s="7" t="s">
        <v>24</v>
      </c>
      <c r="C107" s="8" t="n">
        <f aca="false">L107</f>
        <v>46162</v>
      </c>
      <c r="D107" s="9" t="n">
        <v>46118</v>
      </c>
      <c r="E107" s="10" t="n">
        <v>47360</v>
      </c>
      <c r="F107" s="11" t="n">
        <f aca="false">(E107-D107)/7</f>
        <v>177.428571428571</v>
      </c>
      <c r="G107" s="11" t="n">
        <f aca="true">(TODAY()-D107)/7</f>
        <v>7.57142857142857</v>
      </c>
      <c r="H107" s="12" t="n">
        <v>192</v>
      </c>
      <c r="I107" s="12" t="n">
        <v>9</v>
      </c>
      <c r="J107" s="13" t="n">
        <f aca="false">IFERROR(((G107*H107)/F107)-I107,"")</f>
        <v>-0.806763285024134</v>
      </c>
      <c r="K107" s="12" t="str">
        <f aca="false">IF(J107&lt;-10,"MUITO ADIANTADO",IF(J107&lt;-6,"ADIANTADO",IF(J107&lt;6,"EM DIAS",IF(J107&lt;12,"ATRASADO","MUITO ATRASADO"))))</f>
        <v>EM DIAS</v>
      </c>
      <c r="L107" s="9" t="n">
        <v>46162</v>
      </c>
      <c r="M107" s="6" t="n">
        <f aca="true">TODAY()-L107</f>
        <v>9</v>
      </c>
      <c r="N107" s="1" t="str">
        <f aca="false">IF(M107&lt;8,"VERIFICADO",IF(M107&lt;15,"VERIFICAR","VERIFICAR URGENTE"))</f>
        <v>VERIFICAR</v>
      </c>
    </row>
    <row r="108" customFormat="false" ht="15" hidden="false" customHeight="false" outlineLevel="0" collapsed="false">
      <c r="A108" s="6" t="s">
        <v>126</v>
      </c>
      <c r="B108" s="7" t="s">
        <v>24</v>
      </c>
      <c r="C108" s="8" t="n">
        <f aca="false">L108</f>
        <v>46162</v>
      </c>
      <c r="D108" s="9" t="n">
        <v>45931</v>
      </c>
      <c r="E108" s="10" t="n">
        <v>46478</v>
      </c>
      <c r="F108" s="11" t="n">
        <f aca="false">(E108-D108)/7</f>
        <v>78.1428571428571</v>
      </c>
      <c r="G108" s="11" t="n">
        <f aca="true">(TODAY()-D108)/7</f>
        <v>34.2857142857143</v>
      </c>
      <c r="H108" s="12" t="n">
        <v>80</v>
      </c>
      <c r="I108" s="12" t="n">
        <v>37</v>
      </c>
      <c r="J108" s="13" t="n">
        <f aca="false">IFERROR(((G108*H108)/F108)-I108,"")</f>
        <v>-1.89945155393051</v>
      </c>
      <c r="K108" s="12" t="str">
        <f aca="false">IF(J108&lt;-10,"MUITO ADIANTADO",IF(J108&lt;-6,"ADIANTADO",IF(J108&lt;6,"EM DIAS",IF(J108&lt;12,"ATRASADO","MUITO ATRASADO"))))</f>
        <v>EM DIAS</v>
      </c>
      <c r="L108" s="9" t="n">
        <v>46162</v>
      </c>
      <c r="M108" s="6" t="n">
        <f aca="true">TODAY()-L108</f>
        <v>9</v>
      </c>
      <c r="N108" s="1" t="str">
        <f aca="false">IF(M108&lt;8,"VERIFICADO",IF(M108&lt;15,"VERIFICAR","VERIFICAR URGENTE"))</f>
        <v>VERIFICAR</v>
      </c>
    </row>
    <row r="109" customFormat="false" ht="15" hidden="false" customHeight="false" outlineLevel="0" collapsed="false">
      <c r="A109" s="6" t="s">
        <v>127</v>
      </c>
      <c r="B109" s="7" t="s">
        <v>24</v>
      </c>
      <c r="C109" s="8" t="n">
        <f aca="false">L109</f>
        <v>46158</v>
      </c>
      <c r="D109" s="9" t="n">
        <v>46135</v>
      </c>
      <c r="E109" s="10" t="n">
        <v>46798</v>
      </c>
      <c r="F109" s="11" t="n">
        <f aca="false">(E109-D109)/7</f>
        <v>94.7142857142857</v>
      </c>
      <c r="G109" s="11" t="n">
        <v>0</v>
      </c>
      <c r="H109" s="12" t="n">
        <v>96</v>
      </c>
      <c r="I109" s="12" t="n">
        <v>4</v>
      </c>
      <c r="J109" s="13" t="n">
        <f aca="false">IFERROR(((G109*H109)/F109)-I109,"")</f>
        <v>-4</v>
      </c>
      <c r="K109" s="12" t="str">
        <f aca="false">IF(J109&lt;-10,"MUITO ADIANTADO",IF(J109&lt;-6,"ADIANTADO",IF(J109&lt;6,"EM DIAS",IF(J109&lt;12,"ATRASADO","MUITO ATRASADO"))))</f>
        <v>EM DIAS</v>
      </c>
      <c r="L109" s="9" t="n">
        <v>46158</v>
      </c>
      <c r="M109" s="6" t="n">
        <f aca="true">TODAY()-L109</f>
        <v>13</v>
      </c>
      <c r="N109" s="1" t="str">
        <f aca="false">IF(M109&lt;8,"VERIFICADO",IF(M109&lt;15,"VERIFICAR","VERIFICAR URGENTE"))</f>
        <v>VERIFICAR</v>
      </c>
    </row>
    <row r="110" customFormat="false" ht="15" hidden="false" customHeight="false" outlineLevel="0" collapsed="false">
      <c r="A110" s="6" t="s">
        <v>128</v>
      </c>
      <c r="B110" s="7" t="s">
        <v>19</v>
      </c>
      <c r="C110" s="8" t="n">
        <f aca="false">L110</f>
        <v>46163</v>
      </c>
      <c r="D110" s="9" t="n">
        <v>45178</v>
      </c>
      <c r="E110" s="10" t="n">
        <v>46244</v>
      </c>
      <c r="F110" s="11" t="n">
        <f aca="false">(E110-D110)/7</f>
        <v>152.285714285714</v>
      </c>
      <c r="G110" s="11" t="n">
        <f aca="true">(TODAY()-D110)/7</f>
        <v>141.857142857143</v>
      </c>
      <c r="H110" s="12" t="n">
        <v>176</v>
      </c>
      <c r="I110" s="12" t="n">
        <v>147</v>
      </c>
      <c r="J110" s="13" t="n">
        <f aca="false">IFERROR(((G110*H110)/F110)-I110,"")</f>
        <v>16.9474671669797</v>
      </c>
      <c r="K110" s="12" t="str">
        <f aca="false">IF(J110&lt;-10,"MUITO ADIANTADO",IF(J110&lt;-6,"ADIANTADO",IF(J110&lt;6,"EM DIAS",IF(J110&lt;12,"ATRASADO","MUITO ATRASADO"))))</f>
        <v>MUITO ATRASADO</v>
      </c>
      <c r="L110" s="9" t="n">
        <v>46163</v>
      </c>
      <c r="M110" s="6" t="n">
        <f aca="true">TODAY()-L110</f>
        <v>8</v>
      </c>
      <c r="N110" s="1" t="str">
        <f aca="false">IF(M110&lt;8,"VERIFICADO",IF(M110&lt;15,"VERIFICAR","VERIFICAR URGENTE"))</f>
        <v>VERIFICAR</v>
      </c>
    </row>
    <row r="111" customFormat="false" ht="15" hidden="false" customHeight="false" outlineLevel="0" collapsed="false">
      <c r="A111" s="6" t="s">
        <v>129</v>
      </c>
      <c r="B111" s="7" t="s">
        <v>19</v>
      </c>
      <c r="C111" s="8" t="n">
        <f aca="false">L111</f>
        <v>46163</v>
      </c>
      <c r="D111" s="9" t="n">
        <v>45411</v>
      </c>
      <c r="E111" s="10" t="n">
        <v>46172</v>
      </c>
      <c r="F111" s="11" t="n">
        <f aca="false">(E111-D111)/7</f>
        <v>108.714285714286</v>
      </c>
      <c r="G111" s="11" t="n">
        <f aca="true">(TODAY()-D111)/7</f>
        <v>108.571428571429</v>
      </c>
      <c r="H111" s="12" t="n">
        <v>116</v>
      </c>
      <c r="I111" s="12" t="n">
        <v>96</v>
      </c>
      <c r="J111" s="13" t="n">
        <f aca="false">IFERROR(((G111*H111)/F111)-I111,"")</f>
        <v>19.8475689881731</v>
      </c>
      <c r="K111" s="12" t="str">
        <f aca="false">IF(J111&lt;-10,"MUITO ADIANTADO",IF(J111&lt;-6,"ADIANTADO",IF(J111&lt;6,"EM DIAS",IF(J111&lt;12,"ATRASADO","MUITO ATRASADO"))))</f>
        <v>MUITO ATRASADO</v>
      </c>
      <c r="L111" s="9" t="n">
        <v>46163</v>
      </c>
      <c r="M111" s="6" t="n">
        <f aca="true">TODAY()-L111</f>
        <v>8</v>
      </c>
      <c r="N111" s="1" t="str">
        <f aca="false">IF(M111&lt;8,"VERIFICADO",IF(M111&lt;15,"VERIFICAR","VERIFICAR URGENTE"))</f>
        <v>VERIFICAR</v>
      </c>
    </row>
    <row r="112" customFormat="false" ht="15" hidden="false" customHeight="false" outlineLevel="0" collapsed="false">
      <c r="A112" s="6" t="s">
        <v>130</v>
      </c>
      <c r="B112" s="6" t="s">
        <v>19</v>
      </c>
      <c r="C112" s="8" t="n">
        <f aca="false">L112</f>
        <v>46163</v>
      </c>
      <c r="D112" s="9" t="n">
        <v>45732</v>
      </c>
      <c r="E112" s="10" t="n">
        <v>47608</v>
      </c>
      <c r="F112" s="11" t="n">
        <f aca="false">(E112-D112)/7</f>
        <v>268</v>
      </c>
      <c r="G112" s="11" t="n">
        <f aca="true">(TODAY()-D112)/7</f>
        <v>62.7142857142857</v>
      </c>
      <c r="H112" s="12" t="n">
        <v>272</v>
      </c>
      <c r="I112" s="12" t="n">
        <v>44</v>
      </c>
      <c r="J112" s="13" t="n">
        <f aca="false">IFERROR(((G112*H112)/F112)-I112,"")</f>
        <v>19.6503198294243</v>
      </c>
      <c r="K112" s="12" t="str">
        <f aca="false">IF(J112&lt;-10,"MUITO ADIANTADO",IF(J112&lt;-6,"ADIANTADO",IF(J112&lt;6,"EM DIAS",IF(J112&lt;12,"ATRASADO","MUITO ATRASADO"))))</f>
        <v>MUITO ATRASADO</v>
      </c>
      <c r="L112" s="9" t="n">
        <v>46163</v>
      </c>
      <c r="M112" s="6" t="n">
        <f aca="true">TODAY()-L112</f>
        <v>8</v>
      </c>
      <c r="N112" s="1" t="str">
        <f aca="false">IF(M112&lt;8,"VERIFICADO",IF(M112&lt;15,"VERIFICAR","VERIFICAR URGENTE"))</f>
        <v>VERIFICAR</v>
      </c>
    </row>
    <row r="113" customFormat="false" ht="15" hidden="false" customHeight="false" outlineLevel="0" collapsed="false">
      <c r="A113" s="6" t="s">
        <v>131</v>
      </c>
      <c r="B113" s="7" t="s">
        <v>24</v>
      </c>
      <c r="C113" s="8" t="n">
        <f aca="false">L113</f>
        <v>46164</v>
      </c>
      <c r="D113" s="9" t="n">
        <v>45801</v>
      </c>
      <c r="E113" s="10" t="n">
        <v>46356</v>
      </c>
      <c r="F113" s="11" t="n">
        <f aca="false">(E113-D113)/7</f>
        <v>79.2857142857143</v>
      </c>
      <c r="G113" s="11" t="n">
        <f aca="true">(TODAY()-D113)/7</f>
        <v>52.8571428571429</v>
      </c>
      <c r="H113" s="12" t="n">
        <v>80</v>
      </c>
      <c r="I113" s="12" t="n">
        <v>41</v>
      </c>
      <c r="J113" s="13" t="n">
        <f aca="false">IFERROR(((G113*H113)/F113)-I113,"")</f>
        <v>12.3333333333333</v>
      </c>
      <c r="K113" s="12" t="str">
        <f aca="false">IF(J113&lt;-10,"MUITO ADIANTADO",IF(J113&lt;-6,"ADIANTADO",IF(J113&lt;6,"EM DIAS",IF(J113&lt;12,"ATRASADO","MUITO ATRASADO"))))</f>
        <v>MUITO ATRASADO</v>
      </c>
      <c r="L113" s="9" t="n">
        <v>46164</v>
      </c>
      <c r="M113" s="6" t="n">
        <f aca="true">TODAY()-L113</f>
        <v>7</v>
      </c>
      <c r="N113" s="1" t="str">
        <f aca="false">IF(M113&lt;8,"VERIFICADO",IF(M113&lt;15,"VERIFICAR","VERIFICAR URGENTE"))</f>
        <v>VERIFICADO</v>
      </c>
    </row>
    <row r="114" customFormat="false" ht="15" hidden="false" customHeight="false" outlineLevel="0" collapsed="false">
      <c r="A114" s="6" t="s">
        <v>132</v>
      </c>
      <c r="B114" s="6" t="s">
        <v>15</v>
      </c>
      <c r="C114" s="8" t="n">
        <f aca="false">L114</f>
        <v>46160</v>
      </c>
      <c r="D114" s="9" t="n">
        <v>46090</v>
      </c>
      <c r="E114" s="10" t="n">
        <v>46475</v>
      </c>
      <c r="F114" s="11" t="n">
        <f aca="false">(E114-D114)/7</f>
        <v>55</v>
      </c>
      <c r="G114" s="11" t="n">
        <f aca="true">(TODAY()-D114)/7</f>
        <v>11.5714285714286</v>
      </c>
      <c r="H114" s="12" t="n">
        <v>96</v>
      </c>
      <c r="I114" s="12" t="n">
        <v>23</v>
      </c>
      <c r="J114" s="13" t="n">
        <f aca="false">IFERROR(((G114*H114)/F114)-I114,"")</f>
        <v>-2.8025974025974</v>
      </c>
      <c r="K114" s="12" t="str">
        <f aca="false">IF(J114&lt;-10,"MUITO ADIANTADO",IF(J114&lt;-6,"ADIANTADO",IF(J114&lt;6,"EM DIAS",IF(J114&lt;12,"ATRASADO","MUITO ATRASADO"))))</f>
        <v>EM DIAS</v>
      </c>
      <c r="L114" s="9" t="n">
        <v>46160</v>
      </c>
      <c r="M114" s="6" t="n">
        <f aca="true">TODAY()-L114</f>
        <v>11</v>
      </c>
      <c r="N114" s="1" t="str">
        <f aca="false">IF(M114&lt;8,"VERIFICADO",IF(M114&lt;15,"VERIFICAR","VERIFICAR URGENTE"))</f>
        <v>VERIFICAR</v>
      </c>
    </row>
    <row r="115" customFormat="false" ht="15" hidden="false" customHeight="false" outlineLevel="0" collapsed="false">
      <c r="A115" s="6" t="s">
        <v>133</v>
      </c>
      <c r="B115" s="7" t="s">
        <v>19</v>
      </c>
      <c r="C115" s="8" t="n">
        <f aca="false">L115</f>
        <v>46163</v>
      </c>
      <c r="D115" s="9" t="n">
        <v>45535</v>
      </c>
      <c r="E115" s="10" t="n">
        <v>46203</v>
      </c>
      <c r="F115" s="11" t="n">
        <f aca="false">(E115-D115)/7</f>
        <v>95.4285714285714</v>
      </c>
      <c r="G115" s="11" t="n">
        <f aca="true">(TODAY()-D115)/7</f>
        <v>90.8571428571429</v>
      </c>
      <c r="H115" s="12" t="n">
        <v>177</v>
      </c>
      <c r="I115" s="12" t="n">
        <v>145</v>
      </c>
      <c r="J115" s="13" t="n">
        <f aca="false">IFERROR(((G115*H115)/F115)-I115,"")</f>
        <v>23.5209580838324</v>
      </c>
      <c r="K115" s="12" t="str">
        <f aca="false">IF(J115&lt;-10,"MUITO ADIANTADO",IF(J115&lt;-6,"ADIANTADO",IF(J115&lt;6,"EM DIAS",IF(J115&lt;12,"ATRASADO","MUITO ATRASADO"))))</f>
        <v>MUITO ATRASADO</v>
      </c>
      <c r="L115" s="9" t="n">
        <v>46163</v>
      </c>
      <c r="M115" s="6" t="n">
        <f aca="true">TODAY()-L115</f>
        <v>8</v>
      </c>
      <c r="N115" s="1" t="str">
        <f aca="false">IF(M115&lt;8,"VERIFICADO",IF(M115&lt;15,"VERIFICAR","VERIFICAR URGENTE"))</f>
        <v>VERIFICAR</v>
      </c>
    </row>
    <row r="116" customFormat="false" ht="15" hidden="false" customHeight="false" outlineLevel="0" collapsed="false">
      <c r="A116" s="6" t="s">
        <v>134</v>
      </c>
      <c r="B116" s="7" t="s">
        <v>19</v>
      </c>
      <c r="C116" s="8" t="n">
        <f aca="false">L116</f>
        <v>46163</v>
      </c>
      <c r="D116" s="9" t="n">
        <v>45601</v>
      </c>
      <c r="E116" s="10" t="n">
        <v>46147</v>
      </c>
      <c r="F116" s="11" t="n">
        <f aca="false">(E116-D116)/7</f>
        <v>78</v>
      </c>
      <c r="G116" s="11" t="n">
        <f aca="true">(TODAY()-D116)/7</f>
        <v>81.4285714285714</v>
      </c>
      <c r="H116" s="12" t="n">
        <v>80</v>
      </c>
      <c r="I116" s="12" t="n">
        <v>58</v>
      </c>
      <c r="J116" s="13" t="n">
        <f aca="false">IFERROR(((G116*H116)/F116)-I116,"")</f>
        <v>25.5164835164835</v>
      </c>
      <c r="K116" s="12" t="str">
        <f aca="false">IF(J116&lt;-10,"MUITO ADIANTADO",IF(J116&lt;-6,"ADIANTADO",IF(J116&lt;6,"EM DIAS",IF(J116&lt;12,"ATRASADO","MUITO ATRASADO"))))</f>
        <v>MUITO ATRASADO</v>
      </c>
      <c r="L116" s="9" t="n">
        <v>46163</v>
      </c>
      <c r="M116" s="6" t="n">
        <f aca="true">TODAY()-L116</f>
        <v>8</v>
      </c>
      <c r="N116" s="1" t="str">
        <f aca="false">IF(M116&lt;8,"VERIFICADO",IF(M116&lt;15,"VERIFICAR","VERIFICAR URGENTE"))</f>
        <v>VERIFICAR</v>
      </c>
    </row>
    <row r="117" customFormat="false" ht="15" hidden="false" customHeight="false" outlineLevel="0" collapsed="false">
      <c r="A117" s="6" t="s">
        <v>135</v>
      </c>
      <c r="B117" s="7" t="s">
        <v>15</v>
      </c>
      <c r="C117" s="8" t="n">
        <f aca="false">L117</f>
        <v>46162</v>
      </c>
      <c r="D117" s="9" t="n">
        <v>45959</v>
      </c>
      <c r="E117" s="10" t="n">
        <v>46863</v>
      </c>
      <c r="F117" s="11" t="n">
        <f aca="false">(E117-D117)/7</f>
        <v>129.142857142857</v>
      </c>
      <c r="G117" s="11" t="n">
        <f aca="true">(TODAY()-D117)/7</f>
        <v>30.2857142857143</v>
      </c>
      <c r="H117" s="12" t="n">
        <v>128</v>
      </c>
      <c r="I117" s="12" t="n">
        <v>18</v>
      </c>
      <c r="J117" s="13" t="n">
        <f aca="false">IFERROR(((G117*H117)/F117)-I117,"")</f>
        <v>12.0176991150443</v>
      </c>
      <c r="K117" s="12" t="str">
        <f aca="false">IF(J117&lt;-10,"MUITO ADIANTADO",IF(J117&lt;-6,"ADIANTADO",IF(J117&lt;6,"EM DIAS",IF(J117&lt;12,"ATRASADO","MUITO ATRASADO"))))</f>
        <v>MUITO ATRASADO</v>
      </c>
      <c r="L117" s="9" t="n">
        <v>46162</v>
      </c>
      <c r="M117" s="6" t="n">
        <f aca="true">TODAY()-L117</f>
        <v>9</v>
      </c>
      <c r="N117" s="1" t="str">
        <f aca="false">IF(M117&lt;8,"VERIFICADO",IF(M117&lt;15,"VERIFICAR","VERIFICAR URGENTE"))</f>
        <v>VERIFICAR</v>
      </c>
    </row>
    <row r="118" customFormat="false" ht="15" hidden="false" customHeight="false" outlineLevel="0" collapsed="false">
      <c r="A118" s="6" t="s">
        <v>136</v>
      </c>
      <c r="B118" s="7" t="s">
        <v>22</v>
      </c>
      <c r="C118" s="8" t="n">
        <f aca="false">L126</f>
        <v>46163</v>
      </c>
      <c r="D118" s="9" t="n">
        <v>45892</v>
      </c>
      <c r="E118" s="10" t="n">
        <v>46558</v>
      </c>
      <c r="F118" s="11" t="n">
        <f aca="false">(E118-D118)/7</f>
        <v>95.1428571428571</v>
      </c>
      <c r="G118" s="11" t="n">
        <f aca="true">(TODAY()-D118)/7</f>
        <v>39.8571428571429</v>
      </c>
      <c r="H118" s="12" t="n">
        <v>112</v>
      </c>
      <c r="I118" s="12" t="n">
        <v>34</v>
      </c>
      <c r="J118" s="13" t="n">
        <f aca="false">IFERROR(((G118*H118)/F118)-I118,"")</f>
        <v>12.9189189189189</v>
      </c>
      <c r="K118" s="12" t="str">
        <f aca="false">IF(J118&lt;-10,"MUITO ADIANTADO",IF(J118&lt;-6,"ADIANTADO",IF(J118&lt;6,"EM DIAS",IF(J118&lt;12,"ATRASADO","MUITO ATRASADO"))))</f>
        <v>MUITO ATRASADO</v>
      </c>
      <c r="L118" s="9" t="n">
        <v>46163</v>
      </c>
      <c r="M118" s="6" t="n">
        <f aca="true">TODAY()-L118</f>
        <v>8</v>
      </c>
      <c r="N118" s="1" t="str">
        <f aca="false">IF(M118&lt;8,"VERIFICADO",IF(M118&lt;15,"VERIFICAR","VERIFICAR URGENTE"))</f>
        <v>VERIFICAR</v>
      </c>
    </row>
    <row r="119" customFormat="false" ht="15" hidden="false" customHeight="false" outlineLevel="0" collapsed="false">
      <c r="A119" s="6" t="s">
        <v>137</v>
      </c>
      <c r="B119" s="7" t="s">
        <v>15</v>
      </c>
      <c r="C119" s="8" t="n">
        <f aca="false">L119</f>
        <v>46160</v>
      </c>
      <c r="D119" s="9" t="n">
        <v>45922</v>
      </c>
      <c r="E119" s="10" t="n">
        <v>46815</v>
      </c>
      <c r="F119" s="11" t="n">
        <f aca="false">(E119-D119)/7</f>
        <v>127.571428571429</v>
      </c>
      <c r="G119" s="11" t="n">
        <f aca="true">(TODAY()-D119)/7</f>
        <v>35.5714285714286</v>
      </c>
      <c r="H119" s="12" t="n">
        <v>128</v>
      </c>
      <c r="I119" s="12" t="n">
        <v>34</v>
      </c>
      <c r="J119" s="13" t="n">
        <f aca="false">IFERROR(((G119*H119)/F119)-I119,"")</f>
        <v>1.69092945128767</v>
      </c>
      <c r="K119" s="12" t="str">
        <f aca="false">IF(J119&lt;-10,"MUITO ADIANTADO",IF(J119&lt;-6,"ADIANTADO",IF(J119&lt;6,"EM DIAS",IF(J119&lt;12,"ATRASADO","MUITO ATRASADO"))))</f>
        <v>EM DIAS</v>
      </c>
      <c r="L119" s="9" t="n">
        <v>46160</v>
      </c>
      <c r="M119" s="6" t="n">
        <f aca="true">TODAY()-L119</f>
        <v>11</v>
      </c>
      <c r="N119" s="1" t="str">
        <f aca="false">IF(M119&lt;8,"VERIFICADO",IF(M119&lt;15,"VERIFICAR","VERIFICAR URGENTE"))</f>
        <v>VERIFICAR</v>
      </c>
    </row>
    <row r="120" customFormat="false" ht="15" hidden="false" customHeight="false" outlineLevel="0" collapsed="false">
      <c r="A120" s="6" t="s">
        <v>138</v>
      </c>
      <c r="B120" s="7" t="s">
        <v>15</v>
      </c>
      <c r="C120" s="8" t="n">
        <f aca="false">L120</f>
        <v>46162</v>
      </c>
      <c r="D120" s="9" t="n">
        <v>46085</v>
      </c>
      <c r="E120" s="10" t="n">
        <v>46508</v>
      </c>
      <c r="F120" s="11" t="n">
        <f aca="false">(E120-D120)/7</f>
        <v>60.4285714285714</v>
      </c>
      <c r="G120" s="11" t="n">
        <f aca="true">(TODAY()-D120)/7</f>
        <v>12.2857142857143</v>
      </c>
      <c r="H120" s="12" t="n">
        <v>64</v>
      </c>
      <c r="I120" s="12" t="n">
        <v>18</v>
      </c>
      <c r="J120" s="13" t="n">
        <f aca="false">IFERROR(((G120*H120)/F120)-I120,"")</f>
        <v>-4.98817966903073</v>
      </c>
      <c r="K120" s="12" t="str">
        <f aca="false">IF(J120&lt;-10,"MUITO ADIANTADO",IF(J120&lt;-6,"ADIANTADO",IF(J120&lt;6,"EM DIAS",IF(J120&lt;12,"ATRASADO","MUITO ATRASADO"))))</f>
        <v>EM DIAS</v>
      </c>
      <c r="L120" s="9" t="n">
        <v>46162</v>
      </c>
      <c r="M120" s="6" t="n">
        <f aca="true">TODAY()-L120</f>
        <v>9</v>
      </c>
      <c r="N120" s="1" t="str">
        <f aca="false">IF(M120&lt;8,"VERIFICADO",IF(M120&lt;15,"VERIFICAR","VERIFICAR URGENTE"))</f>
        <v>VERIFICAR</v>
      </c>
    </row>
    <row r="121" customFormat="false" ht="15" hidden="false" customHeight="false" outlineLevel="0" collapsed="false">
      <c r="A121" s="6" t="s">
        <v>139</v>
      </c>
      <c r="B121" s="7" t="s">
        <v>17</v>
      </c>
      <c r="C121" s="8" t="n">
        <f aca="false">L121</f>
        <v>46162</v>
      </c>
      <c r="D121" s="9" t="n">
        <v>45969</v>
      </c>
      <c r="E121" s="10" t="n">
        <v>46442</v>
      </c>
      <c r="F121" s="11" t="n">
        <f aca="false">(E121-D121)/7</f>
        <v>67.5714285714286</v>
      </c>
      <c r="G121" s="11" t="n">
        <f aca="true">(TODAY()-D121)/7</f>
        <v>28.8571428571429</v>
      </c>
      <c r="H121" s="12" t="n">
        <v>64</v>
      </c>
      <c r="I121" s="12" t="n">
        <v>16</v>
      </c>
      <c r="J121" s="13" t="n">
        <f aca="false">IFERROR(((G121*H121)/F121)-I121,"")</f>
        <v>11.3319238900634</v>
      </c>
      <c r="K121" s="12" t="str">
        <f aca="false">IF(J121&lt;-10,"MUITO ADIANTADO",IF(J121&lt;-6,"ADIANTADO",IF(J121&lt;6,"EM DIAS",IF(J121&lt;12,"ATRASADO","MUITO ATRASADO"))))</f>
        <v>ATRASADO</v>
      </c>
      <c r="L121" s="9" t="n">
        <v>46162</v>
      </c>
      <c r="M121" s="6" t="n">
        <f aca="true">TODAY()-L121</f>
        <v>9</v>
      </c>
      <c r="N121" s="1" t="str">
        <f aca="false">IF(M121&lt;8,"VERIFICADO",IF(M121&lt;15,"VERIFICAR","VERIFICAR URGENTE"))</f>
        <v>VERIFICAR</v>
      </c>
    </row>
    <row r="122" customFormat="false" ht="15" hidden="false" customHeight="false" outlineLevel="0" collapsed="false">
      <c r="A122" s="6" t="s">
        <v>140</v>
      </c>
      <c r="B122" s="7" t="s">
        <v>15</v>
      </c>
      <c r="C122" s="8" t="n">
        <f aca="false">L122</f>
        <v>46161</v>
      </c>
      <c r="D122" s="9" t="n">
        <v>45923</v>
      </c>
      <c r="E122" s="10" t="n">
        <v>46588</v>
      </c>
      <c r="F122" s="11" t="n">
        <f aca="false">(E122-D122)/7</f>
        <v>95</v>
      </c>
      <c r="G122" s="11" t="n">
        <f aca="true">(TODAY()-D122)/7</f>
        <v>35.4285714285714</v>
      </c>
      <c r="H122" s="12" t="n">
        <v>96</v>
      </c>
      <c r="I122" s="12" t="n">
        <v>42</v>
      </c>
      <c r="J122" s="13" t="n">
        <f aca="false">IFERROR(((G122*H122)/F122)-I122,"")</f>
        <v>-6.1984962406015</v>
      </c>
      <c r="K122" s="12" t="str">
        <f aca="false">IF(J122&lt;-10,"MUITO ADIANTADO",IF(J122&lt;-6,"ADIANTADO",IF(J122&lt;6,"EM DIAS",IF(J122&lt;12,"ATRASADO","MUITO ATRASADO"))))</f>
        <v>ADIANTADO</v>
      </c>
      <c r="L122" s="9" t="n">
        <v>46161</v>
      </c>
      <c r="M122" s="6" t="n">
        <f aca="true">TODAY()-L122</f>
        <v>10</v>
      </c>
      <c r="N122" s="1" t="str">
        <f aca="false">IF(M122&lt;8,"VERIFICADO",IF(M122&lt;15,"VERIFICAR","VERIFICAR URGENTE"))</f>
        <v>VERIFICAR</v>
      </c>
    </row>
    <row r="123" customFormat="false" ht="15" hidden="false" customHeight="false" outlineLevel="0" collapsed="false">
      <c r="A123" s="6" t="s">
        <v>141</v>
      </c>
      <c r="B123" s="7" t="s">
        <v>22</v>
      </c>
      <c r="C123" s="8" t="n">
        <f aca="false">L123</f>
        <v>46163</v>
      </c>
      <c r="D123" s="9" t="n">
        <v>45673</v>
      </c>
      <c r="E123" s="10" t="n">
        <v>46219</v>
      </c>
      <c r="F123" s="11" t="n">
        <f aca="false">(E123-D123)/7</f>
        <v>78</v>
      </c>
      <c r="G123" s="11" t="n">
        <f aca="true">(TODAY()-D123)/7</f>
        <v>71.1428571428571</v>
      </c>
      <c r="H123" s="12" t="n">
        <v>80</v>
      </c>
      <c r="I123" s="12" t="n">
        <v>65</v>
      </c>
      <c r="J123" s="13" t="n">
        <f aca="false">IFERROR(((G123*H123)/F123)-I123,"")</f>
        <v>7.96703296703296</v>
      </c>
      <c r="K123" s="12" t="str">
        <f aca="false">IF(J123&lt;-10,"MUITO ADIANTADO",IF(J123&lt;-6,"ADIANTADO",IF(J123&lt;6,"EM DIAS",IF(J123&lt;12,"ATRASADO","MUITO ATRASADO"))))</f>
        <v>ATRASADO</v>
      </c>
      <c r="L123" s="9" t="n">
        <v>46163</v>
      </c>
      <c r="M123" s="6" t="n">
        <f aca="true">TODAY()-L123</f>
        <v>8</v>
      </c>
      <c r="N123" s="1" t="str">
        <f aca="false">IF(M123&lt;8,"VERIFICADO",IF(M123&lt;15,"VERIFICAR","VERIFICAR URGENTE"))</f>
        <v>VERIFICAR</v>
      </c>
    </row>
    <row r="124" customFormat="false" ht="15" hidden="false" customHeight="false" outlineLevel="0" collapsed="false">
      <c r="A124" s="6" t="s">
        <v>142</v>
      </c>
      <c r="B124" s="7" t="s">
        <v>65</v>
      </c>
      <c r="C124" s="8" t="n">
        <f aca="false">L124</f>
        <v>46170</v>
      </c>
      <c r="D124" s="9" t="n">
        <v>46149</v>
      </c>
      <c r="E124" s="10" t="n">
        <v>47886</v>
      </c>
      <c r="F124" s="11" t="n">
        <f aca="false">(E124-D124)/7</f>
        <v>248.142857142857</v>
      </c>
      <c r="G124" s="11" t="n">
        <f aca="true">(TODAY()-D124)/7</f>
        <v>3.14285714285714</v>
      </c>
      <c r="H124" s="12" t="n">
        <v>200</v>
      </c>
      <c r="I124" s="12" t="n">
        <v>0</v>
      </c>
      <c r="J124" s="13" t="n">
        <f aca="false">IFERROR(((G124*H124)/F124)-I124,"")</f>
        <v>2.53310305123777</v>
      </c>
      <c r="K124" s="12" t="str">
        <f aca="false">IF(J124&lt;-10,"MUITO ADIANTADO",IF(J124&lt;-6,"ADIANTADO",IF(J124&lt;6,"EM DIAS",IF(J124&lt;12,"ATRASADO","MUITO ATRASADO"))))</f>
        <v>EM DIAS</v>
      </c>
      <c r="L124" s="9" t="n">
        <v>46170</v>
      </c>
      <c r="M124" s="6" t="n">
        <f aca="true">TODAY()-L124</f>
        <v>1</v>
      </c>
      <c r="N124" s="1" t="str">
        <f aca="false">IF(M124&lt;8,"VERIFICADO",IF(M124&lt;15,"VERIFICAR","VERIFICAR URGENTE"))</f>
        <v>VERIFICADO</v>
      </c>
    </row>
    <row r="125" customFormat="false" ht="15" hidden="false" customHeight="false" outlineLevel="0" collapsed="false">
      <c r="A125" s="6" t="s">
        <v>143</v>
      </c>
      <c r="B125" s="7" t="s">
        <v>22</v>
      </c>
      <c r="C125" s="8" t="n">
        <f aca="false">L125</f>
        <v>46162</v>
      </c>
      <c r="D125" s="9" t="n">
        <v>45943</v>
      </c>
      <c r="E125" s="10" t="n">
        <v>46762</v>
      </c>
      <c r="F125" s="11" t="n">
        <f aca="false">(E125-D125)/7</f>
        <v>117</v>
      </c>
      <c r="G125" s="11" t="n">
        <f aca="true">(TODAY()-D125)/7</f>
        <v>32.5714285714286</v>
      </c>
      <c r="H125" s="12" t="n">
        <v>112</v>
      </c>
      <c r="I125" s="12" t="n">
        <v>40</v>
      </c>
      <c r="J125" s="13" t="n">
        <f aca="false">IFERROR(((G125*H125)/F125)-I125,"")</f>
        <v>-8.82051282051282</v>
      </c>
      <c r="K125" s="12" t="str">
        <f aca="false">IF(J125&lt;-10,"MUITO ADIANTADO",IF(J125&lt;-6,"ADIANTADO",IF(J125&lt;6,"EM DIAS",IF(J125&lt;12,"ATRASADO","MUITO ATRASADO"))))</f>
        <v>ADIANTADO</v>
      </c>
      <c r="L125" s="9" t="n">
        <v>46162</v>
      </c>
      <c r="M125" s="6" t="n">
        <f aca="true">TODAY()-L125</f>
        <v>9</v>
      </c>
      <c r="N125" s="1" t="str">
        <f aca="false">IF(M125&lt;8,"VERIFICADO",IF(M125&lt;15,"VERIFICAR","VERIFICAR URGENTE"))</f>
        <v>VERIFICAR</v>
      </c>
    </row>
    <row r="126" customFormat="false" ht="15" hidden="false" customHeight="false" outlineLevel="0" collapsed="false">
      <c r="A126" s="6" t="s">
        <v>144</v>
      </c>
      <c r="B126" s="7" t="s">
        <v>24</v>
      </c>
      <c r="C126" s="7" t="s">
        <v>145</v>
      </c>
      <c r="D126" s="9" t="n">
        <v>45806</v>
      </c>
      <c r="E126" s="10" t="n">
        <v>47058</v>
      </c>
      <c r="F126" s="11" t="n">
        <f aca="false">(E126-D126)/7</f>
        <v>178.857142857143</v>
      </c>
      <c r="G126" s="11" t="n">
        <f aca="true">(TODAY()-D126)/7</f>
        <v>52.1428571428571</v>
      </c>
      <c r="H126" s="12" t="n">
        <v>192</v>
      </c>
      <c r="I126" s="12" t="n">
        <v>63</v>
      </c>
      <c r="J126" s="13" t="n">
        <f aca="false">IFERROR(((G126*H126)/F126)-I126,"")</f>
        <v>-7.02555910543135</v>
      </c>
      <c r="K126" s="12" t="str">
        <f aca="false">IF(J126&lt;-10,"MUITO ADIANTADO",IF(J126&lt;-6,"ADIANTADO",IF(J126&lt;6,"EM DIAS",IF(J126&lt;12,"ATRASADO","MUITO ATRASADO"))))</f>
        <v>ADIANTADO</v>
      </c>
      <c r="L126" s="9" t="n">
        <v>46163</v>
      </c>
      <c r="M126" s="6" t="n">
        <f aca="true">TODAY()-L126</f>
        <v>8</v>
      </c>
      <c r="N126" s="1" t="str">
        <f aca="false">IF(M126&lt;8,"VERIFICADO",IF(M126&lt;15,"VERIFICAR","VERIFICAR URGENTE"))</f>
        <v>VERIFICAR</v>
      </c>
    </row>
    <row r="127" customFormat="false" ht="15" hidden="false" customHeight="false" outlineLevel="0" collapsed="false">
      <c r="A127" s="6" t="s">
        <v>146</v>
      </c>
      <c r="B127" s="7" t="s">
        <v>22</v>
      </c>
      <c r="C127" s="8" t="n">
        <f aca="false">L127</f>
        <v>46160</v>
      </c>
      <c r="D127" s="9" t="n">
        <v>45896</v>
      </c>
      <c r="E127" s="10" t="n">
        <v>46447</v>
      </c>
      <c r="F127" s="11" t="n">
        <f aca="false">(E127-D127)/7</f>
        <v>78.7142857142857</v>
      </c>
      <c r="G127" s="11" t="n">
        <f aca="true">(TODAY()-D127)/7</f>
        <v>39.2857142857143</v>
      </c>
      <c r="H127" s="12" t="n">
        <v>80</v>
      </c>
      <c r="I127" s="12" t="n">
        <v>37</v>
      </c>
      <c r="J127" s="13" t="n">
        <f aca="false">IFERROR(((G127*H127)/F127)-I127,"")</f>
        <v>2.9274047186933</v>
      </c>
      <c r="K127" s="12" t="str">
        <f aca="false">IF(J127&lt;-10,"MUITO ADIANTADO",IF(J127&lt;-6,"ADIANTADO",IF(J127&lt;6,"EM DIAS",IF(J127&lt;12,"ATRASADO","MUITO ATRASADO"))))</f>
        <v>EM DIAS</v>
      </c>
      <c r="L127" s="9" t="n">
        <v>46160</v>
      </c>
      <c r="M127" s="6" t="n">
        <f aca="true">TODAY()-L127</f>
        <v>11</v>
      </c>
      <c r="N127" s="1" t="str">
        <f aca="false">IF(M127&lt;8,"VERIFICADO",IF(M127&lt;15,"VERIFICAR","VERIFICAR URGENTE"))</f>
        <v>VERIFICAR</v>
      </c>
    </row>
    <row r="128" customFormat="false" ht="15" hidden="false" customHeight="false" outlineLevel="0" collapsed="false">
      <c r="A128" s="6" t="s">
        <v>147</v>
      </c>
      <c r="B128" s="6" t="s">
        <v>65</v>
      </c>
      <c r="C128" s="8" t="n">
        <f aca="false">L128</f>
        <v>46176</v>
      </c>
      <c r="D128" s="9" t="n">
        <v>46102</v>
      </c>
      <c r="E128" s="10" t="n">
        <v>46517</v>
      </c>
      <c r="F128" s="11" t="n">
        <f aca="false">(E128-D128)/7</f>
        <v>59.2857142857143</v>
      </c>
      <c r="G128" s="11" t="n">
        <f aca="true">(TODAY()-D128)/7</f>
        <v>9.85714285714286</v>
      </c>
      <c r="H128" s="12" t="n">
        <v>80</v>
      </c>
      <c r="I128" s="12" t="n">
        <v>5</v>
      </c>
      <c r="J128" s="13" t="n">
        <f aca="false">IFERROR(((G128*H128)/F128)-I128,"")</f>
        <v>8.30120481927711</v>
      </c>
      <c r="K128" s="12" t="str">
        <f aca="false">IF(J128&lt;-10,"MUITO ADIANTADO",IF(J128&lt;-6,"ADIANTADO",IF(J128&lt;6,"EM DIAS",IF(J128&lt;12,"ATRASADO","MUITO ATRASADO"))))</f>
        <v>ATRASADO</v>
      </c>
      <c r="L128" s="9" t="n">
        <v>46176</v>
      </c>
      <c r="M128" s="6" t="n">
        <f aca="true">TODAY()-L128</f>
        <v>-5</v>
      </c>
      <c r="N128" s="1" t="str">
        <f aca="false">IF(M128&lt;8,"VERIFICADO",IF(M128&lt;15,"VERIFICAR","VERIFICAR URGENTE"))</f>
        <v>VERIFICADO</v>
      </c>
    </row>
    <row r="129" customFormat="false" ht="15" hidden="false" customHeight="false" outlineLevel="0" collapsed="false">
      <c r="A129" s="6" t="s">
        <v>148</v>
      </c>
      <c r="B129" s="7" t="s">
        <v>22</v>
      </c>
      <c r="C129" s="8" t="n">
        <f aca="false">L129</f>
        <v>46163</v>
      </c>
      <c r="D129" s="9" t="n">
        <v>45750</v>
      </c>
      <c r="E129" s="10" t="n">
        <v>46298</v>
      </c>
      <c r="F129" s="11" t="n">
        <f aca="false">(E129-D129)/7</f>
        <v>78.2857142857143</v>
      </c>
      <c r="G129" s="11" t="n">
        <f aca="true">(TODAY()-D129)/7</f>
        <v>60.1428571428571</v>
      </c>
      <c r="H129" s="12" t="n">
        <v>80</v>
      </c>
      <c r="I129" s="12" t="n">
        <v>51</v>
      </c>
      <c r="J129" s="13" t="n">
        <f aca="false">IFERROR(((G129*H129)/F129)-I129,"")</f>
        <v>10.4598540145985</v>
      </c>
      <c r="K129" s="12" t="str">
        <f aca="false">IF(J129&lt;-10,"MUITO ADIANTADO",IF(J129&lt;-6,"ADIANTADO",IF(J129&lt;6,"EM DIAS",IF(J129&lt;12,"ATRASADO","MUITO ATRASADO"))))</f>
        <v>ATRASADO</v>
      </c>
      <c r="L129" s="9" t="n">
        <v>46163</v>
      </c>
      <c r="M129" s="6" t="n">
        <f aca="true">TODAY()-L129</f>
        <v>8</v>
      </c>
      <c r="N129" s="1" t="str">
        <f aca="false">IF(M129&lt;8,"VERIFICADO",IF(M129&lt;15,"VERIFICAR","VERIFICAR URGENTE"))</f>
        <v>VERIFICAR</v>
      </c>
    </row>
    <row r="130" customFormat="false" ht="15" hidden="false" customHeight="false" outlineLevel="0" collapsed="false">
      <c r="A130" s="6" t="s">
        <v>149</v>
      </c>
      <c r="B130" s="7" t="s">
        <v>22</v>
      </c>
      <c r="C130" s="8" t="n">
        <f aca="false">L130</f>
        <v>46163</v>
      </c>
      <c r="D130" s="9" t="n">
        <v>45602</v>
      </c>
      <c r="E130" s="10" t="n">
        <v>47261</v>
      </c>
      <c r="F130" s="11" t="n">
        <f aca="false">(E130-D130)/7</f>
        <v>237</v>
      </c>
      <c r="G130" s="11" t="n">
        <f aca="true">(TODAY()-D130)/7</f>
        <v>81.2857142857143</v>
      </c>
      <c r="H130" s="12" t="n">
        <v>224</v>
      </c>
      <c r="I130" s="12" t="n">
        <v>59</v>
      </c>
      <c r="J130" s="13" t="n">
        <f aca="false">IFERROR(((G130*H130)/F130)-I130,"")</f>
        <v>17.8270042194093</v>
      </c>
      <c r="K130" s="12" t="str">
        <f aca="false">IF(J130&lt;-10,"MUITO ADIANTADO",IF(J130&lt;-6,"ADIANTADO",IF(J130&lt;6,"EM DIAS",IF(J130&lt;12,"ATRASADO","MUITO ATRASADO"))))</f>
        <v>MUITO ATRASADO</v>
      </c>
      <c r="L130" s="9" t="n">
        <v>46163</v>
      </c>
      <c r="M130" s="6" t="n">
        <f aca="true">TODAY()-L130</f>
        <v>8</v>
      </c>
      <c r="N130" s="1" t="str">
        <f aca="false">IF(M130&lt;8,"VERIFICADO",IF(M130&lt;15,"VERIFICAR","VERIFICAR URGENTE"))</f>
        <v>VERIFICAR</v>
      </c>
    </row>
    <row r="131" customFormat="false" ht="15" hidden="false" customHeight="false" outlineLevel="0" collapsed="false">
      <c r="A131" s="6" t="s">
        <v>150</v>
      </c>
      <c r="B131" s="7" t="s">
        <v>24</v>
      </c>
      <c r="C131" s="8" t="n">
        <f aca="false">L131</f>
        <v>46162</v>
      </c>
      <c r="D131" s="9" t="n">
        <v>45727</v>
      </c>
      <c r="E131" s="10" t="n">
        <v>46295</v>
      </c>
      <c r="F131" s="11" t="n">
        <f aca="false">(E131-D131)/7</f>
        <v>81.1428571428571</v>
      </c>
      <c r="G131" s="11" t="n">
        <f aca="true">(TODAY()-D131)/7</f>
        <v>63.4285714285714</v>
      </c>
      <c r="H131" s="12" t="n">
        <v>112</v>
      </c>
      <c r="I131" s="12" t="n">
        <v>85</v>
      </c>
      <c r="J131" s="13" t="n">
        <f aca="false">IFERROR(((G131*H131)/F131)-I131,"")</f>
        <v>2.54929577464794</v>
      </c>
      <c r="K131" s="12" t="str">
        <f aca="false">IF(J131&lt;-10,"MUITO ADIANTADO",IF(J131&lt;-6,"ADIANTADO",IF(J131&lt;6,"EM DIAS",IF(J131&lt;12,"ATRASADO","MUITO ATRASADO"))))</f>
        <v>EM DIAS</v>
      </c>
      <c r="L131" s="9" t="n">
        <v>46162</v>
      </c>
      <c r="M131" s="6" t="n">
        <f aca="true">TODAY()-L131</f>
        <v>9</v>
      </c>
      <c r="N131" s="1" t="str">
        <f aca="false">IF(M131&lt;8,"VERIFICADO",IF(M131&lt;15,"VERIFICAR","VERIFICAR URGENTE"))</f>
        <v>VERIFICAR</v>
      </c>
    </row>
    <row r="132" customFormat="false" ht="15" hidden="false" customHeight="false" outlineLevel="0" collapsed="false">
      <c r="A132" s="6" t="s">
        <v>151</v>
      </c>
      <c r="B132" s="7" t="s">
        <v>19</v>
      </c>
      <c r="C132" s="8" t="n">
        <f aca="false">L132</f>
        <v>46158</v>
      </c>
      <c r="D132" s="9" t="n">
        <v>45974</v>
      </c>
      <c r="E132" s="10" t="n">
        <v>47220</v>
      </c>
      <c r="F132" s="11" t="n">
        <f aca="false">(E132-D132)/7</f>
        <v>178</v>
      </c>
      <c r="G132" s="11" t="n">
        <f aca="true">(TODAY()-D132)/7</f>
        <v>28.1428571428571</v>
      </c>
      <c r="H132" s="12" t="n">
        <v>176</v>
      </c>
      <c r="I132" s="12" t="n">
        <v>37</v>
      </c>
      <c r="J132" s="13" t="n">
        <f aca="false">IFERROR(((G132*H132)/F132)-I132,"")</f>
        <v>-9.17335473515249</v>
      </c>
      <c r="K132" s="12" t="str">
        <f aca="false">IF(J132&lt;-10,"MUITO ADIANTADO",IF(J132&lt;-6,"ADIANTADO",IF(J132&lt;6,"EM DIAS",IF(J132&lt;12,"ATRASADO","MUITO ATRASADO"))))</f>
        <v>ADIANTADO</v>
      </c>
      <c r="L132" s="9" t="n">
        <v>46158</v>
      </c>
      <c r="M132" s="6" t="n">
        <f aca="true">TODAY()-L132</f>
        <v>13</v>
      </c>
      <c r="N132" s="1" t="str">
        <f aca="false">IF(M132&lt;8,"VERIFICADO",IF(M132&lt;15,"VERIFICAR","VERIFICAR URGENTE"))</f>
        <v>VERIFICAR</v>
      </c>
    </row>
    <row r="133" customFormat="false" ht="15" hidden="false" customHeight="false" outlineLevel="0" collapsed="false">
      <c r="A133" s="6" t="s">
        <v>152</v>
      </c>
      <c r="B133" s="7" t="s">
        <v>22</v>
      </c>
      <c r="C133" s="8" t="n">
        <f aca="false">L133</f>
        <v>46163</v>
      </c>
      <c r="D133" s="9" t="n">
        <v>45757</v>
      </c>
      <c r="E133" s="10" t="n">
        <v>46331</v>
      </c>
      <c r="F133" s="11" t="n">
        <f aca="false">(E133-D133)/7</f>
        <v>82</v>
      </c>
      <c r="G133" s="11" t="n">
        <f aca="true">(TODAY()-D133)/7</f>
        <v>59.1428571428571</v>
      </c>
      <c r="H133" s="12" t="n">
        <v>80</v>
      </c>
      <c r="I133" s="12" t="n">
        <v>56</v>
      </c>
      <c r="J133" s="13" t="n">
        <f aca="false">IFERROR(((G133*H133)/F133)-I133,"")</f>
        <v>1.70034843205575</v>
      </c>
      <c r="K133" s="12" t="str">
        <f aca="false">IF(J133&lt;-10,"MUITO ADIANTADO",IF(J133&lt;-6,"ADIANTADO",IF(J133&lt;6,"EM DIAS",IF(J133&lt;12,"ATRASADO","MUITO ATRASADO"))))</f>
        <v>EM DIAS</v>
      </c>
      <c r="L133" s="9" t="n">
        <v>46163</v>
      </c>
      <c r="M133" s="6" t="n">
        <f aca="true">TODAY()-L133</f>
        <v>8</v>
      </c>
      <c r="N133" s="1" t="str">
        <f aca="false">IF(M133&lt;8,"VERIFICADO",IF(M133&lt;15,"VERIFICAR","VERIFICAR URGENTE"))</f>
        <v>VERIFICAR</v>
      </c>
    </row>
    <row r="134" customFormat="false" ht="15" hidden="false" customHeight="false" outlineLevel="0" collapsed="false">
      <c r="A134" s="6" t="s">
        <v>153</v>
      </c>
      <c r="B134" s="7" t="s">
        <v>24</v>
      </c>
      <c r="C134" s="8" t="n">
        <f aca="false">L134</f>
        <v>46158</v>
      </c>
      <c r="D134" s="9" t="n">
        <v>45808</v>
      </c>
      <c r="E134" s="10" t="n">
        <v>46351</v>
      </c>
      <c r="F134" s="11" t="n">
        <f aca="false">(E134-D134)/7</f>
        <v>77.5714285714286</v>
      </c>
      <c r="G134" s="11" t="n">
        <f aca="true">(TODAY()-D134)/7</f>
        <v>51.8571428571429</v>
      </c>
      <c r="H134" s="12" t="n">
        <v>80</v>
      </c>
      <c r="I134" s="12" t="n">
        <v>54</v>
      </c>
      <c r="J134" s="13" t="n">
        <f aca="false">IFERROR(((G134*H134)/F134)-I134,"")</f>
        <v>-0.519337016574603</v>
      </c>
      <c r="K134" s="12" t="str">
        <f aca="false">IF(J134&lt;-10,"MUITO ADIANTADO",IF(J134&lt;-6,"ADIANTADO",IF(J134&lt;6,"EM DIAS",IF(J134&lt;12,"ATRASADO","MUITO ATRASADO"))))</f>
        <v>EM DIAS</v>
      </c>
      <c r="L134" s="9" t="n">
        <v>46158</v>
      </c>
      <c r="M134" s="6" t="n">
        <f aca="true">TODAY()-L134</f>
        <v>13</v>
      </c>
      <c r="N134" s="1" t="str">
        <f aca="false">IF(M134&lt;8,"VERIFICADO",IF(M134&lt;15,"VERIFICAR","VERIFICAR URGENTE"))</f>
        <v>VERIFICAR</v>
      </c>
    </row>
    <row r="135" customFormat="false" ht="15" hidden="false" customHeight="false" outlineLevel="0" collapsed="false">
      <c r="A135" s="6" t="s">
        <v>154</v>
      </c>
      <c r="B135" s="7" t="s">
        <v>22</v>
      </c>
      <c r="C135" s="8" t="n">
        <f aca="false">L135</f>
        <v>46163</v>
      </c>
      <c r="D135" s="9" t="n">
        <v>46009</v>
      </c>
      <c r="E135" s="10" t="n">
        <v>47406</v>
      </c>
      <c r="F135" s="11" t="n">
        <f aca="false">(E135-D135)/7</f>
        <v>199.571428571429</v>
      </c>
      <c r="G135" s="11" t="n">
        <f aca="true">(TODAY()-D135)/7</f>
        <v>23.1428571428571</v>
      </c>
      <c r="H135" s="12" t="n">
        <v>192</v>
      </c>
      <c r="I135" s="12" t="n">
        <v>27</v>
      </c>
      <c r="J135" s="13" t="n">
        <f aca="false">IFERROR(((G135*H135)/F135)-I135,"")</f>
        <v>-4.73514674302081</v>
      </c>
      <c r="K135" s="12" t="str">
        <f aca="false">IF(J135&lt;-10,"MUITO ADIANTADO",IF(J135&lt;-6,"ADIANTADO",IF(J135&lt;6,"EM DIAS",IF(J135&lt;12,"ATRASADO","MUITO ATRASADO"))))</f>
        <v>EM DIAS</v>
      </c>
      <c r="L135" s="9" t="n">
        <v>46163</v>
      </c>
      <c r="M135" s="6" t="n">
        <f aca="true">TODAY()-L135</f>
        <v>8</v>
      </c>
      <c r="N135" s="1" t="str">
        <f aca="false">IF(M135&lt;8,"VERIFICADO",IF(M135&lt;15,"VERIFICAR","VERIFICAR URGENTE"))</f>
        <v>VERIFICAR</v>
      </c>
    </row>
    <row r="136" customFormat="false" ht="15" hidden="false" customHeight="false" outlineLevel="0" collapsed="false">
      <c r="A136" s="6" t="s">
        <v>155</v>
      </c>
      <c r="B136" s="7" t="s">
        <v>24</v>
      </c>
      <c r="C136" s="8" t="n">
        <f aca="false">L136</f>
        <v>46158</v>
      </c>
      <c r="D136" s="9" t="n">
        <v>45812</v>
      </c>
      <c r="E136" s="10" t="n">
        <v>47572</v>
      </c>
      <c r="F136" s="11" t="n">
        <f aca="false">(E136-D136)/7</f>
        <v>251.428571428571</v>
      </c>
      <c r="G136" s="11" t="n">
        <f aca="true">(TODAY()-D136)/7</f>
        <v>51.2857142857143</v>
      </c>
      <c r="H136" s="12" t="n">
        <v>272</v>
      </c>
      <c r="I136" s="12" t="n">
        <v>45</v>
      </c>
      <c r="J136" s="13" t="n">
        <f aca="false">IFERROR(((G136*H136)/F136)-I136,"")</f>
        <v>10.4818181818183</v>
      </c>
      <c r="K136" s="12" t="str">
        <f aca="false">IF(J136&lt;-10,"MUITO ADIANTADO",IF(J136&lt;-6,"ADIANTADO",IF(J136&lt;6,"EM DIAS",IF(J136&lt;12,"ATRASADO","MUITO ATRASADO"))))</f>
        <v>ATRASADO</v>
      </c>
      <c r="L136" s="9" t="n">
        <v>46158</v>
      </c>
      <c r="M136" s="6" t="n">
        <f aca="true">TODAY()-L136</f>
        <v>13</v>
      </c>
      <c r="N136" s="1" t="str">
        <f aca="false">IF(M136&lt;8,"VERIFICADO",IF(M136&lt;15,"VERIFICAR","VERIFICAR URGENTE"))</f>
        <v>VERIFICAR</v>
      </c>
    </row>
    <row r="137" customFormat="false" ht="15" hidden="false" customHeight="false" outlineLevel="0" collapsed="false">
      <c r="A137" s="6" t="s">
        <v>156</v>
      </c>
      <c r="B137" s="6" t="s">
        <v>19</v>
      </c>
      <c r="C137" s="8" t="n">
        <f aca="false">L137</f>
        <v>46158</v>
      </c>
      <c r="D137" s="9" t="n">
        <v>46088</v>
      </c>
      <c r="E137" s="10" t="n">
        <v>46553</v>
      </c>
      <c r="F137" s="11" t="n">
        <f aca="false">(E137-D137)/7</f>
        <v>66.4285714285714</v>
      </c>
      <c r="G137" s="11" t="n">
        <f aca="true">(TODAY()-D137)/7</f>
        <v>11.8571428571429</v>
      </c>
      <c r="H137" s="12" t="n">
        <v>112</v>
      </c>
      <c r="I137" s="12" t="n">
        <v>25</v>
      </c>
      <c r="J137" s="13" t="n">
        <f aca="false">IFERROR(((G137*H137)/F137)-I137,"")</f>
        <v>-5.00860215053763</v>
      </c>
      <c r="K137" s="12" t="str">
        <f aca="false">IF(J137&lt;-10,"MUITO ADIANTADO",IF(J137&lt;-6,"ADIANTADO",IF(J137&lt;6,"EM DIAS",IF(J137&lt;12,"ATRASADO","MUITO ATRASADO"))))</f>
        <v>EM DIAS</v>
      </c>
      <c r="L137" s="9" t="n">
        <v>46158</v>
      </c>
      <c r="M137" s="6" t="n">
        <f aca="true">TODAY()-L137</f>
        <v>13</v>
      </c>
      <c r="N137" s="1" t="str">
        <f aca="false">IF(M137&lt;8,"VERIFICADO",IF(M137&lt;15,"VERIFICAR","VERIFICAR URGENTE"))</f>
        <v>VERIFICAR</v>
      </c>
    </row>
    <row r="138" customFormat="false" ht="15" hidden="false" customHeight="false" outlineLevel="0" collapsed="false">
      <c r="A138" s="6" t="s">
        <v>157</v>
      </c>
      <c r="B138" s="7" t="s">
        <v>15</v>
      </c>
      <c r="C138" s="8" t="n">
        <f aca="false">L138</f>
        <v>46162</v>
      </c>
      <c r="D138" s="9" t="n">
        <v>46009</v>
      </c>
      <c r="E138" s="10" t="n">
        <v>46388</v>
      </c>
      <c r="F138" s="11" t="n">
        <f aca="false">(E138-D138)/7</f>
        <v>54.1428571428571</v>
      </c>
      <c r="G138" s="11" t="n">
        <f aca="true">(TODAY()-D138)/7</f>
        <v>23.1428571428571</v>
      </c>
      <c r="H138" s="12" t="n">
        <v>48</v>
      </c>
      <c r="I138" s="12" t="n">
        <v>7</v>
      </c>
      <c r="J138" s="13" t="n">
        <f aca="false">IFERROR(((G138*H138)/F138)-I138,"")</f>
        <v>13.5171503957784</v>
      </c>
      <c r="K138" s="12" t="str">
        <f aca="false">IF(J138&lt;-10,"MUITO ADIANTADO",IF(J138&lt;-6,"ADIANTADO",IF(J138&lt;6,"EM DIAS",IF(J138&lt;12,"ATRASADO","MUITO ATRASADO"))))</f>
        <v>MUITO ATRASADO</v>
      </c>
      <c r="L138" s="9" t="n">
        <v>46162</v>
      </c>
      <c r="M138" s="6" t="n">
        <f aca="true">TODAY()-L138</f>
        <v>9</v>
      </c>
      <c r="N138" s="1" t="str">
        <f aca="false">IF(M138&lt;8,"VERIFICADO",IF(M138&lt;15,"VERIFICAR","VERIFICAR URGENTE"))</f>
        <v>VERIFICAR</v>
      </c>
    </row>
    <row r="139" customFormat="false" ht="15" hidden="false" customHeight="false" outlineLevel="0" collapsed="false">
      <c r="A139" s="6" t="s">
        <v>158</v>
      </c>
      <c r="B139" s="7" t="s">
        <v>24</v>
      </c>
      <c r="C139" s="8" t="n">
        <f aca="false">L139</f>
        <v>46160</v>
      </c>
      <c r="D139" s="9" t="n">
        <v>45638</v>
      </c>
      <c r="E139" s="10" t="n">
        <v>46690</v>
      </c>
      <c r="F139" s="11" t="n">
        <f aca="false">(E139-D139)/7</f>
        <v>150.285714285714</v>
      </c>
      <c r="G139" s="11" t="n">
        <f aca="true">(TODAY()-D139)/7</f>
        <v>76.1428571428571</v>
      </c>
      <c r="H139" s="12" t="n">
        <v>160</v>
      </c>
      <c r="I139" s="12" t="n">
        <v>82</v>
      </c>
      <c r="J139" s="13" t="n">
        <f aca="false">IFERROR(((G139*H139)/F139)-I139,"")</f>
        <v>-0.935361216729888</v>
      </c>
      <c r="K139" s="12" t="str">
        <f aca="false">IF(J139&lt;-10,"MUITO ADIANTADO",IF(J139&lt;-6,"ADIANTADO",IF(J139&lt;6,"EM DIAS",IF(J139&lt;12,"ATRASADO","MUITO ATRASADO"))))</f>
        <v>EM DIAS</v>
      </c>
      <c r="L139" s="9" t="n">
        <v>46160</v>
      </c>
      <c r="M139" s="6" t="n">
        <f aca="true">TODAY()-L139</f>
        <v>11</v>
      </c>
      <c r="N139" s="1" t="str">
        <f aca="false">IF(M139&lt;8,"VERIFICADO",IF(M139&lt;15,"VERIFICAR","VERIFICAR URGENTE"))</f>
        <v>VERIFICAR</v>
      </c>
    </row>
    <row r="140" customFormat="false" ht="15" hidden="false" customHeight="false" outlineLevel="0" collapsed="false">
      <c r="A140" s="6" t="s">
        <v>159</v>
      </c>
      <c r="B140" s="7" t="s">
        <v>24</v>
      </c>
      <c r="C140" s="8" t="n">
        <f aca="false">L140</f>
        <v>46161</v>
      </c>
      <c r="D140" s="9" t="n">
        <v>45439</v>
      </c>
      <c r="E140" s="10" t="n">
        <v>46266</v>
      </c>
      <c r="F140" s="11" t="n">
        <f aca="false">(E140-D140)/7</f>
        <v>118.142857142857</v>
      </c>
      <c r="G140" s="11" t="n">
        <f aca="true">(TODAY()-D140)/7</f>
        <v>104.571428571429</v>
      </c>
      <c r="H140" s="12" t="n">
        <v>160</v>
      </c>
      <c r="I140" s="12" t="n">
        <v>142</v>
      </c>
      <c r="J140" s="13" t="n">
        <f aca="false">IFERROR(((G140*H140)/F140)-I140,"")</f>
        <v>-0.379685610640678</v>
      </c>
      <c r="K140" s="12" t="str">
        <f aca="false">IF(J140&lt;-10,"MUITO ADIANTADO",IF(J140&lt;-6,"ADIANTADO",IF(J140&lt;6,"EM DIAS",IF(J140&lt;12,"ATRASADO","MUITO ATRASADO"))))</f>
        <v>EM DIAS</v>
      </c>
      <c r="L140" s="9" t="n">
        <v>46161</v>
      </c>
      <c r="M140" s="6" t="n">
        <f aca="true">TODAY()-L140</f>
        <v>10</v>
      </c>
      <c r="N140" s="1" t="str">
        <f aca="false">IF(M140&lt;8,"VERIFICADO",IF(M140&lt;15,"VERIFICAR","VERIFICAR URGENTE"))</f>
        <v>VERIFICAR</v>
      </c>
    </row>
    <row r="141" customFormat="false" ht="15" hidden="false" customHeight="false" outlineLevel="0" collapsed="false">
      <c r="A141" s="6" t="s">
        <v>160</v>
      </c>
      <c r="B141" s="7" t="s">
        <v>17</v>
      </c>
      <c r="C141" s="8" t="n">
        <f aca="false">L141</f>
        <v>46160</v>
      </c>
      <c r="D141" s="9" t="n">
        <v>45852</v>
      </c>
      <c r="E141" s="10" t="n">
        <v>46412</v>
      </c>
      <c r="F141" s="11" t="n">
        <f aca="false">(E141-D141)/7</f>
        <v>80</v>
      </c>
      <c r="G141" s="11" t="n">
        <f aca="true">(TODAY()-D141)/7</f>
        <v>45.5714285714286</v>
      </c>
      <c r="H141" s="12" t="n">
        <v>80</v>
      </c>
      <c r="I141" s="12" t="n">
        <v>46</v>
      </c>
      <c r="J141" s="13" t="n">
        <f aca="false">IFERROR(((G141*H141)/F141)-I141,"")</f>
        <v>-0.428571428571431</v>
      </c>
      <c r="K141" s="12" t="str">
        <f aca="false">IF(J141&lt;-10,"MUITO ADIANTADO",IF(J141&lt;-6,"ADIANTADO",IF(J141&lt;6,"EM DIAS",IF(J141&lt;12,"ATRASADO","MUITO ATRASADO"))))</f>
        <v>EM DIAS</v>
      </c>
      <c r="L141" s="9" t="n">
        <v>46160</v>
      </c>
      <c r="M141" s="6" t="n">
        <f aca="true">TODAY()-L141</f>
        <v>11</v>
      </c>
      <c r="N141" s="1" t="str">
        <f aca="false">IF(M141&lt;8,"VERIFICADO",IF(M141&lt;15,"VERIFICAR","VERIFICAR URGENTE"))</f>
        <v>VERIFICAR</v>
      </c>
    </row>
    <row r="142" customFormat="false" ht="15" hidden="false" customHeight="false" outlineLevel="0" collapsed="false">
      <c r="A142" s="6" t="s">
        <v>161</v>
      </c>
      <c r="B142" s="7" t="s">
        <v>17</v>
      </c>
      <c r="C142" s="8" t="n">
        <f aca="false">L142</f>
        <v>46162</v>
      </c>
      <c r="D142" s="9" t="n">
        <v>46078</v>
      </c>
      <c r="E142" s="10" t="n">
        <v>46442</v>
      </c>
      <c r="F142" s="11" t="n">
        <f aca="false">(E142-D142)/7</f>
        <v>52</v>
      </c>
      <c r="G142" s="11" t="n">
        <f aca="true">(TODAY()-D142)/7</f>
        <v>13.2857142857143</v>
      </c>
      <c r="H142" s="12" t="n">
        <v>80</v>
      </c>
      <c r="I142" s="12" t="n">
        <v>13</v>
      </c>
      <c r="J142" s="13" t="n">
        <f aca="false">IFERROR(((G142*H142)/F142)-I142,"")</f>
        <v>7.43956043956044</v>
      </c>
      <c r="K142" s="12" t="str">
        <f aca="false">IF(J142&lt;-10,"MUITO ADIANTADO",IF(J142&lt;-6,"ADIANTADO",IF(J142&lt;6,"EM DIAS",IF(J142&lt;12,"ATRASADO","MUITO ATRASADO"))))</f>
        <v>ATRASADO</v>
      </c>
      <c r="L142" s="9" t="n">
        <v>46162</v>
      </c>
      <c r="M142" s="6" t="n">
        <f aca="true">TODAY()-L142</f>
        <v>9</v>
      </c>
      <c r="N142" s="1" t="str">
        <f aca="false">IF(M142&lt;8,"VERIFICADO",IF(M142&lt;15,"VERIFICAR","VERIFICAR URGENTE"))</f>
        <v>VERIFICAR</v>
      </c>
    </row>
    <row r="143" customFormat="false" ht="15" hidden="false" customHeight="false" outlineLevel="0" collapsed="false">
      <c r="A143" s="6" t="s">
        <v>162</v>
      </c>
      <c r="B143" s="7" t="s">
        <v>24</v>
      </c>
      <c r="C143" s="8" t="n">
        <f aca="false">L143</f>
        <v>46163</v>
      </c>
      <c r="D143" s="9" t="n">
        <v>46086</v>
      </c>
      <c r="E143" s="9" t="n">
        <v>46767</v>
      </c>
      <c r="F143" s="11" t="n">
        <f aca="false">(E143-D143)/7</f>
        <v>97.2857142857143</v>
      </c>
      <c r="G143" s="11" t="n">
        <f aca="true">(TODAY()-D143)/7</f>
        <v>12.1428571428571</v>
      </c>
      <c r="H143" s="12" t="n">
        <v>112</v>
      </c>
      <c r="I143" s="12" t="n">
        <v>9</v>
      </c>
      <c r="J143" s="13" t="n">
        <f aca="false">IFERROR(((G143*H143)/F143)-I143,"")</f>
        <v>4.97944199706314</v>
      </c>
      <c r="K143" s="12" t="str">
        <f aca="false">IF(J143&lt;-10,"MUITO ADIANTADO",IF(J143&lt;-6,"ADIANTADO",IF(J143&lt;6,"EM DIAS",IF(J143&lt;12,"ATRASADO","MUITO ATRASADO"))))</f>
        <v>EM DIAS</v>
      </c>
      <c r="L143" s="9" t="n">
        <v>46163</v>
      </c>
      <c r="M143" s="6" t="n">
        <f aca="true">TODAY()-L143</f>
        <v>8</v>
      </c>
      <c r="N143" s="1" t="str">
        <f aca="false">IF(M143&lt;8,"VERIFICADO",IF(M143&lt;15,"VERIFICAR","VERIFICAR URGENTE"))</f>
        <v>VERIFICAR</v>
      </c>
    </row>
    <row r="144" customFormat="false" ht="15" hidden="false" customHeight="false" outlineLevel="0" collapsed="false">
      <c r="A144" s="6" t="s">
        <v>163</v>
      </c>
      <c r="B144" s="7" t="s">
        <v>19</v>
      </c>
      <c r="C144" s="8" t="n">
        <f aca="false">L144</f>
        <v>46158</v>
      </c>
      <c r="D144" s="9" t="n">
        <v>46081</v>
      </c>
      <c r="E144" s="10" t="n">
        <v>46781</v>
      </c>
      <c r="F144" s="11" t="n">
        <f aca="false">(E144-D144)/7</f>
        <v>100</v>
      </c>
      <c r="G144" s="11" t="n">
        <f aca="true">(TODAY()-D144)/7</f>
        <v>12.8571428571429</v>
      </c>
      <c r="H144" s="12" t="n">
        <v>112</v>
      </c>
      <c r="I144" s="12" t="n">
        <v>20</v>
      </c>
      <c r="J144" s="13" t="n">
        <f aca="false">IFERROR(((G144*H144)/F144)-I144,"")</f>
        <v>-5.6</v>
      </c>
      <c r="K144" s="12" t="str">
        <f aca="false">IF(J144&lt;-10,"MUITO ADIANTADO",IF(J144&lt;-6,"ADIANTADO",IF(J144&lt;6,"EM DIAS",IF(J144&lt;12,"ATRASADO","MUITO ATRASADO"))))</f>
        <v>EM DIAS</v>
      </c>
      <c r="L144" s="9" t="n">
        <v>46158</v>
      </c>
      <c r="M144" s="6" t="n">
        <f aca="true">TODAY()-L144</f>
        <v>13</v>
      </c>
      <c r="N144" s="1" t="str">
        <f aca="false">IF(M144&lt;8,"VERIFICADO",IF(M144&lt;15,"VERIFICAR","VERIFICAR URGENTE"))</f>
        <v>VERIFICAR</v>
      </c>
    </row>
    <row r="145" customFormat="false" ht="15" hidden="false" customHeight="false" outlineLevel="0" collapsed="false">
      <c r="A145" s="6" t="s">
        <v>164</v>
      </c>
      <c r="B145" s="7" t="s">
        <v>19</v>
      </c>
      <c r="C145" s="8" t="n">
        <f aca="false">L145</f>
        <v>46158</v>
      </c>
      <c r="D145" s="9" t="n">
        <v>45383</v>
      </c>
      <c r="E145" s="10" t="n">
        <v>46109</v>
      </c>
      <c r="F145" s="11" t="n">
        <f aca="false">(E145-D145)/7</f>
        <v>103.714285714286</v>
      </c>
      <c r="G145" s="11" t="n">
        <f aca="true">(TODAY()-D145)/7</f>
        <v>112.571428571429</v>
      </c>
      <c r="H145" s="12" t="n">
        <v>80</v>
      </c>
      <c r="I145" s="12" t="n">
        <v>93</v>
      </c>
      <c r="J145" s="13" t="n">
        <f aca="false">IFERROR(((G145*H145)/F145)-I145,"")</f>
        <v>-6.16804407713522</v>
      </c>
      <c r="K145" s="12" t="str">
        <f aca="false">IF(J145&lt;-10,"MUITO ADIANTADO",IF(J145&lt;-6,"ADIANTADO",IF(J145&lt;6,"EM DIAS",IF(J145&lt;12,"ATRASADO","MUITO ATRASADO"))))</f>
        <v>ADIANTADO</v>
      </c>
      <c r="L145" s="9" t="n">
        <v>46158</v>
      </c>
      <c r="M145" s="6" t="n">
        <f aca="true">TODAY()-L145</f>
        <v>13</v>
      </c>
      <c r="N145" s="1" t="str">
        <f aca="false">IF(M145&lt;8,"VERIFICADO",IF(M145&lt;15,"VERIFICAR","VERIFICAR URGENTE"))</f>
        <v>VERIFICAR</v>
      </c>
    </row>
    <row r="146" customFormat="false" ht="15" hidden="false" customHeight="false" outlineLevel="0" collapsed="false">
      <c r="A146" s="6" t="s">
        <v>165</v>
      </c>
      <c r="B146" s="7" t="s">
        <v>15</v>
      </c>
      <c r="C146" s="8" t="n">
        <f aca="false">L146</f>
        <v>46163</v>
      </c>
      <c r="D146" s="9" t="n">
        <v>46128</v>
      </c>
      <c r="E146" s="10" t="n">
        <v>46828</v>
      </c>
      <c r="F146" s="11" t="n">
        <f aca="false">(E146-D146)/7</f>
        <v>100</v>
      </c>
      <c r="G146" s="11" t="n">
        <f aca="true">(TODAY()-D146)/7</f>
        <v>6.14285714285714</v>
      </c>
      <c r="H146" s="12" t="n">
        <v>80</v>
      </c>
      <c r="I146" s="12" t="n">
        <v>8</v>
      </c>
      <c r="J146" s="13" t="n">
        <f aca="false">IFERROR(((G146*H146)/F146)-I146,"")</f>
        <v>-3.08571428571429</v>
      </c>
      <c r="K146" s="12" t="str">
        <f aca="false">IF(J146&lt;-10,"MUITO ADIANTADO",IF(J146&lt;-6,"ADIANTADO",IF(J146&lt;6,"EM DIAS",IF(J146&lt;12,"ATRASADO","MUITO ATRASADO"))))</f>
        <v>EM DIAS</v>
      </c>
      <c r="L146" s="9" t="n">
        <v>46163</v>
      </c>
      <c r="M146" s="6" t="n">
        <f aca="true">TODAY()-L146</f>
        <v>8</v>
      </c>
      <c r="N146" s="1" t="str">
        <f aca="false">IF(M146&lt;8,"VERIFICADO",IF(M146&lt;15,"VERIFICAR","VERIFICAR URGENTE"))</f>
        <v>VERIFICAR</v>
      </c>
    </row>
    <row r="147" customFormat="false" ht="15" hidden="false" customHeight="false" outlineLevel="0" collapsed="false">
      <c r="A147" s="6" t="s">
        <v>166</v>
      </c>
      <c r="B147" s="6" t="s">
        <v>19</v>
      </c>
      <c r="C147" s="8" t="n">
        <f aca="false">L147</f>
        <v>46158</v>
      </c>
      <c r="D147" s="9" t="n">
        <v>45584</v>
      </c>
      <c r="E147" s="10" t="n">
        <v>46465</v>
      </c>
      <c r="F147" s="11" t="n">
        <f aca="false">(E147-D147)/7</f>
        <v>125.857142857143</v>
      </c>
      <c r="G147" s="11" t="n">
        <f aca="true">(TODAY()-D147)/7</f>
        <v>83.8571428571429</v>
      </c>
      <c r="H147" s="12" t="n">
        <v>128</v>
      </c>
      <c r="I147" s="12" t="n">
        <v>90</v>
      </c>
      <c r="J147" s="13" t="n">
        <f aca="false">IFERROR(((G147*H147)/F147)-I147,"")</f>
        <v>-4.71509648127137</v>
      </c>
      <c r="K147" s="12" t="str">
        <f aca="false">IF(J147&lt;-10,"MUITO ADIANTADO",IF(J147&lt;-6,"ADIANTADO",IF(J147&lt;6,"EM DIAS",IF(J147&lt;12,"ATRASADO","MUITO ATRASADO"))))</f>
        <v>EM DIAS</v>
      </c>
      <c r="L147" s="9" t="n">
        <v>46158</v>
      </c>
      <c r="M147" s="6" t="n">
        <f aca="true">TODAY()-L147</f>
        <v>13</v>
      </c>
      <c r="N147" s="1" t="str">
        <f aca="false">IF(M147&lt;8,"VERIFICADO",IF(M147&lt;15,"VERIFICAR","VERIFICAR URGENTE"))</f>
        <v>VERIFICAR</v>
      </c>
    </row>
    <row r="148" customFormat="false" ht="15" hidden="false" customHeight="false" outlineLevel="0" collapsed="false">
      <c r="A148" s="6" t="s">
        <v>167</v>
      </c>
      <c r="B148" s="6" t="s">
        <v>19</v>
      </c>
      <c r="C148" s="8" t="n">
        <f aca="false">L148</f>
        <v>46158</v>
      </c>
      <c r="D148" s="9" t="n">
        <v>45674</v>
      </c>
      <c r="E148" s="10" t="n">
        <v>46402</v>
      </c>
      <c r="F148" s="11" t="n">
        <f aca="false">(E148-D148)/7</f>
        <v>104</v>
      </c>
      <c r="G148" s="11" t="n">
        <f aca="true">(TODAY()-D148)/7</f>
        <v>71</v>
      </c>
      <c r="H148" s="12" t="n">
        <v>80</v>
      </c>
      <c r="I148" s="12" t="n">
        <v>58</v>
      </c>
      <c r="J148" s="13" t="n">
        <f aca="false">IFERROR(((G148*H148)/F148)-I148,"")</f>
        <v>-3.38461538461539</v>
      </c>
      <c r="K148" s="12" t="str">
        <f aca="false">IF(J148&lt;-10,"MUITO ADIANTADO",IF(J148&lt;-6,"ADIANTADO",IF(J148&lt;6,"EM DIAS",IF(J148&lt;12,"ATRASADO","MUITO ATRASADO"))))</f>
        <v>EM DIAS</v>
      </c>
      <c r="L148" s="9" t="n">
        <v>46158</v>
      </c>
      <c r="M148" s="6" t="n">
        <f aca="true">TODAY()-L148</f>
        <v>13</v>
      </c>
      <c r="N148" s="1" t="str">
        <f aca="false">IF(M148&lt;8,"VERIFICADO",IF(M148&lt;15,"VERIFICAR","VERIFICAR URGENTE"))</f>
        <v>VERIFICAR</v>
      </c>
    </row>
    <row r="149" customFormat="false" ht="15" hidden="false" customHeight="false" outlineLevel="0" collapsed="false">
      <c r="A149" s="6" t="s">
        <v>168</v>
      </c>
      <c r="B149" s="7" t="s">
        <v>24</v>
      </c>
      <c r="C149" s="8" t="n">
        <f aca="false">L149</f>
        <v>46160</v>
      </c>
      <c r="D149" s="9" t="n">
        <v>46118</v>
      </c>
      <c r="E149" s="10" t="n">
        <v>46798</v>
      </c>
      <c r="F149" s="11" t="n">
        <f aca="false">(E149-D149)/7</f>
        <v>97.1428571428571</v>
      </c>
      <c r="G149" s="11" t="n">
        <v>0</v>
      </c>
      <c r="H149" s="12" t="n">
        <v>112</v>
      </c>
      <c r="I149" s="12" t="n">
        <v>4</v>
      </c>
      <c r="J149" s="13" t="n">
        <f aca="false">IFERROR(((G149*H149)/F149)-I149,"")</f>
        <v>-4</v>
      </c>
      <c r="K149" s="12" t="str">
        <f aca="false">IF(J149&lt;-10,"MUITO ADIANTADO",IF(J149&lt;-6,"ADIANTADO",IF(J149&lt;6,"EM DIAS",IF(J149&lt;12,"ATRASADO","MUITO ATRASADO"))))</f>
        <v>EM DIAS</v>
      </c>
      <c r="L149" s="9" t="n">
        <v>46160</v>
      </c>
      <c r="M149" s="6" t="n">
        <f aca="true">TODAY()-L149</f>
        <v>11</v>
      </c>
      <c r="N149" s="1" t="str">
        <f aca="false">IF(M149&lt;8,"VERIFICADO",IF(M149&lt;15,"VERIFICAR","VERIFICAR URGENTE"))</f>
        <v>VERIFICAR</v>
      </c>
    </row>
    <row r="150" customFormat="false" ht="15" hidden="false" customHeight="false" outlineLevel="0" collapsed="false">
      <c r="A150" s="7" t="s">
        <v>169</v>
      </c>
      <c r="B150" s="7" t="s">
        <v>22</v>
      </c>
      <c r="C150" s="8" t="n">
        <f aca="false">L150</f>
        <v>46163</v>
      </c>
      <c r="D150" s="9" t="n">
        <v>45571</v>
      </c>
      <c r="E150" s="10" t="n">
        <v>46236</v>
      </c>
      <c r="F150" s="11" t="n">
        <f aca="false">(E150-D150)/7</f>
        <v>95</v>
      </c>
      <c r="G150" s="11" t="n">
        <f aca="true">(TODAY()-D150)/7</f>
        <v>85.7142857142857</v>
      </c>
      <c r="H150" s="12" t="n">
        <v>128</v>
      </c>
      <c r="I150" s="12" t="n">
        <v>116</v>
      </c>
      <c r="J150" s="13" t="n">
        <f aca="false">IFERROR(((G150*H150)/F150)-I150,"")</f>
        <v>-0.511278195488728</v>
      </c>
      <c r="K150" s="12" t="str">
        <f aca="false">IF(J150&lt;-10,"MUITO ADIANTADO",IF(J150&lt;-6,"ADIANTADO",IF(J150&lt;6,"EM DIAS",IF(J150&lt;12,"ATRASADO","MUITO ATRASADO"))))</f>
        <v>EM DIAS</v>
      </c>
      <c r="L150" s="9" t="n">
        <v>46163</v>
      </c>
      <c r="M150" s="6" t="n">
        <f aca="true">TODAY()-L150</f>
        <v>8</v>
      </c>
      <c r="N150" s="1" t="str">
        <f aca="false">IF(M150&lt;8,"VERIFICADO",IF(M150&lt;15,"VERIFICAR","VERIFICAR URGENTE"))</f>
        <v>VERIFICAR</v>
      </c>
    </row>
    <row r="151" customFormat="false" ht="15" hidden="false" customHeight="false" outlineLevel="0" collapsed="false">
      <c r="A151" s="6" t="s">
        <v>170</v>
      </c>
      <c r="B151" s="7" t="s">
        <v>15</v>
      </c>
      <c r="C151" s="8" t="n">
        <f aca="false">L151</f>
        <v>46160</v>
      </c>
      <c r="D151" s="9" t="n">
        <v>46055</v>
      </c>
      <c r="E151" s="10" t="n">
        <v>46528</v>
      </c>
      <c r="F151" s="11" t="n">
        <f aca="false">(E151-D151)/7</f>
        <v>67.5714285714286</v>
      </c>
      <c r="G151" s="11" t="n">
        <f aca="true">(TODAY()-D151)/7</f>
        <v>16.5714285714286</v>
      </c>
      <c r="H151" s="12" t="n">
        <v>64</v>
      </c>
      <c r="I151" s="12" t="n">
        <v>23</v>
      </c>
      <c r="J151" s="13" t="n">
        <f aca="false">IFERROR(((G151*H151)/F151)-I151,"")</f>
        <v>-7.30443974630022</v>
      </c>
      <c r="K151" s="12" t="str">
        <f aca="false">IF(J151&lt;-10,"MUITO ADIANTADO",IF(J151&lt;-6,"ADIANTADO",IF(J151&lt;6,"EM DIAS",IF(J151&lt;12,"ATRASADO","MUITO ATRASADO"))))</f>
        <v>ADIANTADO</v>
      </c>
      <c r="L151" s="9" t="n">
        <v>46160</v>
      </c>
      <c r="M151" s="6" t="n">
        <f aca="true">TODAY()-L151</f>
        <v>11</v>
      </c>
      <c r="N151" s="1" t="str">
        <f aca="false">IF(M151&lt;8,"VERIFICADO",IF(M151&lt;15,"VERIFICAR","VERIFICAR URGENTE"))</f>
        <v>VERIFICAR</v>
      </c>
    </row>
    <row r="152" customFormat="false" ht="15" hidden="false" customHeight="false" outlineLevel="0" collapsed="false">
      <c r="A152" s="6" t="s">
        <v>171</v>
      </c>
      <c r="B152" s="7" t="s">
        <v>24</v>
      </c>
      <c r="C152" s="8" t="n">
        <f aca="false">L152</f>
        <v>46162</v>
      </c>
      <c r="D152" s="9" t="n">
        <v>46057</v>
      </c>
      <c r="E152" s="10" t="n">
        <v>46888</v>
      </c>
      <c r="F152" s="11" t="n">
        <f aca="false">(E152-D152)/7</f>
        <v>118.714285714286</v>
      </c>
      <c r="G152" s="11" t="n">
        <f aca="true">(TODAY()-D152)/7</f>
        <v>16.2857142857143</v>
      </c>
      <c r="H152" s="12" t="n">
        <v>128</v>
      </c>
      <c r="I152" s="12" t="n">
        <v>10</v>
      </c>
      <c r="J152" s="13" t="n">
        <f aca="false">IFERROR(((G152*H152)/F152)-I152,"")</f>
        <v>7.55956678700357</v>
      </c>
      <c r="K152" s="12" t="str">
        <f aca="false">IF(J152&lt;-10,"MUITO ADIANTADO",IF(J152&lt;-6,"ADIANTADO",IF(J152&lt;6,"EM DIAS",IF(J152&lt;12,"ATRASADO","MUITO ATRASADO"))))</f>
        <v>ATRASADO</v>
      </c>
      <c r="L152" s="9" t="n">
        <v>46162</v>
      </c>
      <c r="M152" s="6" t="n">
        <f aca="true">TODAY()-L152</f>
        <v>9</v>
      </c>
      <c r="N152" s="1" t="str">
        <f aca="false">IF(M152&lt;8,"VERIFICADO",IF(M152&lt;15,"VERIFICAR","VERIFICAR URGENTE"))</f>
        <v>VERIFICAR</v>
      </c>
    </row>
    <row r="153" customFormat="false" ht="15" hidden="false" customHeight="false" outlineLevel="0" collapsed="false">
      <c r="A153" s="6" t="s">
        <v>172</v>
      </c>
      <c r="B153" s="7" t="s">
        <v>65</v>
      </c>
      <c r="C153" s="8" t="n">
        <f aca="false">L153</f>
        <v>46178</v>
      </c>
      <c r="D153" s="9" t="n">
        <v>45947</v>
      </c>
      <c r="E153" s="10" t="n">
        <v>46315</v>
      </c>
      <c r="F153" s="11" t="n">
        <f aca="false">(E153-D153)/7</f>
        <v>52.5714285714286</v>
      </c>
      <c r="G153" s="11" t="n">
        <f aca="true">(TODAY()-D153)/7</f>
        <v>32</v>
      </c>
      <c r="H153" s="12" t="n">
        <v>100</v>
      </c>
      <c r="I153" s="12" t="n">
        <v>48</v>
      </c>
      <c r="J153" s="13" t="n">
        <f aca="false">IFERROR(((G153*H153)/F153)-I153,"")</f>
        <v>12.8695652173913</v>
      </c>
      <c r="K153" s="12" t="str">
        <f aca="false">IF(J153&lt;-10,"MUITO ADIANTADO",IF(J153&lt;-6,"ADIANTADO",IF(J153&lt;6,"EM DIAS",IF(J153&lt;12,"ATRASADO","MUITO ATRASADO"))))</f>
        <v>MUITO ATRASADO</v>
      </c>
      <c r="L153" s="9" t="n">
        <v>46178</v>
      </c>
      <c r="M153" s="6" t="n">
        <f aca="true">TODAY()-L153</f>
        <v>-7</v>
      </c>
      <c r="N153" s="1" t="str">
        <f aca="false">IF(M153&lt;8,"VERIFICADO",IF(M153&lt;15,"VERIFICAR","VERIFICAR URGENTE"))</f>
        <v>VERIFICADO</v>
      </c>
    </row>
    <row r="154" customFormat="false" ht="15" hidden="false" customHeight="false" outlineLevel="0" collapsed="false">
      <c r="A154" s="6" t="s">
        <v>172</v>
      </c>
      <c r="B154" s="7" t="s">
        <v>24</v>
      </c>
      <c r="C154" s="8" t="n">
        <f aca="false">L154</f>
        <v>46160</v>
      </c>
      <c r="D154" s="9" t="n">
        <v>45922</v>
      </c>
      <c r="E154" s="10" t="n">
        <v>46461</v>
      </c>
      <c r="F154" s="11" t="n">
        <f aca="false">(E154-D154)/7</f>
        <v>77</v>
      </c>
      <c r="G154" s="11" t="n">
        <f aca="true">(TODAY()-D154)/7</f>
        <v>35.5714285714286</v>
      </c>
      <c r="H154" s="12" t="n">
        <v>80</v>
      </c>
      <c r="I154" s="12" t="n">
        <v>34</v>
      </c>
      <c r="J154" s="13" t="n">
        <f aca="false">IFERROR(((G154*H154)/F154)-I154,"")</f>
        <v>2.95732838589981</v>
      </c>
      <c r="K154" s="12" t="str">
        <f aca="false">IF(J154&lt;-10,"MUITO ADIANTADO",IF(J154&lt;-6,"ADIANTADO",IF(J154&lt;6,"EM DIAS",IF(J154&lt;12,"ATRASADO","MUITO ATRASADO"))))</f>
        <v>EM DIAS</v>
      </c>
      <c r="L154" s="9" t="n">
        <v>46160</v>
      </c>
      <c r="M154" s="6" t="n">
        <f aca="true">TODAY()-L154</f>
        <v>11</v>
      </c>
      <c r="N154" s="1" t="str">
        <f aca="false">IF(M154&lt;8,"VERIFICADO",IF(M154&lt;15,"VERIFICAR","VERIFICAR URGENTE"))</f>
        <v>VERIFICAR</v>
      </c>
    </row>
    <row r="155" customFormat="false" ht="15" hidden="false" customHeight="false" outlineLevel="0" collapsed="false">
      <c r="A155" s="6" t="s">
        <v>173</v>
      </c>
      <c r="B155" s="7" t="s">
        <v>22</v>
      </c>
      <c r="C155" s="8" t="n">
        <f aca="false">L155</f>
        <v>46161</v>
      </c>
      <c r="D155" s="9" t="n">
        <v>45757</v>
      </c>
      <c r="E155" s="10" t="n">
        <v>46445</v>
      </c>
      <c r="F155" s="11" t="n">
        <f aca="false">(E155-D155)/7</f>
        <v>98.2857142857143</v>
      </c>
      <c r="G155" s="11" t="n">
        <f aca="true">(TODAY()-D155)/7</f>
        <v>59.1428571428571</v>
      </c>
      <c r="H155" s="12" t="n">
        <v>80</v>
      </c>
      <c r="I155" s="12" t="n">
        <v>50</v>
      </c>
      <c r="J155" s="13" t="n">
        <f aca="false">IFERROR(((G155*H155)/F155)-I155,"")</f>
        <v>-1.86046511627908</v>
      </c>
      <c r="K155" s="12" t="str">
        <f aca="false">IF(J155&lt;-10,"MUITO ADIANTADO",IF(J155&lt;-6,"ADIANTADO",IF(J155&lt;6,"EM DIAS",IF(J155&lt;12,"ATRASADO","MUITO ATRASADO"))))</f>
        <v>EM DIAS</v>
      </c>
      <c r="L155" s="9" t="n">
        <v>46161</v>
      </c>
      <c r="M155" s="6" t="n">
        <f aca="true">TODAY()-L155</f>
        <v>10</v>
      </c>
      <c r="N155" s="1" t="str">
        <f aca="false">IF(M155&lt;8,"VERIFICADO",IF(M155&lt;15,"VERIFICAR","VERIFICAR URGENTE"))</f>
        <v>VERIFICAR</v>
      </c>
    </row>
    <row r="156" customFormat="false" ht="15" hidden="false" customHeight="false" outlineLevel="0" collapsed="false">
      <c r="A156" s="6" t="s">
        <v>174</v>
      </c>
      <c r="B156" s="7" t="s">
        <v>24</v>
      </c>
      <c r="C156" s="8" t="n">
        <f aca="false">L156</f>
        <v>46162</v>
      </c>
      <c r="D156" s="9" t="n">
        <v>46148</v>
      </c>
      <c r="E156" s="10" t="n">
        <v>46295</v>
      </c>
      <c r="F156" s="11" t="n">
        <f aca="false">(E156-D156)/7</f>
        <v>21</v>
      </c>
      <c r="G156" s="11" t="n">
        <f aca="true">(TODAY()-D156)/7</f>
        <v>3.28571428571429</v>
      </c>
      <c r="H156" s="12" t="n">
        <v>16</v>
      </c>
      <c r="I156" s="12" t="n">
        <v>2</v>
      </c>
      <c r="J156" s="13" t="n">
        <f aca="false">IFERROR(((G156*H156)/F156)-I156,"")</f>
        <v>0.503401360544218</v>
      </c>
      <c r="K156" s="12" t="str">
        <f aca="false">IF(J156&lt;-10,"MUITO ADIANTADO",IF(J156&lt;-6,"ADIANTADO",IF(J156&lt;6,"EM DIAS",IF(J156&lt;12,"ATRASADO","MUITO ATRASADO"))))</f>
        <v>EM DIAS</v>
      </c>
      <c r="L156" s="9" t="n">
        <v>46162</v>
      </c>
      <c r="M156" s="6" t="n">
        <f aca="true">TODAY()-L156</f>
        <v>9</v>
      </c>
      <c r="N156" s="1" t="str">
        <f aca="false">IF(M156&lt;8,"VERIFICADO",IF(M156&lt;15,"VERIFICAR","VERIFICAR URGENTE"))</f>
        <v>VERIFICAR</v>
      </c>
    </row>
    <row r="157" customFormat="false" ht="15" hidden="false" customHeight="false" outlineLevel="0" collapsed="false">
      <c r="A157" s="6" t="s">
        <v>175</v>
      </c>
      <c r="B157" s="7" t="s">
        <v>24</v>
      </c>
      <c r="C157" s="8" t="n">
        <f aca="false">L157</f>
        <v>46161</v>
      </c>
      <c r="D157" s="9" t="n">
        <v>46139</v>
      </c>
      <c r="E157" s="10" t="n">
        <v>46826</v>
      </c>
      <c r="F157" s="11" t="n">
        <f aca="false">(E157-D157)/7</f>
        <v>98.1428571428571</v>
      </c>
      <c r="G157" s="11" t="n">
        <f aca="true">(TODAY()-D157)/7</f>
        <v>4.57142857142857</v>
      </c>
      <c r="H157" s="12" t="n">
        <v>112</v>
      </c>
      <c r="I157" s="12" t="n">
        <v>6</v>
      </c>
      <c r="J157" s="13" t="n">
        <f aca="false">IFERROR(((G157*H157)/F157)-I157,"")</f>
        <v>-0.783114992721977</v>
      </c>
      <c r="K157" s="12" t="str">
        <f aca="false">IF(J157&lt;-10,"MUITO ADIANTADO",IF(J157&lt;-6,"ADIANTADO",IF(J157&lt;6,"EM DIAS",IF(J157&lt;12,"ATRASADO","MUITO ATRASADO"))))</f>
        <v>EM DIAS</v>
      </c>
      <c r="L157" s="9" t="n">
        <v>46161</v>
      </c>
      <c r="M157" s="6" t="n">
        <f aca="true">TODAY()-L157</f>
        <v>10</v>
      </c>
      <c r="N157" s="1" t="str">
        <f aca="false">IF(M157&lt;8,"VERIFICADO",IF(M157&lt;15,"VERIFICAR","VERIFICAR URGENTE"))</f>
        <v>VERIFICAR</v>
      </c>
    </row>
    <row r="158" customFormat="false" ht="15" hidden="false" customHeight="false" outlineLevel="0" collapsed="false">
      <c r="A158" s="6" t="s">
        <v>176</v>
      </c>
      <c r="B158" s="7" t="s">
        <v>24</v>
      </c>
      <c r="C158" s="8" t="n">
        <f aca="false">L158</f>
        <v>46162</v>
      </c>
      <c r="D158" s="9" t="n">
        <v>45182</v>
      </c>
      <c r="E158" s="10" t="n">
        <v>46264</v>
      </c>
      <c r="F158" s="11" t="n">
        <f aca="false">(E158-D158)/7</f>
        <v>154.571428571429</v>
      </c>
      <c r="G158" s="11" t="n">
        <f aca="true">(TODAY()-D158)/7</f>
        <v>141.285714285714</v>
      </c>
      <c r="H158" s="12" t="n">
        <v>176</v>
      </c>
      <c r="I158" s="12" t="n">
        <v>157</v>
      </c>
      <c r="J158" s="13" t="n">
        <f aca="false">IFERROR(((G158*H158)/F158)-I158,"")</f>
        <v>3.87245841035073</v>
      </c>
      <c r="K158" s="12" t="str">
        <f aca="false">IF(J158&lt;-10,"MUITO ADIANTADO",IF(J158&lt;-6,"ADIANTADO",IF(J158&lt;6,"EM DIAS",IF(J158&lt;12,"ATRASADO","MUITO ATRASADO"))))</f>
        <v>EM DIAS</v>
      </c>
      <c r="L158" s="9" t="n">
        <v>46162</v>
      </c>
      <c r="M158" s="6" t="n">
        <f aca="true">TODAY()-L158</f>
        <v>9</v>
      </c>
      <c r="N158" s="1" t="str">
        <f aca="false">IF(M158&lt;8,"VERIFICADO",IF(M158&lt;15,"VERIFICAR","VERIFICAR URGENTE"))</f>
        <v>VERIFICAR</v>
      </c>
    </row>
    <row r="159" customFormat="false" ht="15" hidden="false" customHeight="false" outlineLevel="0" collapsed="false">
      <c r="A159" s="6" t="s">
        <v>177</v>
      </c>
      <c r="B159" s="7" t="s">
        <v>17</v>
      </c>
      <c r="C159" s="8" t="n">
        <f aca="false">L159</f>
        <v>46162</v>
      </c>
      <c r="D159" s="9" t="n">
        <v>45850</v>
      </c>
      <c r="E159" s="10" t="n">
        <v>46397</v>
      </c>
      <c r="F159" s="11" t="n">
        <f aca="false">(E159-D159)/7</f>
        <v>78.1428571428571</v>
      </c>
      <c r="G159" s="11" t="n">
        <f aca="true">(TODAY()-D159)/7</f>
        <v>45.8571428571429</v>
      </c>
      <c r="H159" s="12" t="n">
        <v>80</v>
      </c>
      <c r="I159" s="15" t="n">
        <v>56</v>
      </c>
      <c r="J159" s="13" t="n">
        <f aca="false">IFERROR(((G159*H159)/F159)-I159,"")</f>
        <v>-9.05301645338206</v>
      </c>
      <c r="K159" s="12" t="str">
        <f aca="false">IF(J159&lt;-10,"MUITO ADIANTADO",IF(J159&lt;-6,"ADIANTADO",IF(J159&lt;6,"EM DIAS",IF(J159&lt;12,"ATRASADO","MUITO ATRASADO"))))</f>
        <v>ADIANTADO</v>
      </c>
      <c r="L159" s="9" t="n">
        <v>46162</v>
      </c>
      <c r="M159" s="6" t="n">
        <f aca="true">TODAY()-L159</f>
        <v>9</v>
      </c>
      <c r="N159" s="1" t="str">
        <f aca="false">IF(M159&lt;8,"VERIFICADO",IF(M159&lt;15,"VERIFICAR","VERIFICAR URGENTE"))</f>
        <v>VERIFICAR</v>
      </c>
    </row>
    <row r="160" customFormat="false" ht="15" hidden="false" customHeight="false" outlineLevel="0" collapsed="false">
      <c r="A160" s="6" t="s">
        <v>178</v>
      </c>
      <c r="B160" s="7" t="s">
        <v>24</v>
      </c>
      <c r="C160" s="8" t="n">
        <f aca="false">L160</f>
        <v>46160</v>
      </c>
      <c r="D160" s="9" t="n">
        <v>45936</v>
      </c>
      <c r="E160" s="10" t="n">
        <v>46148</v>
      </c>
      <c r="F160" s="11" t="n">
        <f aca="false">(E160-D160)/7</f>
        <v>30.2857142857143</v>
      </c>
      <c r="G160" s="11" t="n">
        <f aca="true">(TODAY()-D160)/7</f>
        <v>33.5714285714286</v>
      </c>
      <c r="H160" s="12" t="n">
        <v>32</v>
      </c>
      <c r="I160" s="12" t="n">
        <v>27</v>
      </c>
      <c r="J160" s="13" t="n">
        <f aca="false">IFERROR(((G160*H160)/F160)-I160,"")</f>
        <v>8.47169811320753</v>
      </c>
      <c r="K160" s="12" t="str">
        <f aca="false">IF(J160&lt;-10,"MUITO ADIANTADO",IF(J160&lt;-6,"ADIANTADO",IF(J160&lt;6,"EM DIAS",IF(J160&lt;12,"ATRASADO","MUITO ATRASADO"))))</f>
        <v>ATRASADO</v>
      </c>
      <c r="L160" s="9" t="n">
        <v>46160</v>
      </c>
      <c r="M160" s="6" t="n">
        <f aca="true">TODAY()-L160</f>
        <v>11</v>
      </c>
      <c r="N160" s="1" t="str">
        <f aca="false">IF(M160&lt;8,"VERIFICADO",IF(M160&lt;15,"VERIFICAR","VERIFICAR URGENTE"))</f>
        <v>VERIFICAR</v>
      </c>
    </row>
    <row r="161" customFormat="false" ht="15" hidden="false" customHeight="false" outlineLevel="0" collapsed="false">
      <c r="A161" s="6" t="s">
        <v>179</v>
      </c>
      <c r="B161" s="7" t="s">
        <v>15</v>
      </c>
      <c r="C161" s="8" t="n">
        <f aca="false">L161</f>
        <v>46165</v>
      </c>
      <c r="D161" s="9" t="n">
        <v>45812</v>
      </c>
      <c r="E161" s="10" t="n">
        <v>46373</v>
      </c>
      <c r="F161" s="11" t="n">
        <f aca="false">(E161-D161)/7</f>
        <v>80.1428571428571</v>
      </c>
      <c r="G161" s="11" t="n">
        <f aca="true">(TODAY()-D161)/7</f>
        <v>51.2857142857143</v>
      </c>
      <c r="H161" s="12" t="n">
        <v>80</v>
      </c>
      <c r="I161" s="12" t="n">
        <v>42</v>
      </c>
      <c r="J161" s="13" t="n">
        <f aca="false">IFERROR(((G161*H161)/F161)-I161,"")</f>
        <v>9.19429590017829</v>
      </c>
      <c r="K161" s="12" t="str">
        <f aca="false">IF(J161&lt;-10,"MUITO ADIANTADO",IF(J161&lt;-6,"ADIANTADO",IF(J161&lt;6,"EM DIAS",IF(J161&lt;12,"ATRASADO","MUITO ATRASADO"))))</f>
        <v>ATRASADO</v>
      </c>
      <c r="L161" s="9" t="n">
        <v>46165</v>
      </c>
      <c r="M161" s="6" t="n">
        <f aca="true">TODAY()-L161</f>
        <v>6</v>
      </c>
      <c r="N161" s="1" t="str">
        <f aca="false">IF(M161&lt;8,"VERIFICADO",IF(M161&lt;15,"VERIFICAR","VERIFICAR URGENTE"))</f>
        <v>VERIFICADO</v>
      </c>
    </row>
    <row r="162" customFormat="false" ht="15" hidden="false" customHeight="false" outlineLevel="0" collapsed="false">
      <c r="A162" s="6" t="s">
        <v>180</v>
      </c>
      <c r="B162" s="7" t="s">
        <v>22</v>
      </c>
      <c r="C162" s="8" t="n">
        <f aca="false">L162</f>
        <v>46163</v>
      </c>
      <c r="D162" s="9" t="n">
        <v>45939</v>
      </c>
      <c r="E162" s="10" t="n">
        <v>46640</v>
      </c>
      <c r="F162" s="11" t="n">
        <f aca="false">(E162-D162)/7</f>
        <v>100.142857142857</v>
      </c>
      <c r="G162" s="11" t="n">
        <f aca="true">(TODAY()-D162)/7</f>
        <v>33.1428571428571</v>
      </c>
      <c r="H162" s="12" t="n">
        <v>112</v>
      </c>
      <c r="I162" s="12" t="n">
        <v>44</v>
      </c>
      <c r="J162" s="13" t="n">
        <f aca="false">IFERROR(((G162*H162)/F162)-I162,"")</f>
        <v>-6.93295292439367</v>
      </c>
      <c r="K162" s="12" t="str">
        <f aca="false">IF(J162&lt;-10,"MUITO ADIANTADO",IF(J162&lt;-6,"ADIANTADO",IF(J162&lt;6,"EM DIAS",IF(J162&lt;12,"ATRASADO","MUITO ATRASADO"))))</f>
        <v>ADIANTADO</v>
      </c>
      <c r="L162" s="9" t="n">
        <v>46163</v>
      </c>
      <c r="M162" s="6" t="n">
        <f aca="true">TODAY()-L162</f>
        <v>8</v>
      </c>
      <c r="N162" s="1" t="str">
        <f aca="false">IF(M162&lt;8,"VERIFICADO",IF(M162&lt;15,"VERIFICAR","VERIFICAR URGENTE"))</f>
        <v>VERIFICAR</v>
      </c>
    </row>
    <row r="163" customFormat="false" ht="15" hidden="false" customHeight="false" outlineLevel="0" collapsed="false">
      <c r="A163" s="6" t="s">
        <v>181</v>
      </c>
      <c r="B163" s="7" t="s">
        <v>19</v>
      </c>
      <c r="C163" s="8" t="n">
        <f aca="false">L163</f>
        <v>46158</v>
      </c>
      <c r="D163" s="9" t="n">
        <v>46053</v>
      </c>
      <c r="E163" s="10" t="n">
        <v>46374</v>
      </c>
      <c r="F163" s="11" t="n">
        <f aca="false">(E163-D163)/7</f>
        <v>45.8571428571429</v>
      </c>
      <c r="G163" s="11" t="n">
        <f aca="true">(TODAY()-D163)/7</f>
        <v>16.8571428571429</v>
      </c>
      <c r="H163" s="12" t="n">
        <v>48</v>
      </c>
      <c r="I163" s="12" t="n">
        <v>18</v>
      </c>
      <c r="J163" s="13" t="n">
        <f aca="false">IFERROR(((G163*H163)/F163)-I163,"")</f>
        <v>-0.355140186915904</v>
      </c>
      <c r="K163" s="12" t="str">
        <f aca="false">IF(J163&lt;-10,"MUITO ADIANTADO",IF(J163&lt;-6,"ADIANTADO",IF(J163&lt;6,"EM DIAS",IF(J163&lt;12,"ATRASADO","MUITO ATRASADO"))))</f>
        <v>EM DIAS</v>
      </c>
      <c r="L163" s="9" t="n">
        <v>46158</v>
      </c>
      <c r="M163" s="6" t="n">
        <f aca="true">TODAY()-L163</f>
        <v>13</v>
      </c>
      <c r="N163" s="1" t="str">
        <f aca="false">IF(M163&lt;8,"VERIFICADO",IF(M163&lt;15,"VERIFICAR","VERIFICAR URGENTE"))</f>
        <v>VERIFICAR</v>
      </c>
    </row>
    <row r="164" customFormat="false" ht="15" hidden="false" customHeight="false" outlineLevel="0" collapsed="false">
      <c r="A164" s="6" t="s">
        <v>182</v>
      </c>
      <c r="B164" s="7" t="s">
        <v>24</v>
      </c>
      <c r="C164" s="8" t="n">
        <f aca="false">L164</f>
        <v>46159</v>
      </c>
      <c r="D164" s="9" t="n">
        <v>45607</v>
      </c>
      <c r="E164" s="10" t="n">
        <v>46172</v>
      </c>
      <c r="F164" s="11" t="n">
        <f aca="false">(E164-D164)/7</f>
        <v>80.7142857142857</v>
      </c>
      <c r="G164" s="11" t="n">
        <f aca="true">(TODAY()-D164)/7</f>
        <v>80.5714285714286</v>
      </c>
      <c r="H164" s="12" t="n">
        <v>80</v>
      </c>
      <c r="I164" s="12" t="n">
        <v>76</v>
      </c>
      <c r="J164" s="13" t="n">
        <f aca="false">IFERROR(((G164*H164)/F164)-I164,"")</f>
        <v>3.85840707964603</v>
      </c>
      <c r="K164" s="12" t="str">
        <f aca="false">IF(J164&lt;-10,"MUITO ADIANTADO",IF(J164&lt;-6,"ADIANTADO",IF(J164&lt;6,"EM DIAS",IF(J164&lt;12,"ATRASADO","MUITO ATRASADO"))))</f>
        <v>EM DIAS</v>
      </c>
      <c r="L164" s="9" t="n">
        <v>46159</v>
      </c>
      <c r="M164" s="6" t="n">
        <f aca="true">TODAY()-L164</f>
        <v>12</v>
      </c>
      <c r="N164" s="1" t="str">
        <f aca="false">IF(M164&lt;8,"VERIFICADO",IF(M164&lt;15,"VERIFICAR","VERIFICAR URGENTE"))</f>
        <v>VERIFICAR</v>
      </c>
    </row>
    <row r="165" customFormat="false" ht="15" hidden="false" customHeight="false" outlineLevel="0" collapsed="false">
      <c r="A165" s="6" t="s">
        <v>183</v>
      </c>
      <c r="B165" s="7" t="s">
        <v>24</v>
      </c>
      <c r="C165" s="8" t="n">
        <f aca="false">L165</f>
        <v>46160</v>
      </c>
      <c r="D165" s="9" t="n">
        <v>45881</v>
      </c>
      <c r="E165" s="10" t="n">
        <v>46905</v>
      </c>
      <c r="F165" s="11" t="n">
        <f aca="false">(E165-D165)/7</f>
        <v>146.285714285714</v>
      </c>
      <c r="G165" s="11" t="n">
        <f aca="true">(TODAY()-D165)/7</f>
        <v>41.4285714285714</v>
      </c>
      <c r="H165" s="12" t="n">
        <v>192</v>
      </c>
      <c r="I165" s="12" t="n">
        <v>52</v>
      </c>
      <c r="J165" s="13" t="n">
        <f aca="false">IFERROR(((G165*H165)/F165)-I165,"")</f>
        <v>2.37500000000011</v>
      </c>
      <c r="K165" s="12" t="str">
        <f aca="false">IF(J165&lt;-10,"MUITO ADIANTADO",IF(J165&lt;-6,"ADIANTADO",IF(J165&lt;6,"EM DIAS",IF(J165&lt;12,"ATRASADO","MUITO ATRASADO"))))</f>
        <v>EM DIAS</v>
      </c>
      <c r="L165" s="9" t="n">
        <v>46160</v>
      </c>
      <c r="M165" s="6" t="n">
        <f aca="true">TODAY()-L165</f>
        <v>11</v>
      </c>
      <c r="N165" s="1" t="str">
        <f aca="false">IF(M165&lt;8,"VERIFICADO",IF(M165&lt;15,"VERIFICAR","VERIFICAR URGENTE"))</f>
        <v>VERIFICAR</v>
      </c>
    </row>
    <row r="166" customFormat="false" ht="15" hidden="false" customHeight="false" outlineLevel="0" collapsed="false">
      <c r="A166" s="6" t="s">
        <v>184</v>
      </c>
      <c r="B166" s="7" t="s">
        <v>19</v>
      </c>
      <c r="C166" s="8" t="n">
        <f aca="false">L166</f>
        <v>46158</v>
      </c>
      <c r="D166" s="9" t="n">
        <v>45513</v>
      </c>
      <c r="E166" s="10" t="n">
        <v>46233</v>
      </c>
      <c r="F166" s="11" t="n">
        <f aca="false">(E166-D166)/7</f>
        <v>102.857142857143</v>
      </c>
      <c r="G166" s="11" t="n">
        <f aca="true">(TODAY()-D166)/7</f>
        <v>94</v>
      </c>
      <c r="H166" s="12" t="n">
        <v>192</v>
      </c>
      <c r="I166" s="12" t="n">
        <v>177</v>
      </c>
      <c r="J166" s="13" t="n">
        <f aca="false">IFERROR(((G166*H166)/F166)-I166,"")</f>
        <v>-1.53333333333359</v>
      </c>
      <c r="K166" s="12" t="str">
        <f aca="false">IF(J166&lt;-10,"MUITO ADIANTADO",IF(J166&lt;-6,"ADIANTADO",IF(J166&lt;6,"EM DIAS",IF(J166&lt;12,"ATRASADO","MUITO ATRASADO"))))</f>
        <v>EM DIAS</v>
      </c>
      <c r="L166" s="9" t="n">
        <v>46158</v>
      </c>
      <c r="M166" s="6" t="n">
        <f aca="true">TODAY()-L166</f>
        <v>13</v>
      </c>
      <c r="N166" s="1" t="str">
        <f aca="false">IF(M166&lt;8,"VERIFICADO",IF(M166&lt;15,"VERIFICAR","VERIFICAR URGENTE"))</f>
        <v>VERIFICAR</v>
      </c>
    </row>
    <row r="167" customFormat="false" ht="15" hidden="false" customHeight="false" outlineLevel="0" collapsed="false">
      <c r="A167" s="6" t="s">
        <v>185</v>
      </c>
      <c r="B167" s="7" t="s">
        <v>15</v>
      </c>
      <c r="C167" s="8" t="n">
        <f aca="false">L167</f>
        <v>46162</v>
      </c>
      <c r="D167" s="9" t="n">
        <v>45969</v>
      </c>
      <c r="E167" s="10" t="n">
        <v>46742</v>
      </c>
      <c r="F167" s="11" t="n">
        <f aca="false">(E167-D167)/7</f>
        <v>110.428571428571</v>
      </c>
      <c r="G167" s="11" t="n">
        <f aca="true">(TODAY()-D167)/7</f>
        <v>28.8571428571429</v>
      </c>
      <c r="H167" s="12" t="n">
        <v>112</v>
      </c>
      <c r="I167" s="12" t="n">
        <v>9</v>
      </c>
      <c r="J167" s="13" t="n">
        <f aca="false">IFERROR(((G167*H167)/F167)-I167,"")</f>
        <v>20.2677878395861</v>
      </c>
      <c r="K167" s="12" t="str">
        <f aca="false">IF(J167&lt;-10,"MUITO ADIANTADO",IF(J167&lt;-6,"ADIANTADO",IF(J167&lt;6,"EM DIAS",IF(J167&lt;12,"ATRASADO","MUITO ATRASADO"))))</f>
        <v>MUITO ATRASADO</v>
      </c>
      <c r="L167" s="9" t="n">
        <v>46162</v>
      </c>
      <c r="M167" s="6" t="n">
        <f aca="true">TODAY()-L167</f>
        <v>9</v>
      </c>
      <c r="N167" s="1" t="str">
        <f aca="false">IF(M167&lt;8,"VERIFICADO",IF(M167&lt;15,"VERIFICAR","VERIFICAR URGENTE"))</f>
        <v>VERIFICAR</v>
      </c>
    </row>
    <row r="168" customFormat="false" ht="15" hidden="false" customHeight="false" outlineLevel="0" collapsed="false">
      <c r="A168" s="6" t="s">
        <v>186</v>
      </c>
      <c r="B168" s="7" t="s">
        <v>17</v>
      </c>
      <c r="C168" s="8" t="n">
        <f aca="false">L168</f>
        <v>46163</v>
      </c>
      <c r="D168" s="9" t="n">
        <v>45785</v>
      </c>
      <c r="E168" s="10" t="n">
        <v>46315</v>
      </c>
      <c r="F168" s="11" t="n">
        <f aca="false">(E168-D168)/7</f>
        <v>75.7142857142857</v>
      </c>
      <c r="G168" s="11" t="n">
        <f aca="true">(TODAY()-D168)/7</f>
        <v>55.1428571428571</v>
      </c>
      <c r="H168" s="12" t="n">
        <v>80</v>
      </c>
      <c r="I168" s="12" t="n">
        <v>43</v>
      </c>
      <c r="J168" s="13" t="n">
        <f aca="false">IFERROR(((G168*H168)/F168)-I168,"")</f>
        <v>15.2641509433962</v>
      </c>
      <c r="K168" s="12" t="str">
        <f aca="false">IF(J168&lt;-10,"MUITO ADIANTADO",IF(J168&lt;-6,"ADIANTADO",IF(J168&lt;6,"EM DIAS",IF(J168&lt;12,"ATRASADO","MUITO ATRASADO"))))</f>
        <v>MUITO ATRASADO</v>
      </c>
      <c r="L168" s="9" t="n">
        <v>46163</v>
      </c>
      <c r="M168" s="6" t="n">
        <f aca="true">TODAY()-L168</f>
        <v>8</v>
      </c>
      <c r="N168" s="1" t="str">
        <f aca="false">IF(M168&lt;8,"VERIFICADO",IF(M168&lt;15,"VERIFICAR","VERIFICAR URGENTE"))</f>
        <v>VERIFICAR</v>
      </c>
    </row>
    <row r="169" customFormat="false" ht="15" hidden="false" customHeight="false" outlineLevel="0" collapsed="false">
      <c r="A169" s="6" t="s">
        <v>187</v>
      </c>
      <c r="B169" s="7" t="s">
        <v>19</v>
      </c>
      <c r="C169" s="8" t="n">
        <f aca="false">L169</f>
        <v>46158</v>
      </c>
      <c r="D169" s="9" t="n">
        <v>46067</v>
      </c>
      <c r="E169" s="10" t="n">
        <v>46445</v>
      </c>
      <c r="F169" s="11" t="n">
        <f aca="false">(E169-D169)/7</f>
        <v>54</v>
      </c>
      <c r="G169" s="11" t="n">
        <f aca="true">(TODAY()-D169)/7</f>
        <v>14.8571428571429</v>
      </c>
      <c r="H169" s="12" t="n">
        <v>80</v>
      </c>
      <c r="I169" s="12" t="n">
        <v>14</v>
      </c>
      <c r="J169" s="13" t="n">
        <f aca="false">IFERROR(((G169*H169)/F169)-I169,"")</f>
        <v>8.01058201058201</v>
      </c>
      <c r="K169" s="12" t="str">
        <f aca="false">IF(J169&lt;-10,"MUITO ADIANTADO",IF(J169&lt;-6,"ADIANTADO",IF(J169&lt;6,"EM DIAS",IF(J169&lt;12,"ATRASADO","MUITO ATRASADO"))))</f>
        <v>ATRASADO</v>
      </c>
      <c r="L169" s="9" t="n">
        <v>46158</v>
      </c>
      <c r="M169" s="6" t="n">
        <f aca="true">TODAY()-L169</f>
        <v>13</v>
      </c>
      <c r="N169" s="1" t="str">
        <f aca="false">IF(M169&lt;8,"VERIFICADO",IF(M169&lt;15,"VERIFICAR","VERIFICAR URGENTE"))</f>
        <v>VERIFICAR</v>
      </c>
    </row>
    <row r="170" customFormat="false" ht="15" hidden="false" customHeight="false" outlineLevel="0" collapsed="false">
      <c r="A170" s="6" t="s">
        <v>188</v>
      </c>
      <c r="B170" s="7" t="s">
        <v>19</v>
      </c>
      <c r="C170" s="8" t="n">
        <f aca="false">L170</f>
        <v>46158</v>
      </c>
      <c r="D170" s="9" t="n">
        <v>46116</v>
      </c>
      <c r="E170" s="10" t="n">
        <v>46397</v>
      </c>
      <c r="F170" s="11" t="n">
        <f aca="false">(E170-D170)/7</f>
        <v>40.1428571428571</v>
      </c>
      <c r="G170" s="11" t="n">
        <f aca="true">(TODAY()-D170)/7</f>
        <v>7.85714285714286</v>
      </c>
      <c r="H170" s="12" t="n">
        <v>80</v>
      </c>
      <c r="I170" s="12" t="n">
        <v>4</v>
      </c>
      <c r="J170" s="13" t="n">
        <f aca="false">IFERROR(((G170*H170)/F170)-I170,"")</f>
        <v>11.6583629893239</v>
      </c>
      <c r="K170" s="12" t="str">
        <f aca="false">IF(J170&lt;-10,"MUITO ADIANTADO",IF(J170&lt;-6,"ADIANTADO",IF(J170&lt;6,"EM DIAS",IF(J170&lt;12,"ATRASADO","MUITO ATRASADO"))))</f>
        <v>ATRASADO</v>
      </c>
      <c r="L170" s="9" t="n">
        <v>46158</v>
      </c>
      <c r="M170" s="6" t="n">
        <f aca="true">TODAY()-L170</f>
        <v>13</v>
      </c>
      <c r="N170" s="1" t="str">
        <f aca="false">IF(M170&lt;8,"VERIFICADO",IF(M170&lt;15,"VERIFICAR","VERIFICAR URGENTE"))</f>
        <v>VERIFICAR</v>
      </c>
    </row>
    <row r="171" customFormat="false" ht="15" hidden="false" customHeight="false" outlineLevel="0" collapsed="false">
      <c r="A171" s="6" t="s">
        <v>189</v>
      </c>
      <c r="B171" s="7" t="s">
        <v>19</v>
      </c>
      <c r="C171" s="8" t="n">
        <f aca="false">L171</f>
        <v>46158</v>
      </c>
      <c r="D171" s="9" t="n">
        <v>46088</v>
      </c>
      <c r="E171" s="10" t="n">
        <v>46678</v>
      </c>
      <c r="F171" s="11" t="n">
        <f aca="false">(E171-D171)/7</f>
        <v>84.2857142857143</v>
      </c>
      <c r="G171" s="11" t="n">
        <f aca="true">(TODAY()-D171)/7</f>
        <v>11.8571428571429</v>
      </c>
      <c r="H171" s="12" t="n">
        <v>80</v>
      </c>
      <c r="I171" s="12" t="n">
        <v>14</v>
      </c>
      <c r="J171" s="13" t="n">
        <f aca="false">IFERROR(((G171*H171)/F171)-I171,"")</f>
        <v>-2.74576271186441</v>
      </c>
      <c r="K171" s="12" t="str">
        <f aca="false">IF(J171&lt;-10,"MUITO ADIANTADO",IF(J171&lt;-6,"ADIANTADO",IF(J171&lt;6,"EM DIAS",IF(J171&lt;12,"ATRASADO","MUITO ATRASADO"))))</f>
        <v>EM DIAS</v>
      </c>
      <c r="L171" s="9" t="n">
        <v>46158</v>
      </c>
      <c r="M171" s="6" t="n">
        <f aca="true">TODAY()-L171</f>
        <v>13</v>
      </c>
      <c r="N171" s="1" t="str">
        <f aca="false">IF(M171&lt;8,"VERIFICADO",IF(M171&lt;15,"VERIFICAR","VERIFICAR URGENTE"))</f>
        <v>VERIFICAR</v>
      </c>
    </row>
    <row r="172" customFormat="false" ht="15" hidden="false" customHeight="false" outlineLevel="0" collapsed="false">
      <c r="A172" s="6" t="s">
        <v>190</v>
      </c>
      <c r="B172" s="7" t="s">
        <v>19</v>
      </c>
      <c r="C172" s="8" t="n">
        <f aca="false">L172</f>
        <v>46158</v>
      </c>
      <c r="D172" s="9" t="n">
        <v>45952</v>
      </c>
      <c r="E172" s="10" t="n">
        <v>46539</v>
      </c>
      <c r="F172" s="11" t="n">
        <f aca="false">(E172-D172)/7</f>
        <v>83.8571428571429</v>
      </c>
      <c r="G172" s="11" t="n">
        <f aca="true">(TODAY()-D172)/7</f>
        <v>31.2857142857143</v>
      </c>
      <c r="H172" s="12" t="n">
        <v>64</v>
      </c>
      <c r="I172" s="12" t="n">
        <v>22</v>
      </c>
      <c r="J172" s="13" t="n">
        <f aca="false">IFERROR(((G172*H172)/F172)-I172,"")</f>
        <v>1.87734241908005</v>
      </c>
      <c r="K172" s="12" t="str">
        <f aca="false">IF(J172&lt;-10,"MUITO ADIANTADO",IF(J172&lt;-6,"ADIANTADO",IF(J172&lt;6,"EM DIAS",IF(J172&lt;12,"ATRASADO","MUITO ATRASADO"))))</f>
        <v>EM DIAS</v>
      </c>
      <c r="L172" s="9" t="n">
        <v>46158</v>
      </c>
      <c r="M172" s="6" t="n">
        <f aca="true">TODAY()-L172</f>
        <v>13</v>
      </c>
      <c r="N172" s="1" t="str">
        <f aca="false">IF(M172&lt;8,"VERIFICADO",IF(M172&lt;15,"VERIFICAR","VERIFICAR URGENTE"))</f>
        <v>VERIFICAR</v>
      </c>
    </row>
    <row r="173" customFormat="false" ht="15" hidden="false" customHeight="false" outlineLevel="0" collapsed="false">
      <c r="A173" s="6" t="s">
        <v>191</v>
      </c>
      <c r="B173" s="7" t="s">
        <v>15</v>
      </c>
      <c r="C173" s="8" t="n">
        <f aca="false">L173</f>
        <v>46162</v>
      </c>
      <c r="D173" s="9" t="n">
        <v>45974</v>
      </c>
      <c r="E173" s="10" t="n">
        <v>47248</v>
      </c>
      <c r="F173" s="11" t="n">
        <f aca="false">(E173-D173)/7</f>
        <v>182</v>
      </c>
      <c r="G173" s="11" t="n">
        <f aca="true">(TODAY()-D173)/7</f>
        <v>28.1428571428571</v>
      </c>
      <c r="H173" s="12" t="n">
        <v>176</v>
      </c>
      <c r="I173" s="12" t="n">
        <v>26</v>
      </c>
      <c r="J173" s="13" t="n">
        <f aca="false">IFERROR(((G173*H173)/F173)-I173,"")</f>
        <v>1.21507064364207</v>
      </c>
      <c r="K173" s="12" t="str">
        <f aca="false">IF(J173&lt;-10,"MUITO ADIANTADO",IF(J173&lt;-6,"ADIANTADO",IF(J173&lt;6,"EM DIAS",IF(J173&lt;12,"ATRASADO","MUITO ATRASADO"))))</f>
        <v>EM DIAS</v>
      </c>
      <c r="L173" s="9" t="n">
        <v>46162</v>
      </c>
      <c r="M173" s="6" t="n">
        <f aca="true">TODAY()-L173</f>
        <v>9</v>
      </c>
      <c r="N173" s="1" t="str">
        <f aca="false">IF(M173&lt;8,"VERIFICADO",IF(M173&lt;15,"VERIFICAR","VERIFICAR URGENTE"))</f>
        <v>VERIFICAR</v>
      </c>
    </row>
    <row r="174" customFormat="false" ht="15" hidden="false" customHeight="false" outlineLevel="0" collapsed="false">
      <c r="A174" s="6" t="s">
        <v>192</v>
      </c>
      <c r="B174" s="7" t="s">
        <v>19</v>
      </c>
      <c r="C174" s="8" t="n">
        <f aca="false">L174</f>
        <v>46158</v>
      </c>
      <c r="D174" s="9" t="n">
        <v>46027</v>
      </c>
      <c r="E174" s="10" t="n">
        <v>46835</v>
      </c>
      <c r="F174" s="11" t="n">
        <f aca="false">(E174-D174)/7</f>
        <v>115.428571428571</v>
      </c>
      <c r="G174" s="11" t="n">
        <f aca="true">(TODAY()-D174)/7</f>
        <v>20.5714285714286</v>
      </c>
      <c r="H174" s="12" t="n">
        <v>112</v>
      </c>
      <c r="I174" s="12" t="n">
        <v>17</v>
      </c>
      <c r="J174" s="13" t="n">
        <f aca="false">IFERROR(((G174*H174)/F174)-I174,"")</f>
        <v>2.96039603960404</v>
      </c>
      <c r="K174" s="12" t="str">
        <f aca="false">IF(J174&lt;-10,"MUITO ADIANTADO",IF(J174&lt;-6,"ADIANTADO",IF(J174&lt;6,"EM DIAS",IF(J174&lt;12,"ATRASADO","MUITO ATRASADO"))))</f>
        <v>EM DIAS</v>
      </c>
      <c r="L174" s="9" t="n">
        <v>46158</v>
      </c>
      <c r="M174" s="6" t="n">
        <f aca="true">TODAY()-L174</f>
        <v>13</v>
      </c>
      <c r="N174" s="1" t="str">
        <f aca="false">IF(M174&lt;8,"VERIFICADO",IF(M174&lt;15,"VERIFICAR","VERIFICAR URGENTE"))</f>
        <v>VERIFICAR</v>
      </c>
    </row>
    <row r="175" customFormat="false" ht="15" hidden="false" customHeight="false" outlineLevel="0" collapsed="false">
      <c r="A175" s="16" t="s">
        <v>193</v>
      </c>
      <c r="B175" s="7" t="s">
        <v>22</v>
      </c>
      <c r="C175" s="8" t="n">
        <f aca="false">L175</f>
        <v>46162</v>
      </c>
      <c r="D175" s="9" t="n">
        <v>46006</v>
      </c>
      <c r="E175" s="10" t="n">
        <v>47067</v>
      </c>
      <c r="F175" s="11" t="n">
        <f aca="false">(E175-D175)/7</f>
        <v>151.571428571429</v>
      </c>
      <c r="G175" s="11" t="n">
        <f aca="true">(TODAY()-D175)/7</f>
        <v>23.5714285714286</v>
      </c>
      <c r="H175" s="12" t="n">
        <v>144</v>
      </c>
      <c r="I175" s="12" t="n">
        <v>21</v>
      </c>
      <c r="J175" s="13" t="n">
        <f aca="false">IFERROR(((G175*H175)/F175)-I175,"")</f>
        <v>1.3939679547596</v>
      </c>
      <c r="K175" s="12" t="str">
        <f aca="false">IF(J175&lt;-10,"MUITO ADIANTADO",IF(J175&lt;-6,"ADIANTADO",IF(J175&lt;6,"EM DIAS",IF(J175&lt;12,"ATRASADO","MUITO ATRASADO"))))</f>
        <v>EM DIAS</v>
      </c>
      <c r="L175" s="9" t="n">
        <v>46162</v>
      </c>
      <c r="M175" s="6" t="n">
        <f aca="true">TODAY()-L175</f>
        <v>9</v>
      </c>
      <c r="N175" s="1" t="str">
        <f aca="false">IF(M175&lt;8,"VERIFICADO",IF(M175&lt;15,"VERIFICAR","VERIFICAR URGENTE"))</f>
        <v>VERIFICAR</v>
      </c>
    </row>
    <row r="176" customFormat="false" ht="15" hidden="false" customHeight="false" outlineLevel="0" collapsed="false">
      <c r="A176" s="16" t="s">
        <v>194</v>
      </c>
      <c r="B176" s="7" t="s">
        <v>19</v>
      </c>
      <c r="C176" s="8" t="n">
        <f aca="false">L176</f>
        <v>46158</v>
      </c>
      <c r="D176" s="9" t="n">
        <v>45752</v>
      </c>
      <c r="E176" s="10" t="n">
        <v>46537</v>
      </c>
      <c r="F176" s="11" t="n">
        <f aca="false">(E176-D176)/7</f>
        <v>112.142857142857</v>
      </c>
      <c r="G176" s="11" t="n">
        <f aca="true">(TODAY()-D176)/7</f>
        <v>59.8571428571429</v>
      </c>
      <c r="H176" s="12" t="n">
        <v>160</v>
      </c>
      <c r="I176" s="12" t="n">
        <v>85</v>
      </c>
      <c r="J176" s="13" t="n">
        <f aca="false">IFERROR(((G176*H176)/F176)-I176,"")</f>
        <v>0.401273885350435</v>
      </c>
      <c r="K176" s="12" t="str">
        <f aca="false">IF(J176&lt;-10,"MUITO ADIANTADO",IF(J176&lt;-6,"ADIANTADO",IF(J176&lt;6,"EM DIAS",IF(J176&lt;12,"ATRASADO","MUITO ATRASADO"))))</f>
        <v>EM DIAS</v>
      </c>
      <c r="L176" s="9" t="n">
        <v>46158</v>
      </c>
      <c r="M176" s="6" t="n">
        <f aca="true">TODAY()-L176</f>
        <v>13</v>
      </c>
      <c r="N176" s="1" t="str">
        <f aca="false">IF(M176&lt;8,"VERIFICADO",IF(M176&lt;15,"VERIFICAR","VERIFICAR URGENTE"))</f>
        <v>VERIFICAR</v>
      </c>
    </row>
    <row r="177" customFormat="false" ht="15" hidden="false" customHeight="false" outlineLevel="0" collapsed="false">
      <c r="A177" s="6" t="s">
        <v>195</v>
      </c>
      <c r="B177" s="7" t="s">
        <v>22</v>
      </c>
      <c r="C177" s="8" t="n">
        <f aca="false">L177</f>
        <v>46165</v>
      </c>
      <c r="D177" s="9" t="n">
        <v>46095</v>
      </c>
      <c r="E177" s="10" t="n">
        <v>46758</v>
      </c>
      <c r="F177" s="11" t="n">
        <f aca="false">(E177-D177)/7</f>
        <v>94.7142857142857</v>
      </c>
      <c r="G177" s="11" t="n">
        <f aca="true">(TODAY()-D177)/7</f>
        <v>10.8571428571429</v>
      </c>
      <c r="H177" s="12" t="n">
        <v>144</v>
      </c>
      <c r="I177" s="12" t="n">
        <v>18</v>
      </c>
      <c r="J177" s="13" t="n">
        <f aca="false">IFERROR(((G177*H177)/F177)-I177,"")</f>
        <v>-1.49321266968325</v>
      </c>
      <c r="K177" s="12" t="str">
        <f aca="false">IF(J177&lt;-10,"MUITO ADIANTADO",IF(J177&lt;-6,"ADIANTADO",IF(J177&lt;6,"EM DIAS",IF(J177&lt;12,"ATRASADO","MUITO ATRASADO"))))</f>
        <v>EM DIAS</v>
      </c>
      <c r="L177" s="9" t="n">
        <v>46165</v>
      </c>
      <c r="M177" s="6" t="n">
        <f aca="true">TODAY()-L177</f>
        <v>6</v>
      </c>
      <c r="N177" s="1" t="str">
        <f aca="false">IF(M177&lt;8,"VERIFICADO",IF(M177&lt;15,"VERIFICAR","VERIFICAR URGENTE"))</f>
        <v>VERIFICADO</v>
      </c>
    </row>
    <row r="178" customFormat="false" ht="15" hidden="false" customHeight="false" outlineLevel="0" collapsed="false">
      <c r="A178" s="6" t="s">
        <v>196</v>
      </c>
      <c r="B178" s="7" t="s">
        <v>19</v>
      </c>
      <c r="C178" s="8" t="n">
        <f aca="false">L178</f>
        <v>46158</v>
      </c>
      <c r="D178" s="9" t="n">
        <v>45696</v>
      </c>
      <c r="E178" s="10" t="n">
        <v>46784</v>
      </c>
      <c r="F178" s="11" t="n">
        <f aca="false">(E178-D178)/7</f>
        <v>155.428571428571</v>
      </c>
      <c r="G178" s="11" t="n">
        <f aca="true">(TODAY()-D178)/7</f>
        <v>67.8571428571429</v>
      </c>
      <c r="H178" s="12" t="n">
        <v>192</v>
      </c>
      <c r="I178" s="12" t="n">
        <v>90</v>
      </c>
      <c r="J178" s="13" t="n">
        <f aca="false">IFERROR(((G178*H178)/F178)-I178,"")</f>
        <v>-6.17647058823505</v>
      </c>
      <c r="K178" s="12" t="str">
        <f aca="false">IF(J178&lt;-10,"MUITO ADIANTADO",IF(J178&lt;-6,"ADIANTADO",IF(J178&lt;6,"EM DIAS",IF(J178&lt;12,"ATRASADO","MUITO ATRASADO"))))</f>
        <v>ADIANTADO</v>
      </c>
      <c r="L178" s="9" t="n">
        <v>46158</v>
      </c>
      <c r="M178" s="6" t="n">
        <f aca="true">TODAY()-L178</f>
        <v>13</v>
      </c>
      <c r="N178" s="1" t="str">
        <f aca="false">IF(M178&lt;8,"VERIFICADO",IF(M178&lt;15,"VERIFICAR","VERIFICAR URGENTE"))</f>
        <v>VERIFICAR</v>
      </c>
    </row>
    <row r="179" customFormat="false" ht="15" hidden="false" customHeight="false" outlineLevel="0" collapsed="false">
      <c r="A179" s="6" t="s">
        <v>197</v>
      </c>
      <c r="B179" s="7" t="s">
        <v>22</v>
      </c>
      <c r="C179" s="8" t="n">
        <f aca="false">L179</f>
        <v>46165</v>
      </c>
      <c r="D179" s="9" t="n">
        <v>45619</v>
      </c>
      <c r="E179" s="10" t="n">
        <v>47452</v>
      </c>
      <c r="F179" s="11" t="n">
        <f aca="false">(E179-D179)/7</f>
        <v>261.857142857143</v>
      </c>
      <c r="G179" s="11" t="n">
        <f aca="true">(TODAY()-D179)/7</f>
        <v>78.8571428571429</v>
      </c>
      <c r="H179" s="12" t="n">
        <v>272</v>
      </c>
      <c r="I179" s="12" t="n">
        <v>87</v>
      </c>
      <c r="J179" s="13" t="n">
        <f aca="false">IFERROR(((G179*H179)/F179)-I179,"")</f>
        <v>-5.08837970540102</v>
      </c>
      <c r="K179" s="12" t="str">
        <f aca="false">IF(J179&lt;-10,"MUITO ADIANTADO",IF(J179&lt;-6,"ADIANTADO",IF(J179&lt;6,"EM DIAS",IF(J179&lt;12,"ATRASADO","MUITO ATRASADO"))))</f>
        <v>EM DIAS</v>
      </c>
      <c r="L179" s="9" t="n">
        <v>46165</v>
      </c>
      <c r="M179" s="6" t="n">
        <f aca="true">TODAY()-L179</f>
        <v>6</v>
      </c>
      <c r="N179" s="1" t="str">
        <f aca="false">IF(M179&lt;8,"VERIFICADO",IF(M179&lt;15,"VERIFICAR","VERIFICAR URGENTE"))</f>
        <v>VERIFICADO</v>
      </c>
    </row>
    <row r="180" customFormat="false" ht="15" hidden="false" customHeight="false" outlineLevel="0" collapsed="false">
      <c r="A180" s="6" t="s">
        <v>198</v>
      </c>
      <c r="B180" s="7" t="s">
        <v>17</v>
      </c>
      <c r="C180" s="8" t="n">
        <f aca="false">L180</f>
        <v>46160</v>
      </c>
      <c r="D180" s="9" t="n">
        <v>45768</v>
      </c>
      <c r="E180" s="10" t="n">
        <v>46844</v>
      </c>
      <c r="F180" s="11" t="n">
        <f aca="false">(E180-D180)/7</f>
        <v>153.714285714286</v>
      </c>
      <c r="G180" s="11" t="n">
        <f aca="true">(TODAY()-D180)/7</f>
        <v>57.5714285714286</v>
      </c>
      <c r="H180" s="12" t="n">
        <v>224</v>
      </c>
      <c r="I180" s="12" t="n">
        <v>76</v>
      </c>
      <c r="J180" s="13" t="n">
        <f aca="false">IFERROR(((G180*H180)/F180)-I180,"")</f>
        <v>7.89591078066898</v>
      </c>
      <c r="K180" s="12" t="str">
        <f aca="false">IF(J180&lt;-10,"MUITO ADIANTADO",IF(J180&lt;-6,"ADIANTADO",IF(J180&lt;6,"EM DIAS",IF(J180&lt;12,"ATRASADO","MUITO ATRASADO"))))</f>
        <v>ATRASADO</v>
      </c>
      <c r="L180" s="9" t="n">
        <v>46160</v>
      </c>
      <c r="M180" s="6" t="n">
        <f aca="true">TODAY()-L180</f>
        <v>11</v>
      </c>
      <c r="N180" s="1" t="str">
        <f aca="false">IF(M180&lt;8,"VERIFICADO",IF(M180&lt;15,"VERIFICAR","VERIFICAR URGENTE"))</f>
        <v>VERIFICAR</v>
      </c>
    </row>
    <row r="181" customFormat="false" ht="15" hidden="false" customHeight="false" outlineLevel="0" collapsed="false">
      <c r="A181" s="6" t="s">
        <v>199</v>
      </c>
      <c r="B181" s="7" t="s">
        <v>24</v>
      </c>
      <c r="C181" s="8" t="n">
        <f aca="false">L181</f>
        <v>46164</v>
      </c>
      <c r="D181" s="9" t="n">
        <v>45951</v>
      </c>
      <c r="E181" s="10" t="n">
        <v>47138</v>
      </c>
      <c r="F181" s="11" t="n">
        <f aca="false">(E181-D181)/7</f>
        <v>169.571428571429</v>
      </c>
      <c r="G181" s="11" t="n">
        <f aca="true">(TODAY()-D181)/7</f>
        <v>31.4285714285714</v>
      </c>
      <c r="H181" s="12" t="n">
        <v>176</v>
      </c>
      <c r="I181" s="12" t="n">
        <v>33</v>
      </c>
      <c r="J181" s="13" t="n">
        <f aca="false">IFERROR(((G181*H181)/F181)-I181,"")</f>
        <v>-0.379949452401092</v>
      </c>
      <c r="K181" s="12" t="str">
        <f aca="false">IF(J181&lt;-10,"MUITO ADIANTADO",IF(J181&lt;-6,"ADIANTADO",IF(J181&lt;6,"EM DIAS",IF(J181&lt;12,"ATRASADO","MUITO ATRASADO"))))</f>
        <v>EM DIAS</v>
      </c>
      <c r="L181" s="9" t="n">
        <v>46164</v>
      </c>
      <c r="M181" s="6" t="n">
        <f aca="true">TODAY()-L181</f>
        <v>7</v>
      </c>
      <c r="N181" s="1" t="str">
        <f aca="false">IF(M181&lt;8,"VERIFICADO",IF(M181&lt;15,"VERIFICAR","VERIFICAR URGENTE"))</f>
        <v>VERIFICADO</v>
      </c>
    </row>
    <row r="182" customFormat="false" ht="15" hidden="false" customHeight="false" outlineLevel="0" collapsed="false">
      <c r="A182" s="6" t="s">
        <v>200</v>
      </c>
      <c r="B182" s="7" t="s">
        <v>22</v>
      </c>
      <c r="C182" s="8" t="n">
        <f aca="false">L182</f>
        <v>46163</v>
      </c>
      <c r="D182" s="9" t="n">
        <v>46077</v>
      </c>
      <c r="E182" s="10" t="n">
        <v>47885</v>
      </c>
      <c r="F182" s="11" t="n">
        <f aca="false">(E182-D182)/7</f>
        <v>258.285714285714</v>
      </c>
      <c r="G182" s="11" t="n">
        <f aca="true">(TODAY()-D182)/7</f>
        <v>13.4285714285714</v>
      </c>
      <c r="H182" s="12" t="n">
        <v>240</v>
      </c>
      <c r="I182" s="12" t="n">
        <v>5</v>
      </c>
      <c r="J182" s="13" t="n">
        <f aca="false">IFERROR(((G182*H182)/F182)-I182,"")</f>
        <v>7.47787610619471</v>
      </c>
      <c r="K182" s="12" t="str">
        <f aca="false">IF(J182&lt;-10,"MUITO ADIANTADO",IF(J182&lt;-6,"ADIANTADO",IF(J182&lt;6,"EM DIAS",IF(J182&lt;12,"ATRASADO","MUITO ATRASADO"))))</f>
        <v>ATRASADO</v>
      </c>
      <c r="L182" s="9" t="n">
        <v>46163</v>
      </c>
      <c r="M182" s="6" t="n">
        <f aca="true">TODAY()-L182</f>
        <v>8</v>
      </c>
      <c r="N182" s="1" t="str">
        <f aca="false">IF(M182&lt;8,"VERIFICADO",IF(M182&lt;15,"VERIFICAR","VERIFICAR URGENTE"))</f>
        <v>VERIFICAR</v>
      </c>
    </row>
    <row r="183" customFormat="false" ht="15" hidden="false" customHeight="false" outlineLevel="0" collapsed="false">
      <c r="A183" s="6" t="s">
        <v>201</v>
      </c>
      <c r="B183" s="7" t="s">
        <v>15</v>
      </c>
      <c r="C183" s="8" t="n">
        <f aca="false">L183</f>
        <v>46165</v>
      </c>
      <c r="D183" s="9" t="n">
        <v>45793</v>
      </c>
      <c r="E183" s="10" t="n">
        <v>46903</v>
      </c>
      <c r="F183" s="11" t="n">
        <f aca="false">(E183-D183)/7</f>
        <v>158.571428571429</v>
      </c>
      <c r="G183" s="11" t="n">
        <f aca="true">(TODAY()-D183)/7</f>
        <v>54</v>
      </c>
      <c r="H183" s="12" t="n">
        <v>176</v>
      </c>
      <c r="I183" s="12" t="n">
        <v>57</v>
      </c>
      <c r="J183" s="13" t="n">
        <f aca="false">IFERROR(((G183*H183)/F183)-I183,"")</f>
        <v>2.93513513513497</v>
      </c>
      <c r="K183" s="12" t="str">
        <f aca="false">IF(J183&lt;-10,"MUITO ADIANTADO",IF(J183&lt;-6,"ADIANTADO",IF(J183&lt;6,"EM DIAS",IF(J183&lt;12,"ATRASADO","MUITO ATRASADO"))))</f>
        <v>EM DIAS</v>
      </c>
      <c r="L183" s="9" t="n">
        <v>46165</v>
      </c>
      <c r="M183" s="6" t="n">
        <f aca="true">TODAY()-L183</f>
        <v>6</v>
      </c>
      <c r="N183" s="1" t="str">
        <f aca="false">IF(M183&lt;8,"VERIFICADO",IF(M183&lt;15,"VERIFICAR","VERIFICAR URGENTE"))</f>
        <v>VERIFICADO</v>
      </c>
    </row>
    <row r="184" customFormat="false" ht="15" hidden="false" customHeight="false" outlineLevel="0" collapsed="false">
      <c r="A184" s="6" t="s">
        <v>202</v>
      </c>
      <c r="B184" s="7" t="s">
        <v>22</v>
      </c>
      <c r="C184" s="8" t="n">
        <f aca="false">L184</f>
        <v>46162</v>
      </c>
      <c r="D184" s="9" t="n">
        <v>46148</v>
      </c>
      <c r="E184" s="10" t="n">
        <v>47046</v>
      </c>
      <c r="F184" s="11" t="n">
        <f aca="false">(E184-D184)/7</f>
        <v>128.285714285714</v>
      </c>
      <c r="G184" s="11" t="n">
        <v>0</v>
      </c>
      <c r="H184" s="12" t="n">
        <v>80</v>
      </c>
      <c r="I184" s="12" t="n">
        <v>1</v>
      </c>
      <c r="J184" s="13" t="n">
        <f aca="false">IFERROR(((G184*H184)/F184)-I184,"")</f>
        <v>-1</v>
      </c>
      <c r="K184" s="12" t="str">
        <f aca="false">IF(J184&lt;-10,"MUITO ADIANTADO",IF(J184&lt;-6,"ADIANTADO",IF(J184&lt;6,"EM DIAS",IF(J184&lt;12,"ATRASADO","MUITO ATRASADO"))))</f>
        <v>EM DIAS</v>
      </c>
      <c r="L184" s="9" t="n">
        <v>46162</v>
      </c>
      <c r="M184" s="6" t="n">
        <f aca="true">TODAY()-L184</f>
        <v>9</v>
      </c>
      <c r="N184" s="1" t="str">
        <f aca="false">IF(M184&lt;8,"VERIFICADO",IF(M184&lt;15,"VERIFICAR","VERIFICAR URGENTE"))</f>
        <v>VERIFICAR</v>
      </c>
    </row>
    <row r="185" customFormat="false" ht="15" hidden="false" customHeight="false" outlineLevel="0" collapsed="false">
      <c r="A185" s="6" t="s">
        <v>203</v>
      </c>
      <c r="B185" s="7" t="s">
        <v>24</v>
      </c>
      <c r="C185" s="8" t="n">
        <f aca="false">L185</f>
        <v>46160</v>
      </c>
      <c r="D185" s="9" t="n">
        <v>45814</v>
      </c>
      <c r="E185" s="10" t="n">
        <v>48884</v>
      </c>
      <c r="F185" s="11" t="n">
        <f aca="false">(E185-D185)/7</f>
        <v>438.571428571429</v>
      </c>
      <c r="G185" s="11" t="n">
        <f aca="true">(TODAY()-D185)/7</f>
        <v>51</v>
      </c>
      <c r="H185" s="12" t="n">
        <v>405</v>
      </c>
      <c r="I185" s="12" t="n">
        <v>47</v>
      </c>
      <c r="J185" s="13" t="n">
        <f aca="false">IFERROR(((G185*H185)/F185)-I185,"")</f>
        <v>0.0960912052116782</v>
      </c>
      <c r="K185" s="12" t="str">
        <f aca="false">IF(J185&lt;-10,"MUITO ADIANTADO",IF(J185&lt;-6,"ADIANTADO",IF(J185&lt;6,"EM DIAS",IF(J185&lt;12,"ATRASADO","MUITO ATRASADO"))))</f>
        <v>EM DIAS</v>
      </c>
      <c r="L185" s="9" t="n">
        <v>46160</v>
      </c>
      <c r="M185" s="6" t="n">
        <f aca="true">TODAY()-L185</f>
        <v>11</v>
      </c>
      <c r="N185" s="1" t="str">
        <f aca="false">IF(M185&lt;8,"VERIFICADO",IF(M185&lt;15,"VERIFICAR","VERIFICAR URGENTE"))</f>
        <v>VERIFICAR</v>
      </c>
    </row>
    <row r="186" customFormat="false" ht="15" hidden="false" customHeight="false" outlineLevel="0" collapsed="false">
      <c r="A186" s="6" t="s">
        <v>204</v>
      </c>
      <c r="B186" s="7" t="s">
        <v>15</v>
      </c>
      <c r="C186" s="8" t="n">
        <f aca="false">L186</f>
        <v>46164</v>
      </c>
      <c r="D186" s="9" t="n">
        <v>46000</v>
      </c>
      <c r="E186" s="10" t="n">
        <v>46290</v>
      </c>
      <c r="F186" s="11" t="n">
        <f aca="false">(E186-D186)/7</f>
        <v>41.4285714285714</v>
      </c>
      <c r="G186" s="11" t="n">
        <f aca="true">(TODAY()-D186)/7</f>
        <v>24.4285714285714</v>
      </c>
      <c r="H186" s="12" t="n">
        <v>80</v>
      </c>
      <c r="I186" s="12" t="n">
        <v>52</v>
      </c>
      <c r="J186" s="13" t="n">
        <f aca="false">IFERROR(((G186*H186)/F186)-I186,"")</f>
        <v>-4.82758620689653</v>
      </c>
      <c r="K186" s="12" t="str">
        <f aca="false">IF(J186&lt;-10,"MUITO ADIANTADO",IF(J186&lt;-6,"ADIANTADO",IF(J186&lt;6,"EM DIAS",IF(J186&lt;12,"ATRASADO","MUITO ATRASADO"))))</f>
        <v>EM DIAS</v>
      </c>
      <c r="L186" s="9" t="n">
        <v>46164</v>
      </c>
      <c r="M186" s="6" t="n">
        <f aca="true">TODAY()-L186</f>
        <v>7</v>
      </c>
      <c r="N186" s="1" t="str">
        <f aca="false">IF(M186&lt;8,"VERIFICADO",IF(M186&lt;15,"VERIFICAR","VERIFICAR URGENTE"))</f>
        <v>VERIFICADO</v>
      </c>
    </row>
    <row r="187" customFormat="false" ht="15" hidden="false" customHeight="false" outlineLevel="0" collapsed="false">
      <c r="A187" s="6" t="s">
        <v>205</v>
      </c>
      <c r="B187" s="7" t="s">
        <v>22</v>
      </c>
      <c r="C187" s="8" t="n">
        <f aca="false">L187</f>
        <v>46165</v>
      </c>
      <c r="D187" s="9" t="n">
        <v>45965</v>
      </c>
      <c r="E187" s="10" t="n">
        <v>46417</v>
      </c>
      <c r="F187" s="11" t="n">
        <f aca="false">(E187-D187)/7</f>
        <v>64.5714285714286</v>
      </c>
      <c r="G187" s="11" t="n">
        <f aca="true">(TODAY()-D187)/7</f>
        <v>29.4285714285714</v>
      </c>
      <c r="H187" s="12" t="n">
        <v>64</v>
      </c>
      <c r="I187" s="12" t="n">
        <v>34</v>
      </c>
      <c r="J187" s="13" t="n">
        <f aca="false">IFERROR(((G187*H187)/F187)-I187,"")</f>
        <v>-4.83185840707966</v>
      </c>
      <c r="K187" s="12" t="str">
        <f aca="false">IF(J187&lt;-10,"MUITO ADIANTADO",IF(J187&lt;-6,"ADIANTADO",IF(J187&lt;6,"EM DIAS",IF(J187&lt;12,"ATRASADO","MUITO ATRASADO"))))</f>
        <v>EM DIAS</v>
      </c>
      <c r="L187" s="9" t="n">
        <v>46165</v>
      </c>
      <c r="M187" s="6" t="n">
        <f aca="true">TODAY()-L187</f>
        <v>6</v>
      </c>
      <c r="N187" s="1" t="str">
        <f aca="false">IF(M187&lt;8,"VERIFICADO",IF(M187&lt;15,"VERIFICAR","VERIFICAR URGENTE"))</f>
        <v>VERIFICADO</v>
      </c>
    </row>
    <row r="188" customFormat="false" ht="15" hidden="false" customHeight="false" outlineLevel="0" collapsed="false">
      <c r="A188" s="6" t="s">
        <v>206</v>
      </c>
      <c r="B188" s="7" t="s">
        <v>22</v>
      </c>
      <c r="C188" s="8" t="n">
        <f aca="false">L188</f>
        <v>46163</v>
      </c>
      <c r="D188" s="9" t="n">
        <v>45842</v>
      </c>
      <c r="E188" s="10" t="n">
        <v>46426</v>
      </c>
      <c r="F188" s="11" t="n">
        <f aca="false">(E188-D188)/7</f>
        <v>83.4285714285714</v>
      </c>
      <c r="G188" s="11" t="n">
        <f aca="true">(TODAY()-D188)/7</f>
        <v>47</v>
      </c>
      <c r="H188" s="12" t="n">
        <v>112</v>
      </c>
      <c r="I188" s="12" t="n">
        <v>60</v>
      </c>
      <c r="J188" s="13" t="n">
        <f aca="false">IFERROR(((G188*H188)/F188)-I188,"")</f>
        <v>3.09589041095892</v>
      </c>
      <c r="K188" s="12" t="str">
        <f aca="false">IF(J188&lt;-10,"MUITO ADIANTADO",IF(J188&lt;-6,"ADIANTADO",IF(J188&lt;6,"EM DIAS",IF(J188&lt;12,"ATRASADO","MUITO ATRASADO"))))</f>
        <v>EM DIAS</v>
      </c>
      <c r="L188" s="9" t="n">
        <v>46163</v>
      </c>
      <c r="M188" s="6" t="n">
        <f aca="true">TODAY()-L188</f>
        <v>8</v>
      </c>
      <c r="N188" s="1" t="str">
        <f aca="false">IF(M188&lt;8,"VERIFICADO",IF(M188&lt;15,"VERIFICAR","VERIFICAR URGENTE"))</f>
        <v>VERIFICAR</v>
      </c>
    </row>
    <row r="189" customFormat="false" ht="15" hidden="false" customHeight="false" outlineLevel="0" collapsed="false">
      <c r="A189" s="7" t="s">
        <v>207</v>
      </c>
      <c r="B189" s="7" t="s">
        <v>19</v>
      </c>
      <c r="C189" s="8" t="n">
        <f aca="false">L189</f>
        <v>46158</v>
      </c>
      <c r="D189" s="9" t="n">
        <v>45562</v>
      </c>
      <c r="E189" s="10" t="n">
        <v>46201</v>
      </c>
      <c r="F189" s="11" t="n">
        <f aca="false">(E189-D189)/7</f>
        <v>91.2857142857143</v>
      </c>
      <c r="G189" s="11" t="n">
        <f aca="true">(TODAY()-D189)/7</f>
        <v>87</v>
      </c>
      <c r="H189" s="12" t="n">
        <v>80</v>
      </c>
      <c r="I189" s="12" t="n">
        <v>74</v>
      </c>
      <c r="J189" s="13" t="n">
        <f aca="false">IFERROR(((G189*H189)/F189)-I189,"")</f>
        <v>2.24413145539904</v>
      </c>
      <c r="K189" s="12" t="str">
        <f aca="false">IF(J189&lt;-10,"MUITO ADIANTADO",IF(J189&lt;-6,"ADIANTADO",IF(J189&lt;6,"EM DIAS",IF(J189&lt;12,"ATRASADO","MUITO ATRASADO"))))</f>
        <v>EM DIAS</v>
      </c>
      <c r="L189" s="9" t="n">
        <v>46158</v>
      </c>
      <c r="M189" s="6" t="n">
        <f aca="true">TODAY()-L189</f>
        <v>13</v>
      </c>
      <c r="N189" s="1" t="str">
        <f aca="false">IF(M189&lt;8,"VERIFICADO",IF(M189&lt;15,"VERIFICAR","VERIFICAR URGENTE"))</f>
        <v>VERIFICAR</v>
      </c>
    </row>
    <row r="190" customFormat="false" ht="15" hidden="false" customHeight="false" outlineLevel="0" collapsed="false">
      <c r="A190" s="6" t="s">
        <v>208</v>
      </c>
      <c r="B190" s="7" t="s">
        <v>15</v>
      </c>
      <c r="C190" s="8" t="n">
        <f aca="false">L190</f>
        <v>46164</v>
      </c>
      <c r="D190" s="9" t="n">
        <v>45785</v>
      </c>
      <c r="E190" s="10" t="n">
        <v>46371</v>
      </c>
      <c r="F190" s="11" t="n">
        <f aca="false">(E190-D190)/7</f>
        <v>83.7142857142857</v>
      </c>
      <c r="G190" s="11" t="n">
        <f aca="true">(TODAY()-D190)/7</f>
        <v>55.1428571428571</v>
      </c>
      <c r="H190" s="12" t="n">
        <v>112</v>
      </c>
      <c r="I190" s="12" t="n">
        <v>72</v>
      </c>
      <c r="J190" s="13" t="n">
        <f aca="false">IFERROR(((G190*H190)/F190)-I190,"")</f>
        <v>1.77474402730377</v>
      </c>
      <c r="K190" s="12" t="str">
        <f aca="false">IF(J190&lt;-10,"MUITO ADIANTADO",IF(J190&lt;-6,"ADIANTADO",IF(J190&lt;6,"EM DIAS",IF(J190&lt;12,"ATRASADO","MUITO ATRASADO"))))</f>
        <v>EM DIAS</v>
      </c>
      <c r="L190" s="9" t="n">
        <v>46164</v>
      </c>
      <c r="M190" s="6" t="n">
        <f aca="true">TODAY()-L190</f>
        <v>7</v>
      </c>
      <c r="N190" s="1" t="str">
        <f aca="false">IF(M190&lt;8,"VERIFICADO",IF(M190&lt;15,"VERIFICAR","VERIFICAR URGENTE"))</f>
        <v>VERIFICADO</v>
      </c>
    </row>
    <row r="191" customFormat="false" ht="15" hidden="false" customHeight="false" outlineLevel="0" collapsed="false">
      <c r="A191" s="6" t="s">
        <v>209</v>
      </c>
      <c r="B191" s="7" t="s">
        <v>24</v>
      </c>
      <c r="C191" s="8" t="n">
        <f aca="false">L191</f>
        <v>46162</v>
      </c>
      <c r="D191" s="9" t="n">
        <v>45766</v>
      </c>
      <c r="E191" s="10" t="n">
        <v>46340</v>
      </c>
      <c r="F191" s="11" t="n">
        <f aca="false">(E191-D191)/7</f>
        <v>82</v>
      </c>
      <c r="G191" s="11" t="n">
        <f aca="true">(TODAY()-D191)/7</f>
        <v>57.8571428571429</v>
      </c>
      <c r="H191" s="12" t="n">
        <v>80</v>
      </c>
      <c r="I191" s="12" t="n">
        <v>57</v>
      </c>
      <c r="J191" s="13" t="n">
        <f aca="false">IFERROR(((G191*H191)/F191)-I191,"")</f>
        <v>-0.554006968641119</v>
      </c>
      <c r="K191" s="12" t="str">
        <f aca="false">IF(J191&lt;-10,"MUITO ADIANTADO",IF(J191&lt;-6,"ADIANTADO",IF(J191&lt;6,"EM DIAS",IF(J191&lt;12,"ATRASADO","MUITO ATRASADO"))))</f>
        <v>EM DIAS</v>
      </c>
      <c r="L191" s="9" t="n">
        <v>46162</v>
      </c>
      <c r="M191" s="6" t="n">
        <f aca="true">TODAY()-L191</f>
        <v>9</v>
      </c>
      <c r="N191" s="1" t="str">
        <f aca="false">IF(M191&lt;8,"VERIFICADO",IF(M191&lt;15,"VERIFICAR","VERIFICAR URGENTE"))</f>
        <v>VERIFICAR</v>
      </c>
    </row>
    <row r="192" customFormat="false" ht="15" hidden="false" customHeight="false" outlineLevel="0" collapsed="false">
      <c r="A192" s="6" t="s">
        <v>209</v>
      </c>
      <c r="B192" s="7" t="s">
        <v>65</v>
      </c>
      <c r="C192" s="8" t="n">
        <f aca="false">L192</f>
        <v>46164</v>
      </c>
      <c r="D192" s="9" t="n">
        <v>46359</v>
      </c>
      <c r="E192" s="10" t="n">
        <v>47893</v>
      </c>
      <c r="F192" s="11" t="n">
        <f aca="false">(E192-D192)/7</f>
        <v>219.142857142857</v>
      </c>
      <c r="G192" s="11" t="n">
        <f aca="true">(TODAY()-D192)/7</f>
        <v>-26.8571428571429</v>
      </c>
      <c r="H192" s="12" t="n">
        <v>200</v>
      </c>
      <c r="I192" s="12" t="n">
        <v>0</v>
      </c>
      <c r="J192" s="13" t="n">
        <f aca="false">IFERROR(((G192*H192)/F192)-I192,"")</f>
        <v>-24.5110821382008</v>
      </c>
      <c r="K192" s="12" t="str">
        <f aca="false">IF(J192&lt;-10,"MUITO ADIANTADO",IF(J192&lt;-6,"ADIANTADO",IF(J192&lt;6,"EM DIAS",IF(J192&lt;12,"ATRASADO","MUITO ATRASADO"))))</f>
        <v>MUITO ADIANTADO</v>
      </c>
      <c r="L192" s="9" t="n">
        <v>46164</v>
      </c>
      <c r="M192" s="6" t="n">
        <f aca="true">TODAY()-L192</f>
        <v>7</v>
      </c>
      <c r="N192" s="1" t="str">
        <f aca="false">IF(M192&lt;8,"VERIFICADO",IF(M192&lt;15,"VERIFICAR","VERIFICAR URGENTE"))</f>
        <v>VERIFICADO</v>
      </c>
    </row>
    <row r="193" customFormat="false" ht="15" hidden="false" customHeight="false" outlineLevel="0" collapsed="false">
      <c r="A193" s="6" t="s">
        <v>210</v>
      </c>
      <c r="B193" s="7" t="s">
        <v>22</v>
      </c>
      <c r="C193" s="8" t="n">
        <f aca="false">L193</f>
        <v>46161</v>
      </c>
      <c r="D193" s="9" t="n">
        <v>45636</v>
      </c>
      <c r="E193" s="10" t="n">
        <v>46255</v>
      </c>
      <c r="F193" s="11" t="n">
        <f aca="false">(E193-D193)/7</f>
        <v>88.4285714285714</v>
      </c>
      <c r="G193" s="11" t="n">
        <f aca="true">(TODAY()-D193)/7</f>
        <v>76.4285714285714</v>
      </c>
      <c r="H193" s="12" t="n">
        <v>80</v>
      </c>
      <c r="I193" s="12" t="n">
        <v>75</v>
      </c>
      <c r="J193" s="13" t="n">
        <f aca="false">IFERROR(((G193*H193)/F193)-I193,"")</f>
        <v>-5.85621970920838</v>
      </c>
      <c r="K193" s="12" t="str">
        <f aca="false">IF(J193&lt;-10,"MUITO ADIANTADO",IF(J193&lt;-6,"ADIANTADO",IF(J193&lt;6,"EM DIAS",IF(J193&lt;12,"ATRASADO","MUITO ATRASADO"))))</f>
        <v>EM DIAS</v>
      </c>
      <c r="L193" s="9" t="n">
        <v>46161</v>
      </c>
      <c r="M193" s="6" t="n">
        <f aca="true">TODAY()-L193</f>
        <v>10</v>
      </c>
      <c r="N193" s="1" t="str">
        <f aca="false">IF(M193&lt;8,"VERIFICADO",IF(M193&lt;15,"VERIFICAR","VERIFICAR URGENTE"))</f>
        <v>VERIFICAR</v>
      </c>
    </row>
    <row r="194" customFormat="false" ht="15" hidden="false" customHeight="false" outlineLevel="0" collapsed="false">
      <c r="A194" s="6" t="s">
        <v>211</v>
      </c>
      <c r="B194" s="7" t="s">
        <v>24</v>
      </c>
      <c r="C194" s="8" t="n">
        <f aca="false">L194</f>
        <v>46158</v>
      </c>
      <c r="D194" s="9" t="n">
        <v>45646</v>
      </c>
      <c r="E194" s="10" t="n">
        <v>46203</v>
      </c>
      <c r="F194" s="11" t="n">
        <f aca="false">(E194-D194)/7</f>
        <v>79.5714285714286</v>
      </c>
      <c r="G194" s="11" t="n">
        <f aca="true">(TODAY()-D194)/7</f>
        <v>75</v>
      </c>
      <c r="H194" s="12" t="n">
        <v>80</v>
      </c>
      <c r="I194" s="12" t="n">
        <v>71</v>
      </c>
      <c r="J194" s="13" t="n">
        <f aca="false">IFERROR(((G194*H194)/F194)-I194,"")</f>
        <v>4.40394973070015</v>
      </c>
      <c r="K194" s="12" t="str">
        <f aca="false">IF(J194&lt;-10,"MUITO ADIANTADO",IF(J194&lt;-6,"ADIANTADO",IF(J194&lt;6,"EM DIAS",IF(J194&lt;12,"ATRASADO","MUITO ATRASADO"))))</f>
        <v>EM DIAS</v>
      </c>
      <c r="L194" s="9" t="n">
        <v>46158</v>
      </c>
      <c r="M194" s="6" t="n">
        <f aca="true">TODAY()-L194</f>
        <v>13</v>
      </c>
      <c r="N194" s="1" t="str">
        <f aca="false">IF(M194&lt;8,"VERIFICADO",IF(M194&lt;15,"VERIFICAR","VERIFICAR URGENTE"))</f>
        <v>VERIFICAR</v>
      </c>
    </row>
    <row r="195" customFormat="false" ht="15" hidden="false" customHeight="false" outlineLevel="0" collapsed="false">
      <c r="A195" s="6" t="s">
        <v>212</v>
      </c>
      <c r="B195" s="7" t="s">
        <v>24</v>
      </c>
      <c r="C195" s="8" t="n">
        <f aca="false">L195</f>
        <v>46212</v>
      </c>
      <c r="D195" s="9" t="n">
        <v>46212</v>
      </c>
      <c r="E195" s="10" t="n">
        <v>47888</v>
      </c>
      <c r="F195" s="11" t="n">
        <f aca="false">(E195-D195)/7</f>
        <v>239.428571428571</v>
      </c>
      <c r="G195" s="11" t="n">
        <f aca="true">(TODAY()-D195)/7</f>
        <v>-5.85714285714286</v>
      </c>
      <c r="H195" s="12" t="n">
        <v>200</v>
      </c>
      <c r="I195" s="12" t="n">
        <v>0</v>
      </c>
      <c r="J195" s="13" t="n">
        <f aca="false">IFERROR(((G195*H195)/F195)-I195,"")</f>
        <v>-4.89260143198092</v>
      </c>
      <c r="K195" s="12" t="str">
        <f aca="false">IF(J195&lt;-10,"MUITO ADIANTADO",IF(J195&lt;-6,"ADIANTADO",IF(J195&lt;6,"EM DIAS",IF(J195&lt;12,"ATRASADO","MUITO ATRASADO"))))</f>
        <v>EM DIAS</v>
      </c>
      <c r="L195" s="9" t="n">
        <v>46212</v>
      </c>
      <c r="M195" s="6" t="n">
        <f aca="true">TODAY()-L195</f>
        <v>-41</v>
      </c>
      <c r="N195" s="1" t="str">
        <f aca="false">IF(M195&lt;8,"VERIFICADO",IF(M195&lt;15,"VERIFICAR","VERIFICAR URGENTE"))</f>
        <v>VERIFICADO</v>
      </c>
    </row>
    <row r="196" customFormat="false" ht="15" hidden="false" customHeight="false" outlineLevel="0" collapsed="false">
      <c r="A196" s="6" t="s">
        <v>213</v>
      </c>
      <c r="B196" s="7" t="s">
        <v>24</v>
      </c>
      <c r="C196" s="8" t="n">
        <f aca="false">L196</f>
        <v>46161</v>
      </c>
      <c r="D196" s="9" t="n">
        <v>45895</v>
      </c>
      <c r="E196" s="10" t="n">
        <v>46597</v>
      </c>
      <c r="F196" s="11" t="n">
        <f aca="false">(E196-D196)/7</f>
        <v>100.285714285714</v>
      </c>
      <c r="G196" s="11" t="n">
        <f aca="true">(TODAY()-D196)/7</f>
        <v>39.4285714285714</v>
      </c>
      <c r="H196" s="12" t="n">
        <v>112</v>
      </c>
      <c r="I196" s="12" t="n">
        <v>39</v>
      </c>
      <c r="J196" s="13" t="n">
        <f aca="false">IFERROR(((G196*H196)/F196)-I196,"")</f>
        <v>5.03418803418816</v>
      </c>
      <c r="K196" s="12" t="str">
        <f aca="false">IF(J196&lt;-10,"MUITO ADIANTADO",IF(J196&lt;-6,"ADIANTADO",IF(J196&lt;6,"EM DIAS",IF(J196&lt;12,"ATRASADO","MUITO ATRASADO"))))</f>
        <v>EM DIAS</v>
      </c>
      <c r="L196" s="9" t="n">
        <v>46161</v>
      </c>
      <c r="M196" s="6" t="n">
        <f aca="true">TODAY()-L196</f>
        <v>10</v>
      </c>
      <c r="N196" s="1" t="str">
        <f aca="false">IF(M196&lt;8,"VERIFICADO",IF(M196&lt;15,"VERIFICAR","VERIFICAR URGENTE"))</f>
        <v>VERIFICAR</v>
      </c>
    </row>
    <row r="197" customFormat="false" ht="15" hidden="false" customHeight="false" outlineLevel="0" collapsed="false">
      <c r="A197" s="6" t="s">
        <v>214</v>
      </c>
      <c r="B197" s="7" t="s">
        <v>15</v>
      </c>
      <c r="C197" s="8" t="n">
        <f aca="false">L197</f>
        <v>46165</v>
      </c>
      <c r="D197" s="9" t="n">
        <v>45414</v>
      </c>
      <c r="E197" s="10" t="n">
        <v>46730</v>
      </c>
      <c r="F197" s="11" t="n">
        <f aca="false">(E197-D197)/7</f>
        <v>188</v>
      </c>
      <c r="G197" s="11" t="n">
        <f aca="true">(TODAY()-D197)/7</f>
        <v>108.142857142857</v>
      </c>
      <c r="H197" s="12" t="n">
        <v>192</v>
      </c>
      <c r="I197" s="12" t="n">
        <v>104</v>
      </c>
      <c r="J197" s="13" t="n">
        <f aca="false">IFERROR(((G197*H197)/F197)-I197,"")</f>
        <v>6.44376899696049</v>
      </c>
      <c r="K197" s="12" t="str">
        <f aca="false">IF(J197&lt;-10,"MUITO ADIANTADO",IF(J197&lt;-6,"ADIANTADO",IF(J197&lt;6,"EM DIAS",IF(J197&lt;12,"ATRASADO","MUITO ATRASADO"))))</f>
        <v>ATRASADO</v>
      </c>
      <c r="L197" s="9" t="n">
        <v>46165</v>
      </c>
      <c r="M197" s="6" t="n">
        <f aca="true">TODAY()-L197</f>
        <v>6</v>
      </c>
      <c r="N197" s="1" t="str">
        <f aca="false">IF(M197&lt;8,"VERIFICADO",IF(M197&lt;15,"VERIFICAR","VERIFICAR URGENTE"))</f>
        <v>VERIFICADO</v>
      </c>
    </row>
    <row r="198" customFormat="false" ht="15" hidden="false" customHeight="false" outlineLevel="0" collapsed="false">
      <c r="A198" s="6" t="s">
        <v>215</v>
      </c>
      <c r="B198" s="7" t="s">
        <v>22</v>
      </c>
      <c r="C198" s="8" t="n">
        <f aca="false">L198</f>
        <v>46163</v>
      </c>
      <c r="D198" s="9" t="n">
        <v>45845</v>
      </c>
      <c r="E198" s="10" t="n">
        <v>46402</v>
      </c>
      <c r="F198" s="11" t="n">
        <f aca="false">(E198-D198)/7</f>
        <v>79.5714285714286</v>
      </c>
      <c r="G198" s="11" t="n">
        <f aca="true">(TODAY()-D198)/7</f>
        <v>46.5714285714286</v>
      </c>
      <c r="H198" s="12" t="n">
        <v>80</v>
      </c>
      <c r="I198" s="12" t="n">
        <v>46</v>
      </c>
      <c r="J198" s="13" t="n">
        <f aca="false">IFERROR(((G198*H198)/F198)-I198,"")</f>
        <v>0.822262118491899</v>
      </c>
      <c r="K198" s="12" t="str">
        <f aca="false">IF(J198&lt;-10,"MUITO ADIANTADO",IF(J198&lt;-6,"ADIANTADO",IF(J198&lt;6,"EM DIAS",IF(J198&lt;12,"ATRASADO","MUITO ATRASADO"))))</f>
        <v>EM DIAS</v>
      </c>
      <c r="L198" s="9" t="n">
        <v>46163</v>
      </c>
      <c r="M198" s="6" t="n">
        <f aca="true">TODAY()-L198</f>
        <v>8</v>
      </c>
      <c r="N198" s="1" t="str">
        <f aca="false">IF(M198&lt;8,"VERIFICADO",IF(M198&lt;15,"VERIFICAR","VERIFICAR URGENTE"))</f>
        <v>VERIFICAR</v>
      </c>
    </row>
    <row r="199" customFormat="false" ht="15" hidden="false" customHeight="false" outlineLevel="0" collapsed="false">
      <c r="A199" s="6" t="s">
        <v>216</v>
      </c>
      <c r="B199" s="7" t="s">
        <v>17</v>
      </c>
      <c r="C199" s="8" t="n">
        <f aca="false">L199</f>
        <v>46160</v>
      </c>
      <c r="D199" s="9" t="n">
        <v>45681</v>
      </c>
      <c r="E199" s="10" t="n">
        <v>46592</v>
      </c>
      <c r="F199" s="11" t="n">
        <f aca="false">(E199-D199)/7</f>
        <v>130.142857142857</v>
      </c>
      <c r="G199" s="11" t="n">
        <f aca="true">(TODAY()-D199)/7</f>
        <v>70</v>
      </c>
      <c r="H199" s="12" t="n">
        <v>112</v>
      </c>
      <c r="I199" s="12" t="n">
        <v>56</v>
      </c>
      <c r="J199" s="13" t="n">
        <f aca="false">IFERROR(((G199*H199)/F199)-I199,"")</f>
        <v>4.24149286498361</v>
      </c>
      <c r="K199" s="12" t="str">
        <f aca="false">IF(J199&lt;-10,"MUITO ADIANTADO",IF(J199&lt;-6,"ADIANTADO",IF(J199&lt;6,"EM DIAS",IF(J199&lt;12,"ATRASADO","MUITO ATRASADO"))))</f>
        <v>EM DIAS</v>
      </c>
      <c r="L199" s="9" t="n">
        <v>46160</v>
      </c>
      <c r="M199" s="6" t="n">
        <f aca="true">TODAY()-L199</f>
        <v>11</v>
      </c>
      <c r="N199" s="1" t="str">
        <f aca="false">IF(M199&lt;8,"VERIFICADO",IF(M199&lt;15,"VERIFICAR","VERIFICAR URGENTE"))</f>
        <v>VERIFICAR</v>
      </c>
    </row>
    <row r="200" customFormat="false" ht="15" hidden="false" customHeight="false" outlineLevel="0" collapsed="false">
      <c r="A200" s="6" t="s">
        <v>217</v>
      </c>
      <c r="B200" s="7" t="s">
        <v>22</v>
      </c>
      <c r="C200" s="8" t="n">
        <f aca="false">L200</f>
        <v>46163</v>
      </c>
      <c r="D200" s="9" t="n">
        <v>45939</v>
      </c>
      <c r="E200" s="10" t="n">
        <v>46507</v>
      </c>
      <c r="F200" s="11" t="n">
        <f aca="false">(E200-D200)/7</f>
        <v>81.1428571428571</v>
      </c>
      <c r="G200" s="11" t="n">
        <f aca="true">(TODAY()-D200)/7</f>
        <v>33.1428571428571</v>
      </c>
      <c r="H200" s="12" t="n">
        <v>80</v>
      </c>
      <c r="I200" s="12" t="n">
        <v>45</v>
      </c>
      <c r="J200" s="13" t="n">
        <f aca="false">IFERROR(((G200*H200)/F200)-I200,"")</f>
        <v>-12.3239436619718</v>
      </c>
      <c r="K200" s="12" t="str">
        <f aca="false">IF(J200&lt;-10,"MUITO ADIANTADO",IF(J200&lt;-6,"ADIANTADO",IF(J200&lt;6,"EM DIAS",IF(J200&lt;12,"ATRASADO","MUITO ATRASADO"))))</f>
        <v>MUITO ADIANTADO</v>
      </c>
      <c r="L200" s="9" t="n">
        <v>46163</v>
      </c>
      <c r="M200" s="6" t="n">
        <f aca="true">TODAY()-L200</f>
        <v>8</v>
      </c>
      <c r="N200" s="1" t="str">
        <f aca="false">IF(M200&lt;8,"VERIFICADO",IF(M200&lt;15,"VERIFICAR","VERIFICAR URGENTE"))</f>
        <v>VERIFICAR</v>
      </c>
    </row>
    <row r="201" customFormat="false" ht="15" hidden="false" customHeight="false" outlineLevel="0" collapsed="false">
      <c r="A201" s="6" t="s">
        <v>218</v>
      </c>
      <c r="B201" s="7" t="s">
        <v>22</v>
      </c>
      <c r="C201" s="8" t="n">
        <f aca="false">L201</f>
        <v>46165</v>
      </c>
      <c r="D201" s="9" t="n">
        <v>45974</v>
      </c>
      <c r="E201" s="10" t="n">
        <v>46446</v>
      </c>
      <c r="F201" s="11" t="n">
        <f aca="false">(E201-D201)/7</f>
        <v>67.4285714285714</v>
      </c>
      <c r="G201" s="11" t="n">
        <f aca="true">(TODAY()-D201)/7</f>
        <v>28.1428571428571</v>
      </c>
      <c r="H201" s="12" t="n">
        <v>64</v>
      </c>
      <c r="I201" s="12" t="n">
        <v>14</v>
      </c>
      <c r="J201" s="13" t="n">
        <f aca="false">IFERROR(((G201*H201)/F201)-I201,"")</f>
        <v>12.7118644067797</v>
      </c>
      <c r="K201" s="12" t="str">
        <f aca="false">IF(J201&lt;-10,"MUITO ADIANTADO",IF(J201&lt;-6,"ADIANTADO",IF(J201&lt;6,"EM DIAS",IF(J201&lt;12,"ATRASADO","MUITO ATRASADO"))))</f>
        <v>MUITO ATRASADO</v>
      </c>
      <c r="L201" s="9" t="n">
        <v>46165</v>
      </c>
      <c r="M201" s="6" t="n">
        <f aca="true">TODAY()-L201</f>
        <v>6</v>
      </c>
      <c r="N201" s="1" t="str">
        <f aca="false">IF(M201&lt;8,"VERIFICADO",IF(M201&lt;15,"VERIFICAR","VERIFICAR URGENTE"))</f>
        <v>VERIFICADO</v>
      </c>
    </row>
    <row r="202" customFormat="false" ht="15" hidden="false" customHeight="false" outlineLevel="0" collapsed="false">
      <c r="A202" s="17" t="s">
        <v>219</v>
      </c>
      <c r="B202" s="7" t="s">
        <v>17</v>
      </c>
      <c r="C202" s="8" t="n">
        <f aca="false">L202</f>
        <v>46162</v>
      </c>
      <c r="D202" s="9" t="n">
        <v>45602</v>
      </c>
      <c r="E202" s="10" t="n">
        <v>46746</v>
      </c>
      <c r="F202" s="11" t="n">
        <f aca="false">(E202-D202)/7</f>
        <v>163.428571428571</v>
      </c>
      <c r="G202" s="11" t="n">
        <f aca="true">(TODAY()-D202)/7</f>
        <v>81.2857142857143</v>
      </c>
      <c r="H202" s="12" t="n">
        <v>176</v>
      </c>
      <c r="I202" s="12" t="n">
        <v>52</v>
      </c>
      <c r="J202" s="13" t="n">
        <f aca="false">IFERROR(((G202*H202)/F202)-I202,"")</f>
        <v>35.5384615384618</v>
      </c>
      <c r="K202" s="12" t="str">
        <f aca="false">IF(J202&lt;-10,"MUITO ADIANTADO",IF(J202&lt;-6,"ADIANTADO",IF(J202&lt;6,"EM DIAS",IF(J202&lt;12,"ATRASADO","MUITO ATRASADO"))))</f>
        <v>MUITO ATRASADO</v>
      </c>
      <c r="L202" s="9" t="n">
        <v>46162</v>
      </c>
      <c r="M202" s="6" t="n">
        <f aca="true">TODAY()-L202</f>
        <v>9</v>
      </c>
      <c r="N202" s="1" t="str">
        <f aca="false">IF(M202&lt;8,"VERIFICADO",IF(M202&lt;15,"VERIFICAR","VERIFICAR URGENTE"))</f>
        <v>VERIFICAR</v>
      </c>
    </row>
    <row r="203" customFormat="false" ht="15" hidden="false" customHeight="false" outlineLevel="0" collapsed="false">
      <c r="A203" s="1" t="s">
        <v>220</v>
      </c>
      <c r="B203" s="7" t="s">
        <v>15</v>
      </c>
      <c r="C203" s="8" t="n">
        <f aca="false">L203</f>
        <v>46165</v>
      </c>
      <c r="D203" s="9" t="n">
        <v>45625</v>
      </c>
      <c r="E203" s="10" t="n">
        <v>46218</v>
      </c>
      <c r="F203" s="11" t="n">
        <f aca="false">(E203-D203)/7</f>
        <v>84.7142857142857</v>
      </c>
      <c r="G203" s="11" t="n">
        <f aca="true">(TODAY()-D203)/7</f>
        <v>78</v>
      </c>
      <c r="H203" s="12" t="n">
        <v>80</v>
      </c>
      <c r="I203" s="12" t="n">
        <v>73</v>
      </c>
      <c r="J203" s="13" t="n">
        <f aca="false">IFERROR(((G203*H203)/F203)-I203,"")</f>
        <v>0.659359190556515</v>
      </c>
      <c r="K203" s="12" t="str">
        <f aca="false">IF(J203&lt;-10,"MUITO ADIANTADO",IF(J203&lt;-6,"ADIANTADO",IF(J203&lt;6,"EM DIAS",IF(J203&lt;12,"ATRASADO","MUITO ATRASADO"))))</f>
        <v>EM DIAS</v>
      </c>
      <c r="L203" s="9" t="n">
        <v>46165</v>
      </c>
      <c r="M203" s="6" t="n">
        <f aca="true">TODAY()-L203</f>
        <v>6</v>
      </c>
      <c r="N203" s="1" t="str">
        <f aca="false">IF(M203&lt;8,"VERIFICADO",IF(M203&lt;15,"VERIFICAR","VERIFICAR URGENTE"))</f>
        <v>VERIFICADO</v>
      </c>
    </row>
    <row r="204" customFormat="false" ht="15" hidden="false" customHeight="false" outlineLevel="0" collapsed="false">
      <c r="A204" s="6" t="s">
        <v>221</v>
      </c>
      <c r="B204" s="7" t="s">
        <v>24</v>
      </c>
      <c r="C204" s="8" t="n">
        <f aca="false">L204</f>
        <v>46161</v>
      </c>
      <c r="D204" s="9" t="n">
        <v>45909</v>
      </c>
      <c r="E204" s="10" t="n">
        <v>47027</v>
      </c>
      <c r="F204" s="11" t="n">
        <f aca="false">(E204-D204)/7</f>
        <v>159.714285714286</v>
      </c>
      <c r="G204" s="11" t="n">
        <f aca="true">(TODAY()-D204)/7</f>
        <v>37.4285714285714</v>
      </c>
      <c r="H204" s="12" t="n">
        <v>192</v>
      </c>
      <c r="I204" s="12" t="n">
        <v>110</v>
      </c>
      <c r="J204" s="13" t="n">
        <f aca="false">IFERROR(((G204*H204)/F204)-I204,"")</f>
        <v>-65.005366726297</v>
      </c>
      <c r="K204" s="12" t="str">
        <f aca="false">IF(J204&lt;-10,"MUITO ADIANTADO",IF(J204&lt;-6,"ADIANTADO",IF(J204&lt;6,"EM DIAS",IF(J204&lt;12,"ATRASADO","MUITO ATRASADO"))))</f>
        <v>MUITO ADIANTADO</v>
      </c>
      <c r="L204" s="9" t="n">
        <v>46161</v>
      </c>
      <c r="M204" s="6" t="n">
        <f aca="true">TODAY()-L204</f>
        <v>10</v>
      </c>
      <c r="N204" s="1" t="str">
        <f aca="false">IF(M204&lt;8,"VERIFICADO",IF(M204&lt;15,"VERIFICAR","VERIFICAR URGENTE"))</f>
        <v>VERIFICAR</v>
      </c>
    </row>
    <row r="205" customFormat="false" ht="15" hidden="false" customHeight="false" outlineLevel="0" collapsed="false">
      <c r="A205" s="6" t="s">
        <v>222</v>
      </c>
      <c r="B205" s="6" t="s">
        <v>19</v>
      </c>
      <c r="C205" s="8" t="n">
        <f aca="false">L205</f>
        <v>46158</v>
      </c>
      <c r="D205" s="9" t="n">
        <v>45833</v>
      </c>
      <c r="E205" s="10" t="n">
        <v>46670</v>
      </c>
      <c r="F205" s="11" t="n">
        <f aca="false">(E205-D205)/7</f>
        <v>119.571428571429</v>
      </c>
      <c r="G205" s="11" t="n">
        <f aca="true">(TODAY()-D205)/7</f>
        <v>48.2857142857143</v>
      </c>
      <c r="H205" s="12" t="n">
        <v>140</v>
      </c>
      <c r="I205" s="12" t="n">
        <v>53</v>
      </c>
      <c r="J205" s="13" t="n">
        <f aca="false">IFERROR(((G205*H205)/F205)-I205,"")</f>
        <v>3.5352449223415</v>
      </c>
      <c r="K205" s="12" t="str">
        <f aca="false">IF(J205&lt;-10,"MUITO ADIANTADO",IF(J205&lt;-6,"ADIANTADO",IF(J205&lt;6,"EM DIAS",IF(J205&lt;12,"ATRASADO","MUITO ATRASADO"))))</f>
        <v>EM DIAS</v>
      </c>
      <c r="L205" s="9" t="n">
        <v>46158</v>
      </c>
      <c r="M205" s="6" t="n">
        <f aca="true">TODAY()-L205</f>
        <v>13</v>
      </c>
      <c r="N205" s="1" t="str">
        <f aca="false">IF(M205&lt;8,"VERIFICADO",IF(M205&lt;15,"VERIFICAR","VERIFICAR URGENTE"))</f>
        <v>VERIFICAR</v>
      </c>
    </row>
    <row r="206" customFormat="false" ht="15" hidden="false" customHeight="false" outlineLevel="0" collapsed="false">
      <c r="A206" s="6" t="s">
        <v>223</v>
      </c>
      <c r="B206" s="7" t="s">
        <v>22</v>
      </c>
      <c r="C206" s="8" t="n">
        <f aca="false">L206</f>
        <v>46164</v>
      </c>
      <c r="D206" s="9" t="n">
        <v>46066</v>
      </c>
      <c r="E206" s="10" t="n">
        <v>46527</v>
      </c>
      <c r="F206" s="11" t="n">
        <f aca="false">(E206-D206)/7</f>
        <v>65.8571428571429</v>
      </c>
      <c r="G206" s="11" t="n">
        <f aca="true">(TODAY()-D206)/7</f>
        <v>15</v>
      </c>
      <c r="H206" s="12" t="n">
        <v>80</v>
      </c>
      <c r="I206" s="12" t="n">
        <v>15</v>
      </c>
      <c r="J206" s="13" t="n">
        <f aca="false">IFERROR(((G206*H206)/F206)-I206,"")</f>
        <v>3.22125813449022</v>
      </c>
      <c r="K206" s="12" t="str">
        <f aca="false">IF(J206&lt;-10,"MUITO ADIANTADO",IF(J206&lt;-6,"ADIANTADO",IF(J206&lt;6,"EM DIAS",IF(J206&lt;12,"ATRASADO","MUITO ATRASADO"))))</f>
        <v>EM DIAS</v>
      </c>
      <c r="L206" s="9" t="n">
        <v>46164</v>
      </c>
      <c r="M206" s="6" t="n">
        <f aca="true">TODAY()-L206</f>
        <v>7</v>
      </c>
      <c r="N206" s="1" t="str">
        <f aca="false">IF(M206&lt;8,"VERIFICADO",IF(M206&lt;15,"VERIFICAR","VERIFICAR URGENTE"))</f>
        <v>VERIFICADO</v>
      </c>
    </row>
    <row r="207" customFormat="false" ht="15" hidden="false" customHeight="false" outlineLevel="0" collapsed="false">
      <c r="A207" s="6" t="s">
        <v>224</v>
      </c>
      <c r="B207" s="18" t="s">
        <v>19</v>
      </c>
      <c r="C207" s="8" t="n">
        <f aca="false">L207</f>
        <v>46158</v>
      </c>
      <c r="D207" s="9" t="n">
        <v>45713</v>
      </c>
      <c r="E207" s="10" t="n">
        <v>46417</v>
      </c>
      <c r="F207" s="11" t="n">
        <f aca="false">(E207-D207)/7</f>
        <v>100.571428571429</v>
      </c>
      <c r="G207" s="11" t="n">
        <f aca="true">(TODAY()-D207)/7</f>
        <v>65.4285714285714</v>
      </c>
      <c r="H207" s="12" t="n">
        <v>96</v>
      </c>
      <c r="I207" s="12" t="n">
        <v>58</v>
      </c>
      <c r="J207" s="13" t="n">
        <f aca="false">IFERROR(((G207*H207)/F207)-I207,"")</f>
        <v>4.45454545454519</v>
      </c>
      <c r="K207" s="12" t="str">
        <f aca="false">IF(J207&lt;-10,"MUITO ADIANTADO",IF(J207&lt;-6,"ADIANTADO",IF(J207&lt;6,"EM DIAS",IF(J207&lt;12,"ATRASADO","MUITO ATRASADO"))))</f>
        <v>EM DIAS</v>
      </c>
      <c r="L207" s="9" t="n">
        <v>46158</v>
      </c>
      <c r="M207" s="6" t="n">
        <f aca="true">TODAY()-L207</f>
        <v>13</v>
      </c>
      <c r="N207" s="1" t="str">
        <f aca="false">IF(M207&lt;8,"VERIFICADO",IF(M207&lt;15,"VERIFICAR","VERIFICAR URGENTE"))</f>
        <v>VERIFICAR</v>
      </c>
    </row>
    <row r="208" customFormat="false" ht="15" hidden="false" customHeight="false" outlineLevel="0" collapsed="false">
      <c r="A208" s="6" t="s">
        <v>225</v>
      </c>
      <c r="B208" s="7" t="s">
        <v>17</v>
      </c>
      <c r="C208" s="8" t="n">
        <f aca="false">L208</f>
        <v>46162</v>
      </c>
      <c r="D208" s="9" t="n">
        <v>45953</v>
      </c>
      <c r="E208" s="10" t="n">
        <v>47998</v>
      </c>
      <c r="F208" s="11" t="n">
        <f aca="false">(E208-D208)/7</f>
        <v>292.142857142857</v>
      </c>
      <c r="G208" s="11" t="n">
        <f aca="true">(TODAY()-D208)/7</f>
        <v>31.1428571428571</v>
      </c>
      <c r="H208" s="12" t="n">
        <v>256</v>
      </c>
      <c r="I208" s="12" t="n">
        <v>28</v>
      </c>
      <c r="J208" s="13" t="n">
        <f aca="false">IFERROR(((G208*H208)/F208)-I208,"")</f>
        <v>-0.710024449877736</v>
      </c>
      <c r="K208" s="12" t="str">
        <f aca="false">IF(J208&lt;-10,"MUITO ADIANTADO",IF(J208&lt;-6,"ADIANTADO",IF(J208&lt;6,"EM DIAS",IF(J208&lt;12,"ATRASADO","MUITO ATRASADO"))))</f>
        <v>EM DIAS</v>
      </c>
      <c r="L208" s="9" t="n">
        <v>46162</v>
      </c>
      <c r="M208" s="6" t="n">
        <f aca="true">TODAY()-L208</f>
        <v>9</v>
      </c>
      <c r="N208" s="1" t="str">
        <f aca="false">IF(M208&lt;8,"VERIFICADO",IF(M208&lt;15,"VERIFICAR","VERIFICAR URGENTE"))</f>
        <v>VERIFICAR</v>
      </c>
    </row>
    <row r="209" customFormat="false" ht="15" hidden="false" customHeight="false" outlineLevel="0" collapsed="false">
      <c r="A209" s="6" t="s">
        <v>226</v>
      </c>
      <c r="B209" s="7" t="s">
        <v>15</v>
      </c>
      <c r="C209" s="8" t="n">
        <f aca="false">L209</f>
        <v>46161</v>
      </c>
      <c r="D209" s="9" t="n">
        <v>46056</v>
      </c>
      <c r="E209" s="10" t="n">
        <v>47300</v>
      </c>
      <c r="F209" s="11" t="n">
        <f aca="false">(E209-D209)/7</f>
        <v>177.714285714286</v>
      </c>
      <c r="G209" s="11" t="n">
        <f aca="true">(TODAY()-D209)/7</f>
        <v>16.4285714285714</v>
      </c>
      <c r="H209" s="12" t="n">
        <v>176</v>
      </c>
      <c r="I209" s="12" t="n">
        <v>11</v>
      </c>
      <c r="J209" s="13" t="n">
        <f aca="false">IFERROR(((G209*H209)/F209)-I209,"")</f>
        <v>5.27009646302248</v>
      </c>
      <c r="K209" s="12" t="str">
        <f aca="false">IF(J209&lt;-10,"MUITO ADIANTADO",IF(J209&lt;-6,"ADIANTADO",IF(J209&lt;6,"EM DIAS",IF(J209&lt;12,"ATRASADO","MUITO ATRASADO"))))</f>
        <v>EM DIAS</v>
      </c>
      <c r="L209" s="9" t="n">
        <v>46161</v>
      </c>
      <c r="M209" s="6" t="n">
        <f aca="true">TODAY()-L209</f>
        <v>10</v>
      </c>
      <c r="N209" s="1" t="str">
        <f aca="false">IF(M209&lt;8,"VERIFICADO",IF(M209&lt;15,"VERIFICAR","VERIFICAR URGENTE"))</f>
        <v>VERIFICAR</v>
      </c>
    </row>
    <row r="210" customFormat="false" ht="15" hidden="false" customHeight="false" outlineLevel="0" collapsed="false">
      <c r="A210" s="6" t="s">
        <v>227</v>
      </c>
      <c r="B210" s="7" t="s">
        <v>24</v>
      </c>
      <c r="C210" s="8" t="n">
        <f aca="false">L210</f>
        <v>46158</v>
      </c>
      <c r="D210" s="9" t="n">
        <v>46026</v>
      </c>
      <c r="E210" s="10" t="n">
        <v>46747</v>
      </c>
      <c r="F210" s="11" t="n">
        <f aca="false">(E210-D210)/7</f>
        <v>103</v>
      </c>
      <c r="G210" s="11" t="n">
        <f aca="true">(TODAY()-D210)/7</f>
        <v>20.7142857142857</v>
      </c>
      <c r="H210" s="12" t="n">
        <v>80</v>
      </c>
      <c r="I210" s="12" t="n">
        <v>19</v>
      </c>
      <c r="J210" s="13" t="n">
        <f aca="false">IFERROR(((G210*H210)/F210)-I210,"")</f>
        <v>-2.91123439667129</v>
      </c>
      <c r="K210" s="12" t="str">
        <f aca="false">IF(J210&lt;-10,"MUITO ADIANTADO",IF(J210&lt;-6,"ADIANTADO",IF(J210&lt;6,"EM DIAS",IF(J210&lt;12,"ATRASADO","MUITO ATRASADO"))))</f>
        <v>EM DIAS</v>
      </c>
      <c r="L210" s="9" t="n">
        <v>46158</v>
      </c>
      <c r="M210" s="6" t="n">
        <f aca="true">TODAY()-L210</f>
        <v>13</v>
      </c>
      <c r="N210" s="1" t="str">
        <f aca="false">IF(M210&lt;8,"VERIFICADO",IF(M210&lt;15,"VERIFICAR","VERIFICAR URGENTE"))</f>
        <v>VERIFICAR</v>
      </c>
    </row>
    <row r="211" customFormat="false" ht="15" hidden="false" customHeight="false" outlineLevel="0" collapsed="false">
      <c r="A211" s="6" t="s">
        <v>228</v>
      </c>
      <c r="B211" s="7" t="s">
        <v>17</v>
      </c>
      <c r="C211" s="8" t="n">
        <f aca="false">L211</f>
        <v>46162</v>
      </c>
      <c r="D211" s="9" t="n">
        <v>45739</v>
      </c>
      <c r="E211" s="10" t="n">
        <v>46447</v>
      </c>
      <c r="F211" s="11" t="n">
        <f aca="false">(E211-D211)/7</f>
        <v>101.142857142857</v>
      </c>
      <c r="G211" s="11" t="n">
        <f aca="true">(TODAY()-D211)/7</f>
        <v>61.7142857142857</v>
      </c>
      <c r="H211" s="12" t="n">
        <v>160</v>
      </c>
      <c r="I211" s="12" t="n">
        <v>102</v>
      </c>
      <c r="J211" s="13" t="n">
        <f aca="false">IFERROR(((G211*H211)/F211)-I211,"")</f>
        <v>-4.37288135593207</v>
      </c>
      <c r="K211" s="12" t="str">
        <f aca="false">IF(J211&lt;-10,"MUITO ADIANTADO",IF(J211&lt;-6,"ADIANTADO",IF(J211&lt;6,"EM DIAS",IF(J211&lt;12,"ATRASADO","MUITO ATRASADO"))))</f>
        <v>EM DIAS</v>
      </c>
      <c r="L211" s="9" t="n">
        <v>46162</v>
      </c>
      <c r="M211" s="6" t="n">
        <f aca="true">TODAY()-L211</f>
        <v>9</v>
      </c>
      <c r="N211" s="1" t="str">
        <f aca="false">IF(M211&lt;8,"VERIFICADO",IF(M211&lt;15,"VERIFICAR","VERIFICAR URGENTE"))</f>
        <v>VERIFICAR</v>
      </c>
    </row>
    <row r="212" customFormat="false" ht="15" hidden="false" customHeight="false" outlineLevel="0" collapsed="false">
      <c r="A212" s="6" t="s">
        <v>229</v>
      </c>
      <c r="B212" s="7" t="s">
        <v>19</v>
      </c>
      <c r="C212" s="8" t="n">
        <f aca="false">L212</f>
        <v>46158</v>
      </c>
      <c r="D212" s="9" t="n">
        <v>45878</v>
      </c>
      <c r="E212" s="10" t="n">
        <v>46583</v>
      </c>
      <c r="F212" s="11" t="n">
        <f aca="false">(E212-D212)/7</f>
        <v>100.714285714286</v>
      </c>
      <c r="G212" s="11" t="n">
        <f aca="true">(TODAY()-D212)/7</f>
        <v>41.8571428571429</v>
      </c>
      <c r="H212" s="12" t="n">
        <v>112</v>
      </c>
      <c r="I212" s="12" t="n">
        <v>41</v>
      </c>
      <c r="J212" s="13" t="n">
        <f aca="false">IFERROR(((G212*H212)/F212)-I212,"")</f>
        <v>5.54751773049632</v>
      </c>
      <c r="K212" s="12" t="str">
        <f aca="false">IF(J212&lt;-10,"MUITO ADIANTADO",IF(J212&lt;-6,"ADIANTADO",IF(J212&lt;6,"EM DIAS",IF(J212&lt;12,"ATRASADO","MUITO ATRASADO"))))</f>
        <v>EM DIAS</v>
      </c>
      <c r="L212" s="9" t="n">
        <v>46158</v>
      </c>
      <c r="M212" s="6" t="n">
        <f aca="true">TODAY()-L212</f>
        <v>13</v>
      </c>
      <c r="N212" s="1" t="str">
        <f aca="false">IF(M212&lt;8,"VERIFICADO",IF(M212&lt;15,"VERIFICAR","VERIFICAR URGENTE"))</f>
        <v>VERIFICAR</v>
      </c>
    </row>
    <row r="213" customFormat="false" ht="15" hidden="false" customHeight="false" outlineLevel="0" collapsed="false">
      <c r="A213" s="6" t="s">
        <v>230</v>
      </c>
      <c r="B213" s="7" t="s">
        <v>19</v>
      </c>
      <c r="C213" s="8" t="n">
        <f aca="false">L213</f>
        <v>46158</v>
      </c>
      <c r="D213" s="9" t="n">
        <v>45843</v>
      </c>
      <c r="E213" s="10" t="n">
        <v>46456</v>
      </c>
      <c r="F213" s="11" t="n">
        <f aca="false">(E213-D213)/7</f>
        <v>87.5714285714286</v>
      </c>
      <c r="G213" s="11" t="n">
        <f aca="true">(TODAY()-D213)/7</f>
        <v>46.8571428571429</v>
      </c>
      <c r="H213" s="12" t="n">
        <v>80</v>
      </c>
      <c r="I213" s="12" t="n">
        <v>37</v>
      </c>
      <c r="J213" s="13" t="n">
        <f aca="false">IFERROR(((G213*H213)/F213)-I213,"")</f>
        <v>5.8058727569331</v>
      </c>
      <c r="K213" s="12" t="str">
        <f aca="false">IF(J213&lt;-10,"MUITO ADIANTADO",IF(J213&lt;-6,"ADIANTADO",IF(J213&lt;6,"EM DIAS",IF(J213&lt;12,"ATRASADO","MUITO ATRASADO"))))</f>
        <v>EM DIAS</v>
      </c>
      <c r="L213" s="9" t="n">
        <v>46158</v>
      </c>
      <c r="M213" s="6" t="n">
        <f aca="true">TODAY()-L213</f>
        <v>13</v>
      </c>
      <c r="N213" s="1" t="str">
        <f aca="false">IF(M213&lt;8,"VERIFICADO",IF(M213&lt;15,"VERIFICAR","VERIFICAR URGENTE"))</f>
        <v>VERIFICAR</v>
      </c>
    </row>
    <row r="214" customFormat="false" ht="15" hidden="false" customHeight="false" outlineLevel="0" collapsed="false">
      <c r="A214" s="6" t="s">
        <v>231</v>
      </c>
      <c r="B214" s="7" t="s">
        <v>22</v>
      </c>
      <c r="C214" s="8" t="n">
        <f aca="false">L214</f>
        <v>46161</v>
      </c>
      <c r="D214" s="9" t="n">
        <v>45983</v>
      </c>
      <c r="E214" s="10" t="n">
        <v>46680</v>
      </c>
      <c r="F214" s="11" t="n">
        <f aca="false">(E214-D214)/7</f>
        <v>99.5714285714286</v>
      </c>
      <c r="G214" s="11" t="n">
        <f aca="true">(TODAY()-D214)/7</f>
        <v>26.8571428571429</v>
      </c>
      <c r="H214" s="12" t="n">
        <v>112</v>
      </c>
      <c r="I214" s="12" t="n">
        <v>20</v>
      </c>
      <c r="J214" s="13" t="n">
        <f aca="false">IFERROR(((G214*H214)/F214)-I214,"")</f>
        <v>10.2094691535151</v>
      </c>
      <c r="K214" s="12" t="str">
        <f aca="false">IF(J214&lt;-10,"MUITO ADIANTADO",IF(J214&lt;-6,"ADIANTADO",IF(J214&lt;6,"EM DIAS",IF(J214&lt;12,"ATRASADO","MUITO ATRASADO"))))</f>
        <v>ATRASADO</v>
      </c>
      <c r="L214" s="9" t="n">
        <v>46161</v>
      </c>
      <c r="M214" s="6" t="n">
        <f aca="true">TODAY()-L214</f>
        <v>10</v>
      </c>
      <c r="N214" s="1" t="str">
        <f aca="false">IF(M214&lt;8,"VERIFICADO",IF(M214&lt;15,"VERIFICAR","VERIFICAR URGENTE"))</f>
        <v>VERIFICAR</v>
      </c>
    </row>
    <row r="215" customFormat="false" ht="15" hidden="false" customHeight="false" outlineLevel="0" collapsed="false">
      <c r="A215" s="6" t="s">
        <v>232</v>
      </c>
      <c r="B215" s="7" t="s">
        <v>22</v>
      </c>
      <c r="C215" s="8" t="n">
        <f aca="false">L215</f>
        <v>46162</v>
      </c>
      <c r="D215" s="9" t="n">
        <v>45861</v>
      </c>
      <c r="E215" s="10" t="n">
        <v>46399</v>
      </c>
      <c r="F215" s="11" t="n">
        <f aca="false">(E215-D215)/7</f>
        <v>76.8571428571429</v>
      </c>
      <c r="G215" s="11" t="n">
        <f aca="true">(TODAY()-D215)/7</f>
        <v>44.2857142857143</v>
      </c>
      <c r="H215" s="12" t="n">
        <v>97</v>
      </c>
      <c r="I215" s="12" t="n">
        <v>39</v>
      </c>
      <c r="J215" s="13" t="n">
        <f aca="false">IFERROR(((G215*H215)/F215)-I215,"")</f>
        <v>16.8921933085501</v>
      </c>
      <c r="K215" s="12" t="str">
        <f aca="false">IF(J215&lt;-10,"MUITO ADIANTADO",IF(J215&lt;-6,"ADIANTADO",IF(J215&lt;6,"EM DIAS",IF(J215&lt;12,"ATRASADO","MUITO ATRASADO"))))</f>
        <v>MUITO ATRASADO</v>
      </c>
      <c r="L215" s="9" t="n">
        <v>46162</v>
      </c>
      <c r="M215" s="6" t="n">
        <f aca="true">TODAY()-L215</f>
        <v>9</v>
      </c>
      <c r="N215" s="1" t="str">
        <f aca="false">IF(M215&lt;8,"VERIFICADO",IF(M215&lt;15,"VERIFICAR","VERIFICAR URGENTE"))</f>
        <v>VERIFICAR</v>
      </c>
    </row>
    <row r="216" customFormat="false" ht="15" hidden="false" customHeight="false" outlineLevel="0" collapsed="false">
      <c r="A216" s="6" t="s">
        <v>233</v>
      </c>
      <c r="B216" s="7" t="s">
        <v>65</v>
      </c>
      <c r="C216" s="8" t="n">
        <f aca="false">L216</f>
        <v>46158</v>
      </c>
      <c r="D216" s="9" t="n">
        <v>46147</v>
      </c>
      <c r="E216" s="10" t="n">
        <v>46320</v>
      </c>
      <c r="F216" s="11" t="n">
        <f aca="false">(E216-D216)/7</f>
        <v>24.7142857142857</v>
      </c>
      <c r="G216" s="11" t="n">
        <f aca="true">(TODAY()-D216)/7</f>
        <v>3.42857142857143</v>
      </c>
      <c r="H216" s="12" t="n">
        <v>100</v>
      </c>
      <c r="I216" s="12" t="n">
        <v>0</v>
      </c>
      <c r="J216" s="13" t="n">
        <f aca="false">IFERROR(((G216*H216)/F216)-I216,"")</f>
        <v>13.8728323699422</v>
      </c>
      <c r="K216" s="12" t="str">
        <f aca="false">IF(J216&lt;-10,"MUITO ADIANTADO",IF(J216&lt;-6,"ADIANTADO",IF(J216&lt;6,"EM DIAS",IF(J216&lt;12,"ATRASADO","MUITO ATRASADO"))))</f>
        <v>MUITO ATRASADO</v>
      </c>
      <c r="L216" s="9" t="n">
        <v>46158</v>
      </c>
      <c r="M216" s="6" t="n">
        <f aca="true">TODAY()-L216</f>
        <v>13</v>
      </c>
      <c r="N216" s="1" t="str">
        <f aca="false">IF(M216&lt;8,"VERIFICADO",IF(M216&lt;15,"VERIFICAR","VERIFICAR URGENTE"))</f>
        <v>VERIFICAR</v>
      </c>
    </row>
    <row r="217" customFormat="false" ht="15" hidden="false" customHeight="false" outlineLevel="0" collapsed="false">
      <c r="A217" s="6" t="s">
        <v>234</v>
      </c>
      <c r="B217" s="7" t="s">
        <v>22</v>
      </c>
      <c r="C217" s="8" t="n">
        <f aca="false">L217</f>
        <v>46164</v>
      </c>
      <c r="D217" s="9" t="n">
        <v>45723</v>
      </c>
      <c r="E217" s="10" t="n">
        <v>46295</v>
      </c>
      <c r="F217" s="11" t="n">
        <f aca="false">(E217-D217)/7</f>
        <v>81.7142857142857</v>
      </c>
      <c r="G217" s="11" t="n">
        <f aca="true">(TODAY()-D217)/7</f>
        <v>64</v>
      </c>
      <c r="H217" s="12" t="n">
        <v>92</v>
      </c>
      <c r="I217" s="12" t="n">
        <v>64</v>
      </c>
      <c r="J217" s="13" t="n">
        <f aca="false">IFERROR(((G217*H217)/F217)-I217,"")</f>
        <v>8.05594405594407</v>
      </c>
      <c r="K217" s="12" t="str">
        <f aca="false">IF(J217&lt;-10,"MUITO ADIANTADO",IF(J217&lt;-6,"ADIANTADO",IF(J217&lt;6,"EM DIAS",IF(J217&lt;12,"ATRASADO","MUITO ATRASADO"))))</f>
        <v>ATRASADO</v>
      </c>
      <c r="L217" s="9" t="n">
        <v>46164</v>
      </c>
      <c r="M217" s="6" t="n">
        <f aca="true">TODAY()-L217</f>
        <v>7</v>
      </c>
      <c r="N217" s="1" t="str">
        <f aca="false">IF(M217&lt;8,"VERIFICADO",IF(M217&lt;15,"VERIFICAR","VERIFICAR URGENTE"))</f>
        <v>VERIFICADO</v>
      </c>
    </row>
    <row r="218" customFormat="false" ht="15" hidden="false" customHeight="false" outlineLevel="0" collapsed="false">
      <c r="A218" s="6" t="s">
        <v>235</v>
      </c>
      <c r="B218" s="7" t="s">
        <v>15</v>
      </c>
      <c r="C218" s="8" t="n">
        <f aca="false">L218</f>
        <v>46161</v>
      </c>
      <c r="D218" s="9" t="n">
        <v>45902</v>
      </c>
      <c r="E218" s="10" t="n">
        <v>46822</v>
      </c>
      <c r="F218" s="11" t="n">
        <f aca="false">(E218-D218)/7</f>
        <v>131.428571428571</v>
      </c>
      <c r="G218" s="11" t="n">
        <f aca="true">(TODAY()-D218)/7</f>
        <v>38.4285714285714</v>
      </c>
      <c r="H218" s="12" t="n">
        <v>128</v>
      </c>
      <c r="I218" s="12" t="n">
        <v>33</v>
      </c>
      <c r="J218" s="13" t="n">
        <f aca="false">IFERROR(((G218*H218)/F218)-I218,"")</f>
        <v>4.42608695652186</v>
      </c>
      <c r="K218" s="12" t="str">
        <f aca="false">IF(J218&lt;-10,"MUITO ADIANTADO",IF(J218&lt;-6,"ADIANTADO",IF(J218&lt;6,"EM DIAS",IF(J218&lt;12,"ATRASADO","MUITO ATRASADO"))))</f>
        <v>EM DIAS</v>
      </c>
      <c r="L218" s="9" t="n">
        <v>46161</v>
      </c>
      <c r="M218" s="6" t="n">
        <f aca="true">TODAY()-L218</f>
        <v>10</v>
      </c>
      <c r="N218" s="1" t="str">
        <f aca="false">IF(M218&lt;8,"VERIFICADO",IF(M218&lt;15,"VERIFICAR","VERIFICAR URGENTE"))</f>
        <v>VERIFICAR</v>
      </c>
    </row>
    <row r="219" customFormat="false" ht="15" hidden="false" customHeight="false" outlineLevel="0" collapsed="false">
      <c r="A219" s="6" t="s">
        <v>236</v>
      </c>
      <c r="B219" s="7" t="s">
        <v>17</v>
      </c>
      <c r="C219" s="8" t="n">
        <f aca="false">L219</f>
        <v>46161</v>
      </c>
      <c r="D219" s="9" t="n">
        <v>46098</v>
      </c>
      <c r="E219" s="10" t="n">
        <v>46231</v>
      </c>
      <c r="F219" s="11" t="n">
        <f aca="false">(E219-D219)/7</f>
        <v>19</v>
      </c>
      <c r="G219" s="11" t="n">
        <f aca="true">(TODAY()-D219)/7</f>
        <v>10.4285714285714</v>
      </c>
      <c r="H219" s="12" t="n">
        <v>16</v>
      </c>
      <c r="I219" s="12" t="n">
        <v>16</v>
      </c>
      <c r="J219" s="13" t="n">
        <f aca="false">IFERROR(((G219*H219)/F219)-I219,"")</f>
        <v>-7.21804511278195</v>
      </c>
      <c r="K219" s="12" t="str">
        <f aca="false">IF(J219&lt;-10,"MUITO ADIANTADO",IF(J219&lt;-6,"ADIANTADO",IF(J219&lt;6,"EM DIAS",IF(J219&lt;12,"ATRASADO","MUITO ATRASADO"))))</f>
        <v>ADIANTADO</v>
      </c>
      <c r="L219" s="9" t="n">
        <v>46161</v>
      </c>
      <c r="M219" s="6" t="n">
        <f aca="true">TODAY()-L219</f>
        <v>10</v>
      </c>
      <c r="N219" s="1" t="str">
        <f aca="false">IF(M219&lt;8,"VERIFICADO",IF(M219&lt;15,"VERIFICAR","VERIFICAR URGENTE"))</f>
        <v>VERIFICAR</v>
      </c>
    </row>
    <row r="220" customFormat="false" ht="15" hidden="false" customHeight="false" outlineLevel="0" collapsed="false">
      <c r="A220" s="6" t="s">
        <v>237</v>
      </c>
      <c r="B220" s="7" t="s">
        <v>22</v>
      </c>
      <c r="C220" s="8" t="n">
        <f aca="false">L220</f>
        <v>46165</v>
      </c>
      <c r="D220" s="9" t="n">
        <v>45972</v>
      </c>
      <c r="E220" s="10" t="n">
        <v>46522</v>
      </c>
      <c r="F220" s="11" t="n">
        <f aca="false">(E220-D220)/7</f>
        <v>78.5714285714286</v>
      </c>
      <c r="G220" s="11" t="n">
        <f aca="true">(TODAY()-D220)/7</f>
        <v>28.4285714285714</v>
      </c>
      <c r="H220" s="12" t="n">
        <v>80</v>
      </c>
      <c r="I220" s="12" t="n">
        <v>34</v>
      </c>
      <c r="J220" s="13" t="n">
        <f aca="false">IFERROR(((G220*H220)/F220)-I220,"")</f>
        <v>-5.05454545454547</v>
      </c>
      <c r="K220" s="12" t="str">
        <f aca="false">IF(J220&lt;-10,"MUITO ADIANTADO",IF(J220&lt;-6,"ADIANTADO",IF(J220&lt;6,"EM DIAS",IF(J220&lt;12,"ATRASADO","MUITO ATRASADO"))))</f>
        <v>EM DIAS</v>
      </c>
      <c r="L220" s="9" t="n">
        <v>46165</v>
      </c>
      <c r="M220" s="6" t="n">
        <f aca="true">TODAY()-L220</f>
        <v>6</v>
      </c>
      <c r="N220" s="1" t="str">
        <f aca="false">IF(M220&lt;8,"VERIFICADO",IF(M220&lt;15,"VERIFICAR","VERIFICAR URGENTE"))</f>
        <v>VERIFICADO</v>
      </c>
    </row>
    <row r="221" customFormat="false" ht="15" hidden="false" customHeight="false" outlineLevel="0" collapsed="false">
      <c r="A221" s="6" t="s">
        <v>238</v>
      </c>
      <c r="B221" s="7" t="s">
        <v>19</v>
      </c>
      <c r="C221" s="8" t="n">
        <f aca="false">L221</f>
        <v>46158</v>
      </c>
      <c r="D221" s="9" t="n">
        <v>45944</v>
      </c>
      <c r="E221" s="10" t="n">
        <v>46507</v>
      </c>
      <c r="F221" s="11" t="n">
        <f aca="false">(E221-D221)/7</f>
        <v>80.4285714285714</v>
      </c>
      <c r="G221" s="11" t="n">
        <f aca="true">(TODAY()-D221)/7</f>
        <v>32.4285714285714</v>
      </c>
      <c r="H221" s="12" t="n">
        <v>80</v>
      </c>
      <c r="I221" s="12" t="n">
        <v>24</v>
      </c>
      <c r="J221" s="13" t="n">
        <f aca="false">IFERROR(((G221*H221)/F221)-I221,"")</f>
        <v>8.25577264653643</v>
      </c>
      <c r="K221" s="12" t="str">
        <f aca="false">IF(J221&lt;-10,"MUITO ADIANTADO",IF(J221&lt;-6,"ADIANTADO",IF(J221&lt;6,"EM DIAS",IF(J221&lt;12,"ATRASADO","MUITO ATRASADO"))))</f>
        <v>ATRASADO</v>
      </c>
      <c r="L221" s="9" t="n">
        <v>46158</v>
      </c>
      <c r="M221" s="6" t="n">
        <f aca="true">TODAY()-L221</f>
        <v>13</v>
      </c>
      <c r="N221" s="1" t="str">
        <f aca="false">IF(M221&lt;8,"VERIFICADO",IF(M221&lt;15,"VERIFICAR","VERIFICAR URGENTE"))</f>
        <v>VERIFICAR</v>
      </c>
    </row>
    <row r="222" customFormat="false" ht="15" hidden="false" customHeight="false" outlineLevel="0" collapsed="false">
      <c r="A222" s="6" t="s">
        <v>239</v>
      </c>
      <c r="B222" s="7" t="s">
        <v>24</v>
      </c>
      <c r="C222" s="8" t="n">
        <f aca="false">L222</f>
        <v>46158</v>
      </c>
      <c r="D222" s="9" t="n">
        <v>45626</v>
      </c>
      <c r="E222" s="10" t="n">
        <v>46235</v>
      </c>
      <c r="F222" s="11" t="n">
        <f aca="false">(E222-D222)/7</f>
        <v>87</v>
      </c>
      <c r="G222" s="11" t="n">
        <f aca="true">(TODAY()-D222)/7</f>
        <v>77.8571428571429</v>
      </c>
      <c r="H222" s="12" t="n">
        <v>112</v>
      </c>
      <c r="I222" s="12" t="n">
        <v>56</v>
      </c>
      <c r="J222" s="13" t="n">
        <f aca="false">IFERROR(((G222*H222)/F222)-I222,"")</f>
        <v>44.2298850574713</v>
      </c>
      <c r="K222" s="12" t="str">
        <f aca="false">IF(J222&lt;-10,"MUITO ADIANTADO",IF(J222&lt;-6,"ADIANTADO",IF(J222&lt;6,"EM DIAS",IF(J222&lt;12,"ATRASADO","MUITO ATRASADO"))))</f>
        <v>MUITO ATRASADO</v>
      </c>
      <c r="L222" s="9" t="n">
        <v>46158</v>
      </c>
      <c r="M222" s="6" t="n">
        <f aca="true">TODAY()-L222</f>
        <v>13</v>
      </c>
      <c r="N222" s="1" t="str">
        <f aca="false">IF(M222&lt;8,"VERIFICADO",IF(M222&lt;15,"VERIFICAR","VERIFICAR URGENTE"))</f>
        <v>VERIFICAR</v>
      </c>
    </row>
    <row r="223" customFormat="false" ht="15" hidden="false" customHeight="false" outlineLevel="0" collapsed="false">
      <c r="A223" s="6" t="s">
        <v>240</v>
      </c>
      <c r="B223" s="7" t="s">
        <v>65</v>
      </c>
      <c r="C223" s="8" t="n">
        <f aca="false">L223</f>
        <v>46172</v>
      </c>
      <c r="D223" s="9" t="n">
        <v>45874</v>
      </c>
      <c r="E223" s="10" t="n">
        <v>46249</v>
      </c>
      <c r="F223" s="11" t="n">
        <f aca="false">(E223-D223)/7</f>
        <v>53.5714285714286</v>
      </c>
      <c r="G223" s="11" t="n">
        <f aca="true">(TODAY()-D223)/7</f>
        <v>42.4285714285714</v>
      </c>
      <c r="H223" s="12" t="n">
        <v>100</v>
      </c>
      <c r="I223" s="12" t="n">
        <v>50</v>
      </c>
      <c r="J223" s="13" t="n">
        <f aca="false">IFERROR(((G223*H223)/F223)-I223,"")</f>
        <v>29.2</v>
      </c>
      <c r="K223" s="12" t="str">
        <f aca="false">IF(J223&lt;-10,"MUITO ADIANTADO",IF(J223&lt;-6,"ADIANTADO",IF(J223&lt;6,"EM DIAS",IF(J223&lt;12,"ATRASADO","MUITO ATRASADO"))))</f>
        <v>MUITO ATRASADO</v>
      </c>
      <c r="L223" s="9" t="n">
        <v>46172</v>
      </c>
      <c r="M223" s="6" t="n">
        <f aca="true">TODAY()-L223</f>
        <v>-1</v>
      </c>
      <c r="N223" s="1" t="str">
        <f aca="false">IF(M223&lt;8,"VERIFICADO",IF(M223&lt;15,"VERIFICAR","VERIFICAR URGENTE"))</f>
        <v>VERIFICADO</v>
      </c>
    </row>
    <row r="224" customFormat="false" ht="15" hidden="false" customHeight="false" outlineLevel="0" collapsed="false">
      <c r="A224" s="16" t="s">
        <v>241</v>
      </c>
      <c r="B224" s="7" t="s">
        <v>19</v>
      </c>
      <c r="C224" s="8" t="n">
        <f aca="false">L224</f>
        <v>46158</v>
      </c>
      <c r="D224" s="9" t="n">
        <v>45808</v>
      </c>
      <c r="E224" s="10" t="n">
        <v>46978</v>
      </c>
      <c r="F224" s="11" t="n">
        <f aca="false">(E224-D224)/7</f>
        <v>167.142857142857</v>
      </c>
      <c r="G224" s="11" t="n">
        <f aca="true">(TODAY()-D224)/7</f>
        <v>51.8571428571429</v>
      </c>
      <c r="H224" s="12" t="n">
        <v>201</v>
      </c>
      <c r="I224" s="12" t="n">
        <v>51</v>
      </c>
      <c r="J224" s="13" t="n">
        <f aca="false">IFERROR(((G224*H224)/F224)-I224,"")</f>
        <v>11.3615384615385</v>
      </c>
      <c r="K224" s="12" t="str">
        <f aca="false">IF(J224&lt;-10,"MUITO ADIANTADO",IF(J224&lt;-6,"ADIANTADO",IF(J224&lt;6,"EM DIAS",IF(J224&lt;12,"ATRASADO","MUITO ATRASADO"))))</f>
        <v>ATRASADO</v>
      </c>
      <c r="L224" s="9" t="n">
        <v>46158</v>
      </c>
      <c r="M224" s="6" t="n">
        <f aca="true">TODAY()-L224</f>
        <v>13</v>
      </c>
      <c r="N224" s="1" t="str">
        <f aca="false">IF(M224&lt;8,"VERIFICADO",IF(M224&lt;15,"VERIFICAR","VERIFICAR URGENTE"))</f>
        <v>VERIFICAR</v>
      </c>
    </row>
    <row r="225" customFormat="false" ht="15" hidden="false" customHeight="false" outlineLevel="0" collapsed="false">
      <c r="A225" s="6" t="s">
        <v>242</v>
      </c>
      <c r="B225" s="7" t="s">
        <v>24</v>
      </c>
      <c r="C225" s="8" t="n">
        <f aca="false">L225</f>
        <v>46161</v>
      </c>
      <c r="D225" s="9" t="n">
        <v>46042</v>
      </c>
      <c r="E225" s="10" t="n">
        <v>46736</v>
      </c>
      <c r="F225" s="11" t="n">
        <f aca="false">(E225-D225)/7</f>
        <v>99.1428571428571</v>
      </c>
      <c r="G225" s="11" t="n">
        <f aca="true">(TODAY()-D225)/7</f>
        <v>18.4285714285714</v>
      </c>
      <c r="H225" s="12" t="n">
        <v>96</v>
      </c>
      <c r="I225" s="12" t="n">
        <v>4</v>
      </c>
      <c r="J225" s="13" t="n">
        <f aca="false">IFERROR(((G225*H225)/F225)-I225,"")</f>
        <v>13.8443804034582</v>
      </c>
      <c r="K225" s="12" t="str">
        <f aca="false">IF(J225&lt;-10,"MUITO ADIANTADO",IF(J225&lt;-6,"ADIANTADO",IF(J225&lt;6,"EM DIAS",IF(J225&lt;12,"ATRASADO","MUITO ATRASADO"))))</f>
        <v>MUITO ATRASADO</v>
      </c>
      <c r="L225" s="9" t="n">
        <v>46161</v>
      </c>
      <c r="M225" s="6" t="n">
        <f aca="true">TODAY()-L225</f>
        <v>10</v>
      </c>
      <c r="N225" s="1" t="str">
        <f aca="false">IF(M225&lt;8,"VERIFICADO",IF(M225&lt;15,"VERIFICAR","VERIFICAR URGENTE"))</f>
        <v>VERIFICAR</v>
      </c>
    </row>
    <row r="226" customFormat="false" ht="15" hidden="false" customHeight="false" outlineLevel="0" collapsed="false">
      <c r="A226" s="6" t="s">
        <v>243</v>
      </c>
      <c r="B226" s="7" t="s">
        <v>22</v>
      </c>
      <c r="C226" s="8" t="n">
        <f aca="false">L226</f>
        <v>46161</v>
      </c>
      <c r="D226" s="9" t="n">
        <v>45485</v>
      </c>
      <c r="E226" s="10" t="n">
        <v>46172</v>
      </c>
      <c r="F226" s="11" t="n">
        <f aca="false">(E226-D226)/7</f>
        <v>98.1428571428571</v>
      </c>
      <c r="G226" s="11" t="n">
        <f aca="true">(TODAY()-D226)/7</f>
        <v>98</v>
      </c>
      <c r="H226" s="12" t="n">
        <v>112</v>
      </c>
      <c r="I226" s="12" t="n">
        <v>110</v>
      </c>
      <c r="J226" s="13" t="n">
        <f aca="false">IFERROR(((G226*H226)/F226)-I226,"")</f>
        <v>1.83697234352262</v>
      </c>
      <c r="K226" s="12" t="str">
        <f aca="false">IF(J226&lt;-10,"MUITO ADIANTADO",IF(J226&lt;-6,"ADIANTADO",IF(J226&lt;6,"EM DIAS",IF(J226&lt;12,"ATRASADO","MUITO ATRASADO"))))</f>
        <v>EM DIAS</v>
      </c>
      <c r="L226" s="9" t="n">
        <v>46161</v>
      </c>
      <c r="M226" s="6" t="n">
        <f aca="true">TODAY()-L226</f>
        <v>10</v>
      </c>
      <c r="N226" s="1" t="str">
        <f aca="false">IF(M226&lt;8,"VERIFICADO",IF(M226&lt;15,"VERIFICAR","VERIFICAR URGENTE"))</f>
        <v>VERIFICAR</v>
      </c>
    </row>
    <row r="227" customFormat="false" ht="15" hidden="false" customHeight="false" outlineLevel="0" collapsed="false">
      <c r="A227" s="6" t="s">
        <v>244</v>
      </c>
      <c r="B227" s="7" t="s">
        <v>24</v>
      </c>
      <c r="C227" s="8" t="n">
        <f aca="false">L227</f>
        <v>46161</v>
      </c>
      <c r="D227" s="9" t="n">
        <v>45916</v>
      </c>
      <c r="E227" s="10" t="n">
        <v>46507</v>
      </c>
      <c r="F227" s="11" t="n">
        <f aca="false">(E227-D227)/7</f>
        <v>84.4285714285714</v>
      </c>
      <c r="G227" s="11" t="n">
        <f aca="true">(TODAY()-D227)/7</f>
        <v>36.4285714285714</v>
      </c>
      <c r="H227" s="12" t="n">
        <v>80</v>
      </c>
      <c r="I227" s="12" t="n">
        <v>26</v>
      </c>
      <c r="J227" s="13" t="n">
        <f aca="false">IFERROR(((G227*H227)/F227)-I227,"")</f>
        <v>8.51776649746194</v>
      </c>
      <c r="K227" s="12" t="str">
        <f aca="false">IF(J227&lt;-10,"MUITO ADIANTADO",IF(J227&lt;-6,"ADIANTADO",IF(J227&lt;6,"EM DIAS",IF(J227&lt;12,"ATRASADO","MUITO ATRASADO"))))</f>
        <v>ATRASADO</v>
      </c>
      <c r="L227" s="9" t="n">
        <v>46161</v>
      </c>
      <c r="M227" s="6" t="n">
        <f aca="true">TODAY()-L227</f>
        <v>10</v>
      </c>
      <c r="N227" s="1" t="str">
        <f aca="false">IF(M227&lt;8,"VERIFICADO",IF(M227&lt;15,"VERIFICAR","VERIFICAR URGENTE"))</f>
        <v>VERIFICAR</v>
      </c>
    </row>
    <row r="228" customFormat="false" ht="15" hidden="false" customHeight="false" outlineLevel="0" collapsed="false">
      <c r="A228" s="6" t="s">
        <v>245</v>
      </c>
      <c r="B228" s="7" t="s">
        <v>19</v>
      </c>
      <c r="C228" s="8" t="n">
        <f aca="false">L228</f>
        <v>46158</v>
      </c>
      <c r="D228" s="9" t="n">
        <v>45734</v>
      </c>
      <c r="E228" s="10" t="n">
        <v>47128</v>
      </c>
      <c r="F228" s="11" t="n">
        <f aca="false">(E228-D228)/7</f>
        <v>199.142857142857</v>
      </c>
      <c r="G228" s="11" t="n">
        <f aca="true">(TODAY()-D228)/7</f>
        <v>62.4285714285714</v>
      </c>
      <c r="H228" s="12" t="n">
        <v>176</v>
      </c>
      <c r="I228" s="12" t="n">
        <v>45</v>
      </c>
      <c r="J228" s="13" t="n">
        <f aca="false">IFERROR(((G228*H228)/F228)-I228,"")</f>
        <v>10.1736011477762</v>
      </c>
      <c r="K228" s="12" t="str">
        <f aca="false">IF(J228&lt;-10,"MUITO ADIANTADO",IF(J228&lt;-6,"ADIANTADO",IF(J228&lt;6,"EM DIAS",IF(J228&lt;12,"ATRASADO","MUITO ATRASADO"))))</f>
        <v>ATRASADO</v>
      </c>
      <c r="L228" s="9" t="n">
        <v>46158</v>
      </c>
      <c r="M228" s="6" t="n">
        <f aca="true">TODAY()-L228</f>
        <v>13</v>
      </c>
      <c r="N228" s="1" t="str">
        <f aca="false">IF(M228&lt;8,"VERIFICADO",IF(M228&lt;15,"VERIFICAR","VERIFICAR URGENTE"))</f>
        <v>VERIFICAR</v>
      </c>
    </row>
    <row r="229" customFormat="false" ht="15" hidden="false" customHeight="false" outlineLevel="0" collapsed="false">
      <c r="A229" s="6" t="s">
        <v>246</v>
      </c>
      <c r="B229" s="7" t="s">
        <v>15</v>
      </c>
      <c r="C229" s="8" t="n">
        <f aca="false">L229</f>
        <v>46161</v>
      </c>
      <c r="D229" s="9" t="n">
        <v>45782</v>
      </c>
      <c r="E229" s="10" t="n">
        <v>46295</v>
      </c>
      <c r="F229" s="11" t="n">
        <f aca="false">(E229-D229)/7</f>
        <v>73.2857142857143</v>
      </c>
      <c r="G229" s="11" t="n">
        <f aca="true">(TODAY()-D229)/7</f>
        <v>55.5714285714286</v>
      </c>
      <c r="H229" s="12" t="n">
        <v>96</v>
      </c>
      <c r="I229" s="12" t="n">
        <v>66</v>
      </c>
      <c r="J229" s="13" t="n">
        <f aca="false">IFERROR(((G229*H229)/F229)-I229,"")</f>
        <v>6.79532163742688</v>
      </c>
      <c r="K229" s="12" t="str">
        <f aca="false">IF(J229&lt;-10,"MUITO ADIANTADO",IF(J229&lt;-6,"ADIANTADO",IF(J229&lt;6,"EM DIAS",IF(J229&lt;12,"ATRASADO","MUITO ATRASADO"))))</f>
        <v>ATRASADO</v>
      </c>
      <c r="L229" s="9" t="n">
        <v>46161</v>
      </c>
      <c r="M229" s="6" t="n">
        <f aca="true">TODAY()-L229</f>
        <v>10</v>
      </c>
      <c r="N229" s="1" t="str">
        <f aca="false">IF(M229&lt;8,"VERIFICADO",IF(M229&lt;15,"VERIFICAR","VERIFICAR URGENTE"))</f>
        <v>VERIFICAR</v>
      </c>
    </row>
    <row r="230" customFormat="false" ht="15" hidden="false" customHeight="false" outlineLevel="0" collapsed="false">
      <c r="A230" s="6" t="s">
        <v>247</v>
      </c>
      <c r="B230" s="7" t="s">
        <v>24</v>
      </c>
      <c r="C230" s="8" t="n">
        <f aca="false">L230</f>
        <v>46164</v>
      </c>
      <c r="D230" s="9" t="n">
        <v>45884</v>
      </c>
      <c r="E230" s="10" t="n">
        <v>46324</v>
      </c>
      <c r="F230" s="11" t="n">
        <f aca="false">(E230-D230)/7</f>
        <v>62.8571428571429</v>
      </c>
      <c r="G230" s="11" t="n">
        <f aca="true">(TODAY()-D230)/7</f>
        <v>41</v>
      </c>
      <c r="H230" s="12" t="n">
        <v>105</v>
      </c>
      <c r="I230" s="12" t="n">
        <v>60</v>
      </c>
      <c r="J230" s="13" t="n">
        <f aca="false">IFERROR(((G230*H230)/F230)-I230,"")</f>
        <v>8.48863636363632</v>
      </c>
      <c r="K230" s="12" t="str">
        <f aca="false">IF(J230&lt;-10,"MUITO ADIANTADO",IF(J230&lt;-6,"ADIANTADO",IF(J230&lt;6,"EM DIAS",IF(J230&lt;12,"ATRASADO","MUITO ATRASADO"))))</f>
        <v>ATRASADO</v>
      </c>
      <c r="L230" s="9" t="n">
        <v>46164</v>
      </c>
      <c r="M230" s="6" t="n">
        <f aca="true">TODAY()-L230</f>
        <v>7</v>
      </c>
      <c r="N230" s="1" t="str">
        <f aca="false">IF(M230&lt;8,"VERIFICADO",IF(M230&lt;15,"VERIFICAR","VERIFICAR URGENTE"))</f>
        <v>VERIFICADO</v>
      </c>
    </row>
    <row r="231" customFormat="false" ht="15" hidden="false" customHeight="false" outlineLevel="0" collapsed="false">
      <c r="A231" s="6" t="s">
        <v>248</v>
      </c>
      <c r="B231" s="7" t="s">
        <v>15</v>
      </c>
      <c r="C231" s="8" t="n">
        <f aca="false">L231</f>
        <v>46165</v>
      </c>
      <c r="D231" s="9" t="n">
        <v>45965</v>
      </c>
      <c r="E231" s="10" t="n">
        <v>46650</v>
      </c>
      <c r="F231" s="11" t="n">
        <f aca="false">(E231-D231)/7</f>
        <v>97.8571428571429</v>
      </c>
      <c r="G231" s="11" t="n">
        <f aca="true">(TODAY()-D231)/7</f>
        <v>29.4285714285714</v>
      </c>
      <c r="H231" s="12" t="n">
        <v>112</v>
      </c>
      <c r="I231" s="12" t="n">
        <v>34</v>
      </c>
      <c r="J231" s="13" t="n">
        <f aca="false">IFERROR(((G231*H231)/F231)-I231,"")</f>
        <v>-0.318248175182497</v>
      </c>
      <c r="K231" s="12" t="str">
        <f aca="false">IF(J231&lt;-10,"MUITO ADIANTADO",IF(J231&lt;-6,"ADIANTADO",IF(J231&lt;6,"EM DIAS",IF(J231&lt;12,"ATRASADO","MUITO ATRASADO"))))</f>
        <v>EM DIAS</v>
      </c>
      <c r="L231" s="9" t="n">
        <v>46165</v>
      </c>
      <c r="M231" s="6" t="n">
        <f aca="true">TODAY()-L231</f>
        <v>6</v>
      </c>
      <c r="N231" s="1" t="str">
        <f aca="false">IF(M231&lt;8,"VERIFICADO",IF(M231&lt;15,"VERIFICAR","VERIFICAR URGENTE"))</f>
        <v>VERIFICADO</v>
      </c>
    </row>
    <row r="232" customFormat="false" ht="15" hidden="false" customHeight="false" outlineLevel="0" collapsed="false">
      <c r="A232" s="6" t="s">
        <v>249</v>
      </c>
      <c r="B232" s="7" t="s">
        <v>19</v>
      </c>
      <c r="C232" s="8" t="n">
        <f aca="false">L232</f>
        <v>46158</v>
      </c>
      <c r="D232" s="9" t="n">
        <v>45594</v>
      </c>
      <c r="E232" s="10" t="n">
        <v>46588</v>
      </c>
      <c r="F232" s="11" t="n">
        <f aca="false">(E232-D232)/7</f>
        <v>142</v>
      </c>
      <c r="G232" s="11" t="n">
        <f aca="true">(TODAY()-D232)/7</f>
        <v>82.4285714285714</v>
      </c>
      <c r="H232" s="12" t="n">
        <v>128</v>
      </c>
      <c r="I232" s="12" t="n">
        <v>63</v>
      </c>
      <c r="J232" s="13" t="n">
        <f aca="false">IFERROR(((G232*H232)/F232)-I232,"")</f>
        <v>11.3018108651911</v>
      </c>
      <c r="K232" s="12" t="str">
        <f aca="false">IF(J232&lt;-10,"MUITO ADIANTADO",IF(J232&lt;-6,"ADIANTADO",IF(J232&lt;6,"EM DIAS",IF(J232&lt;12,"ATRASADO","MUITO ATRASADO"))))</f>
        <v>ATRASADO</v>
      </c>
      <c r="L232" s="9" t="n">
        <v>46158</v>
      </c>
      <c r="M232" s="6" t="n">
        <f aca="true">TODAY()-L232</f>
        <v>13</v>
      </c>
      <c r="N232" s="1" t="str">
        <f aca="false">IF(M232&lt;8,"VERIFICADO",IF(M232&lt;15,"VERIFICAR","VERIFICAR URGENTE"))</f>
        <v>VERIFICAR</v>
      </c>
    </row>
    <row r="233" customFormat="false" ht="15" hidden="false" customHeight="false" outlineLevel="0" collapsed="false">
      <c r="A233" s="6" t="s">
        <v>250</v>
      </c>
      <c r="B233" s="6" t="s">
        <v>19</v>
      </c>
      <c r="C233" s="8" t="n">
        <f aca="false">L233</f>
        <v>46158</v>
      </c>
      <c r="D233" s="9" t="n">
        <v>46109</v>
      </c>
      <c r="E233" s="10" t="n">
        <v>47146</v>
      </c>
      <c r="F233" s="11" t="n">
        <f aca="false">(E233-D233)/7</f>
        <v>148.142857142857</v>
      </c>
      <c r="G233" s="11" t="n">
        <f aca="true">(TODAY()-D233)/7</f>
        <v>8.85714285714286</v>
      </c>
      <c r="H233" s="12" t="n">
        <v>240</v>
      </c>
      <c r="I233" s="12" t="n">
        <v>10</v>
      </c>
      <c r="J233" s="13" t="n">
        <f aca="false">IFERROR(((G233*H233)/F233)-I233,"")</f>
        <v>4.34908389585344</v>
      </c>
      <c r="K233" s="12" t="str">
        <f aca="false">IF(J233&lt;-10,"MUITO ADIANTADO",IF(J233&lt;-6,"ADIANTADO",IF(J233&lt;6,"EM DIAS",IF(J233&lt;12,"ATRASADO","MUITO ATRASADO"))))</f>
        <v>EM DIAS</v>
      </c>
      <c r="L233" s="9" t="n">
        <v>46158</v>
      </c>
      <c r="M233" s="6" t="n">
        <f aca="true">TODAY()-L233</f>
        <v>13</v>
      </c>
      <c r="N233" s="1" t="str">
        <f aca="false">IF(M233&lt;8,"VERIFICADO",IF(M233&lt;15,"VERIFICAR","VERIFICAR URGENTE"))</f>
        <v>VERIFICAR</v>
      </c>
    </row>
    <row r="234" customFormat="false" ht="15" hidden="false" customHeight="false" outlineLevel="0" collapsed="false">
      <c r="A234" s="6" t="s">
        <v>251</v>
      </c>
      <c r="B234" s="7" t="s">
        <v>15</v>
      </c>
      <c r="C234" s="8" t="n">
        <f aca="false">L234</f>
        <v>46165</v>
      </c>
      <c r="D234" s="9" t="n">
        <v>45878</v>
      </c>
      <c r="E234" s="10" t="n">
        <v>46453</v>
      </c>
      <c r="F234" s="11" t="n">
        <f aca="false">(E234-D234)/7</f>
        <v>82.1428571428571</v>
      </c>
      <c r="G234" s="11" t="n">
        <f aca="true">(TODAY()-D234)/7</f>
        <v>41.8571428571429</v>
      </c>
      <c r="H234" s="12" t="n">
        <v>80</v>
      </c>
      <c r="I234" s="12" t="n">
        <v>41</v>
      </c>
      <c r="J234" s="13" t="n">
        <f aca="false">IFERROR(((G234*H234)/F234)-I234,"")</f>
        <v>-0.234782608695632</v>
      </c>
      <c r="K234" s="12" t="str">
        <f aca="false">IF(J234&lt;-10,"MUITO ADIANTADO",IF(J234&lt;-6,"ADIANTADO",IF(J234&lt;6,"EM DIAS",IF(J234&lt;12,"ATRASADO","MUITO ATRASADO"))))</f>
        <v>EM DIAS</v>
      </c>
      <c r="L234" s="9" t="n">
        <v>46165</v>
      </c>
      <c r="M234" s="6" t="n">
        <f aca="true">TODAY()-L234</f>
        <v>6</v>
      </c>
      <c r="N234" s="1" t="str">
        <f aca="false">IF(M234&lt;8,"VERIFICADO",IF(M234&lt;15,"VERIFICAR","VERIFICAR URGENTE"))</f>
        <v>VERIFICADO</v>
      </c>
    </row>
    <row r="235" customFormat="false" ht="15" hidden="false" customHeight="false" outlineLevel="0" collapsed="false">
      <c r="A235" s="6" t="s">
        <v>252</v>
      </c>
      <c r="B235" s="7" t="s">
        <v>17</v>
      </c>
      <c r="C235" s="8" t="n">
        <f aca="false">L235</f>
        <v>46160</v>
      </c>
      <c r="D235" s="9" t="n">
        <v>45943</v>
      </c>
      <c r="E235" s="10" t="n">
        <v>46522</v>
      </c>
      <c r="F235" s="11" t="n">
        <f aca="false">(E235-D235)/7</f>
        <v>82.7142857142857</v>
      </c>
      <c r="G235" s="11" t="n">
        <f aca="true">(TODAY()-D235)/7</f>
        <v>32.5714285714286</v>
      </c>
      <c r="H235" s="12" t="n">
        <v>80</v>
      </c>
      <c r="I235" s="12" t="n">
        <v>22</v>
      </c>
      <c r="J235" s="13" t="n">
        <f aca="false">IFERROR(((G235*H235)/F235)-I235,"")</f>
        <v>9.50259067357513</v>
      </c>
      <c r="K235" s="12" t="str">
        <f aca="false">IF(J235&lt;-10,"MUITO ADIANTADO",IF(J235&lt;-6,"ADIANTADO",IF(J235&lt;6,"EM DIAS",IF(J235&lt;12,"ATRASADO","MUITO ATRASADO"))))</f>
        <v>ATRASADO</v>
      </c>
      <c r="L235" s="9" t="n">
        <v>46160</v>
      </c>
      <c r="M235" s="6" t="n">
        <f aca="true">TODAY()-L235</f>
        <v>11</v>
      </c>
      <c r="N235" s="1" t="str">
        <f aca="false">IF(M235&lt;8,"VERIFICADO",IF(M235&lt;15,"VERIFICAR","VERIFICAR URGENTE"))</f>
        <v>VERIFICAR</v>
      </c>
    </row>
    <row r="236" customFormat="false" ht="15" hidden="false" customHeight="false" outlineLevel="0" collapsed="false">
      <c r="A236" s="6" t="s">
        <v>253</v>
      </c>
      <c r="B236" s="7" t="s">
        <v>17</v>
      </c>
      <c r="C236" s="8" t="n">
        <f aca="false">L236</f>
        <v>46163</v>
      </c>
      <c r="D236" s="9" t="n">
        <v>45915</v>
      </c>
      <c r="E236" s="10" t="n">
        <v>46341</v>
      </c>
      <c r="F236" s="11" t="n">
        <f aca="false">(E236-D236)/7</f>
        <v>60.8571428571429</v>
      </c>
      <c r="G236" s="11" t="n">
        <f aca="true">(TODAY()-D236)/7</f>
        <v>36.5714285714286</v>
      </c>
      <c r="H236" s="12" t="n">
        <v>64</v>
      </c>
      <c r="I236" s="12" t="n">
        <v>28</v>
      </c>
      <c r="J236" s="13" t="n">
        <f aca="false">IFERROR(((G236*H236)/F236)-I236,"")</f>
        <v>10.4600938967136</v>
      </c>
      <c r="K236" s="12" t="str">
        <f aca="false">IF(J236&lt;-10,"MUITO ADIANTADO",IF(J236&lt;-6,"ADIANTADO",IF(J236&lt;6,"EM DIAS",IF(J236&lt;12,"ATRASADO","MUITO ATRASADO"))))</f>
        <v>ATRASADO</v>
      </c>
      <c r="L236" s="9" t="n">
        <v>46163</v>
      </c>
      <c r="M236" s="6" t="n">
        <f aca="true">TODAY()-L236</f>
        <v>8</v>
      </c>
      <c r="N236" s="1" t="str">
        <f aca="false">IF(M236&lt;8,"VERIFICADO",IF(M236&lt;15,"VERIFICAR","VERIFICAR URGENTE"))</f>
        <v>VERIFICAR</v>
      </c>
    </row>
    <row r="237" customFormat="false" ht="15" hidden="false" customHeight="false" outlineLevel="0" collapsed="false">
      <c r="A237" s="6" t="s">
        <v>239</v>
      </c>
      <c r="B237" s="7" t="s">
        <v>19</v>
      </c>
      <c r="C237" s="8" t="n">
        <f aca="false">L237</f>
        <v>46158</v>
      </c>
      <c r="D237" s="9" t="n">
        <v>46046</v>
      </c>
      <c r="E237" s="10" t="n">
        <v>46264</v>
      </c>
      <c r="F237" s="11" t="n">
        <f aca="false">(E237-D237)/7</f>
        <v>31.1428571428571</v>
      </c>
      <c r="G237" s="11" t="n">
        <f aca="true">(TODAY()-D237)/7</f>
        <v>17.8571428571429</v>
      </c>
      <c r="H237" s="12" t="n">
        <v>32</v>
      </c>
      <c r="I237" s="12" t="n">
        <v>2</v>
      </c>
      <c r="J237" s="13" t="n">
        <f aca="false">IFERROR(((G237*H237)/F237)-I237,"")</f>
        <v>16.348623853211</v>
      </c>
      <c r="K237" s="12" t="str">
        <f aca="false">IF(J237&lt;-10,"MUITO ADIANTADO",IF(J237&lt;-6,"ADIANTADO",IF(J237&lt;6,"EM DIAS",IF(J237&lt;12,"ATRASADO","MUITO ATRASADO"))))</f>
        <v>MUITO ATRASADO</v>
      </c>
      <c r="L237" s="9" t="n">
        <v>46158</v>
      </c>
      <c r="M237" s="6" t="n">
        <f aca="true">TODAY()-L237</f>
        <v>13</v>
      </c>
      <c r="N237" s="1" t="str">
        <f aca="false">IF(M237&lt;8,"VERIFICADO",IF(M237&lt;15,"VERIFICAR","VERIFICAR URGENTE"))</f>
        <v>VERIFICAR</v>
      </c>
    </row>
    <row r="238" customFormat="false" ht="15" hidden="false" customHeight="false" outlineLevel="0" collapsed="false">
      <c r="A238" s="6" t="s">
        <v>254</v>
      </c>
      <c r="B238" s="7" t="s">
        <v>22</v>
      </c>
      <c r="C238" s="8" t="n">
        <f aca="false">L238</f>
        <v>46162</v>
      </c>
      <c r="D238" s="9" t="n">
        <v>46048</v>
      </c>
      <c r="E238" s="10" t="n">
        <v>46853</v>
      </c>
      <c r="F238" s="11" t="n">
        <f aca="false">(E238-D238)/7</f>
        <v>115</v>
      </c>
      <c r="G238" s="11" t="n">
        <f aca="true">(TODAY()-D238)/7</f>
        <v>17.5714285714286</v>
      </c>
      <c r="H238" s="12" t="n">
        <v>97</v>
      </c>
      <c r="I238" s="12" t="n">
        <v>21</v>
      </c>
      <c r="J238" s="13" t="n">
        <f aca="false">IFERROR(((G238*H238)/F238)-I238,"")</f>
        <v>-6.17888198757764</v>
      </c>
      <c r="K238" s="12" t="str">
        <f aca="false">IF(J238&lt;-10,"MUITO ADIANTADO",IF(J238&lt;-6,"ADIANTADO",IF(J238&lt;6,"EM DIAS",IF(J238&lt;12,"ATRASADO","MUITO ATRASADO"))))</f>
        <v>ADIANTADO</v>
      </c>
      <c r="L238" s="9" t="n">
        <v>46162</v>
      </c>
      <c r="M238" s="6" t="n">
        <f aca="true">TODAY()-L238</f>
        <v>9</v>
      </c>
      <c r="N238" s="1" t="str">
        <f aca="false">IF(M238&lt;8,"VERIFICADO",IF(M238&lt;15,"VERIFICAR","VERIFICAR URGENTE"))</f>
        <v>VERIFICAR</v>
      </c>
    </row>
    <row r="239" customFormat="false" ht="15" hidden="false" customHeight="false" outlineLevel="0" collapsed="false">
      <c r="A239" s="6" t="s">
        <v>255</v>
      </c>
      <c r="B239" s="7" t="s">
        <v>22</v>
      </c>
      <c r="C239" s="8" t="n">
        <f aca="false">L239</f>
        <v>46164</v>
      </c>
      <c r="D239" s="19" t="n">
        <v>45960</v>
      </c>
      <c r="E239" s="10" t="n">
        <v>46662</v>
      </c>
      <c r="F239" s="11" t="n">
        <f aca="false">(E239-D239)/7</f>
        <v>100.285714285714</v>
      </c>
      <c r="G239" s="11" t="n">
        <f aca="true">(TODAY()-D239)/7</f>
        <v>30.1428571428571</v>
      </c>
      <c r="H239" s="12" t="n">
        <v>80</v>
      </c>
      <c r="I239" s="12" t="n">
        <v>22</v>
      </c>
      <c r="J239" s="13" t="n">
        <f aca="false">IFERROR(((G239*H239)/F239)-I239,"")</f>
        <v>2.04558404558412</v>
      </c>
      <c r="K239" s="12" t="str">
        <f aca="false">IF(J239&lt;-10,"MUITO ADIANTADO",IF(J239&lt;-6,"ADIANTADO",IF(J239&lt;6,"EM DIAS",IF(J239&lt;12,"ATRASADO","MUITO ATRASADO"))))</f>
        <v>EM DIAS</v>
      </c>
      <c r="L239" s="9" t="n">
        <v>46164</v>
      </c>
      <c r="M239" s="6" t="n">
        <f aca="true">TODAY()-L239</f>
        <v>7</v>
      </c>
      <c r="N239" s="1" t="str">
        <f aca="false">IF(M239&lt;8,"VERIFICADO",IF(M239&lt;15,"VERIFICAR","VERIFICAR URGENTE"))</f>
        <v>VERIFICADO</v>
      </c>
    </row>
    <row r="240" customFormat="false" ht="15" hidden="false" customHeight="false" outlineLevel="0" collapsed="false">
      <c r="A240" s="6" t="s">
        <v>256</v>
      </c>
      <c r="B240" s="7" t="s">
        <v>22</v>
      </c>
      <c r="C240" s="8" t="n">
        <f aca="false">L240</f>
        <v>46165</v>
      </c>
      <c r="D240" s="9" t="n">
        <v>45675</v>
      </c>
      <c r="E240" s="10" t="n">
        <v>46382</v>
      </c>
      <c r="F240" s="11" t="n">
        <f aca="false">(E240-D240)/7</f>
        <v>101</v>
      </c>
      <c r="G240" s="11" t="n">
        <f aca="true">(TODAY()-D240)/7</f>
        <v>70.8571428571429</v>
      </c>
      <c r="H240" s="12" t="n">
        <v>112</v>
      </c>
      <c r="I240" s="12" t="n">
        <v>64</v>
      </c>
      <c r="J240" s="13" t="n">
        <f aca="false">IFERROR(((G240*H240)/F240)-I240,"")</f>
        <v>14.5742574257426</v>
      </c>
      <c r="K240" s="12" t="str">
        <f aca="false">IF(J240&lt;-10,"MUITO ADIANTADO",IF(J240&lt;-6,"ADIANTADO",IF(J240&lt;6,"EM DIAS",IF(J240&lt;12,"ATRASADO","MUITO ATRASADO"))))</f>
        <v>MUITO ATRASADO</v>
      </c>
      <c r="L240" s="9" t="n">
        <v>46165</v>
      </c>
      <c r="M240" s="6" t="n">
        <f aca="true">TODAY()-L240</f>
        <v>6</v>
      </c>
      <c r="N240" s="1" t="str">
        <f aca="false">IF(M240&lt;8,"VERIFICADO",IF(M240&lt;15,"VERIFICAR","VERIFICAR URGENTE"))</f>
        <v>VERIFICADO</v>
      </c>
    </row>
    <row r="241" customFormat="false" ht="15" hidden="false" customHeight="false" outlineLevel="0" collapsed="false">
      <c r="A241" s="6" t="s">
        <v>257</v>
      </c>
      <c r="B241" s="7" t="s">
        <v>22</v>
      </c>
      <c r="C241" s="8" t="n">
        <f aca="false">L241</f>
        <v>46160</v>
      </c>
      <c r="D241" s="9" t="n">
        <v>46123</v>
      </c>
      <c r="E241" s="10" t="n">
        <v>46703</v>
      </c>
      <c r="F241" s="11" t="n">
        <f aca="false">(E241-D242)/7</f>
        <v>145.142857142857</v>
      </c>
      <c r="G241" s="11" t="n">
        <f aca="true">(TODAY()-D241)/7</f>
        <v>6.85714285714286</v>
      </c>
      <c r="H241" s="12" t="n">
        <v>80</v>
      </c>
      <c r="I241" s="12" t="n">
        <v>12</v>
      </c>
      <c r="J241" s="13" t="n">
        <f aca="false">IFERROR(((G241*H241)/F241)-I241,"")</f>
        <v>-8.22047244094488</v>
      </c>
      <c r="K241" s="12" t="str">
        <f aca="false">IF(J241&lt;-10,"MUITO ADIANTADO",IF(J241&lt;-6,"ADIANTADO",IF(J241&lt;6,"EM DIAS",IF(J241&lt;12,"ATRASADO","MUITO ATRASADO"))))</f>
        <v>ADIANTADO</v>
      </c>
      <c r="L241" s="9" t="n">
        <v>46160</v>
      </c>
      <c r="M241" s="6" t="n">
        <f aca="true">TODAY()-L241</f>
        <v>11</v>
      </c>
      <c r="N241" s="1" t="str">
        <f aca="false">IF(M241&lt;8,"VERIFICADO",IF(M241&lt;15,"VERIFICAR","VERIFICAR URGENTE"))</f>
        <v>VERIFICAR</v>
      </c>
    </row>
    <row r="242" customFormat="false" ht="15" hidden="false" customHeight="false" outlineLevel="0" collapsed="false">
      <c r="A242" s="6" t="s">
        <v>258</v>
      </c>
      <c r="B242" s="7" t="s">
        <v>24</v>
      </c>
      <c r="C242" s="8" t="n">
        <f aca="false">L242</f>
        <v>46163</v>
      </c>
      <c r="D242" s="9" t="n">
        <v>45687</v>
      </c>
      <c r="E242" s="10" t="n">
        <v>46660</v>
      </c>
      <c r="F242" s="11" t="n">
        <f aca="false">(E242-D242)/7</f>
        <v>139</v>
      </c>
      <c r="G242" s="11" t="n">
        <f aca="true">(TODAY()-D242)/7</f>
        <v>69.1428571428571</v>
      </c>
      <c r="H242" s="12" t="n">
        <v>129</v>
      </c>
      <c r="I242" s="12" t="n">
        <v>77</v>
      </c>
      <c r="J242" s="13" t="n">
        <f aca="false">IFERROR(((G242*H242)/F242)-I242,"")</f>
        <v>-12.8314491264132</v>
      </c>
      <c r="K242" s="12" t="str">
        <f aca="false">IF(J242&lt;-10,"MUITO ADIANTADO",IF(J242&lt;-6,"ADIANTADO",IF(J242&lt;6,"EM DIAS",IF(J242&lt;12,"ATRASADO","MUITO ATRASADO"))))</f>
        <v>MUITO ADIANTADO</v>
      </c>
      <c r="L242" s="9" t="n">
        <v>46163</v>
      </c>
      <c r="M242" s="6" t="n">
        <f aca="true">TODAY()-L242</f>
        <v>8</v>
      </c>
      <c r="N242" s="1" t="str">
        <f aca="false">IF(M242&lt;8,"VERIFICADO",IF(M242&lt;15,"VERIFICAR","VERIFICAR URGENTE"))</f>
        <v>VERIFICAR</v>
      </c>
    </row>
    <row r="243" customFormat="false" ht="15" hidden="false" customHeight="false" outlineLevel="0" collapsed="false">
      <c r="A243" s="6" t="s">
        <v>259</v>
      </c>
      <c r="B243" s="7" t="s">
        <v>22</v>
      </c>
      <c r="C243" s="8" t="n">
        <f aca="false">L243</f>
        <v>46161</v>
      </c>
      <c r="D243" s="9" t="n">
        <v>45960</v>
      </c>
      <c r="E243" s="10" t="n">
        <v>46143</v>
      </c>
      <c r="F243" s="11" t="n">
        <f aca="false">(E243-D243)/7</f>
        <v>26.1428571428571</v>
      </c>
      <c r="G243" s="11" t="n">
        <f aca="true">(TODAY()-D243)/7</f>
        <v>30.1428571428571</v>
      </c>
      <c r="H243" s="12" t="n">
        <v>64</v>
      </c>
      <c r="I243" s="12" t="n">
        <v>64</v>
      </c>
      <c r="J243" s="13" t="n">
        <f aca="false">IFERROR(((G243*H243)/F243)-I243,"")</f>
        <v>9.79234972677608</v>
      </c>
      <c r="K243" s="12" t="str">
        <f aca="false">IF(J243&lt;-10,"MUITO ADIANTADO",IF(J243&lt;-6,"ADIANTADO",IF(J243&lt;6,"EM DIAS",IF(J243&lt;12,"ATRASADO","MUITO ATRASADO"))))</f>
        <v>ATRASADO</v>
      </c>
      <c r="L243" s="9" t="n">
        <v>46161</v>
      </c>
      <c r="M243" s="6" t="n">
        <f aca="true">TODAY()-L243</f>
        <v>10</v>
      </c>
      <c r="N243" s="1" t="str">
        <f aca="false">IF(M243&lt;8,"VERIFICADO",IF(M243&lt;15,"VERIFICAR","VERIFICAR URGENTE"))</f>
        <v>VERIFICAR</v>
      </c>
    </row>
    <row r="244" customFormat="false" ht="15" hidden="false" customHeight="false" outlineLevel="0" collapsed="false">
      <c r="A244" s="6" t="s">
        <v>260</v>
      </c>
      <c r="B244" s="7" t="s">
        <v>15</v>
      </c>
      <c r="C244" s="8" t="n">
        <f aca="false">L244</f>
        <v>46162</v>
      </c>
      <c r="D244" s="9" t="n">
        <v>46099</v>
      </c>
      <c r="E244" s="10" t="n">
        <v>46914</v>
      </c>
      <c r="F244" s="11" t="n">
        <f aca="false">(E244-D244)/7</f>
        <v>116.428571428571</v>
      </c>
      <c r="G244" s="11" t="n">
        <f aca="true">(TODAY()-D244)/7</f>
        <v>10.2857142857143</v>
      </c>
      <c r="H244" s="12" t="n">
        <v>122</v>
      </c>
      <c r="I244" s="12" t="n">
        <v>8</v>
      </c>
      <c r="J244" s="13" t="n">
        <f aca="false">IFERROR(((G244*H244)/F244)-I244,"")</f>
        <v>2.77791411042949</v>
      </c>
      <c r="K244" s="12" t="str">
        <f aca="false">IF(J244&lt;-10,"MUITO ADIANTADO",IF(J244&lt;-6,"ADIANTADO",IF(J244&lt;6,"EM DIAS",IF(J244&lt;12,"ATRASADO","MUITO ATRASADO"))))</f>
        <v>EM DIAS</v>
      </c>
      <c r="L244" s="9" t="n">
        <v>46162</v>
      </c>
      <c r="M244" s="6" t="n">
        <f aca="true">TODAY()-L244</f>
        <v>9</v>
      </c>
      <c r="N244" s="1" t="str">
        <f aca="false">IF(M244&lt;8,"VERIFICADO",IF(M244&lt;15,"VERIFICAR","VERIFICAR URGENTE"))</f>
        <v>VERIFICAR</v>
      </c>
    </row>
    <row r="245" customFormat="false" ht="15" hidden="false" customHeight="false" outlineLevel="0" collapsed="false">
      <c r="A245" s="6" t="s">
        <v>261</v>
      </c>
      <c r="B245" s="7" t="s">
        <v>22</v>
      </c>
      <c r="C245" s="8" t="n">
        <f aca="false">L245</f>
        <v>46162</v>
      </c>
      <c r="D245" s="9" t="n">
        <v>45820</v>
      </c>
      <c r="E245" s="10" t="n">
        <v>47418</v>
      </c>
      <c r="F245" s="11" t="n">
        <f aca="false">(E245-D245)/7</f>
        <v>228.285714285714</v>
      </c>
      <c r="G245" s="11" t="n">
        <f aca="true">(TODAY()-D245)/7</f>
        <v>50.1428571428571</v>
      </c>
      <c r="H245" s="12" t="n">
        <v>192</v>
      </c>
      <c r="I245" s="12" t="n">
        <v>45</v>
      </c>
      <c r="J245" s="13" t="n">
        <f aca="false">IFERROR(((G245*H245)/F245)-I245,"")</f>
        <v>-2.82728410513136</v>
      </c>
      <c r="K245" s="12" t="str">
        <f aca="false">IF(J245&lt;-10,"MUITO ADIANTADO",IF(J245&lt;-6,"ADIANTADO",IF(J245&lt;6,"EM DIAS",IF(J245&lt;12,"ATRASADO","MUITO ATRASADO"))))</f>
        <v>EM DIAS</v>
      </c>
      <c r="L245" s="9" t="n">
        <v>46162</v>
      </c>
      <c r="M245" s="6" t="n">
        <f aca="true">TODAY()-L245</f>
        <v>9</v>
      </c>
      <c r="N245" s="1" t="str">
        <f aca="false">IF(M245&lt;8,"VERIFICADO",IF(M245&lt;15,"VERIFICAR","VERIFICAR URGENTE"))</f>
        <v>VERIFICAR</v>
      </c>
    </row>
    <row r="246" customFormat="false" ht="15" hidden="false" customHeight="false" outlineLevel="0" collapsed="false">
      <c r="A246" s="6" t="s">
        <v>262</v>
      </c>
      <c r="B246" s="7" t="s">
        <v>65</v>
      </c>
      <c r="C246" s="8" t="n">
        <f aca="false">L246</f>
        <v>46171</v>
      </c>
      <c r="D246" s="9" t="n">
        <v>45890</v>
      </c>
      <c r="E246" s="10" t="n">
        <v>46323</v>
      </c>
      <c r="F246" s="11" t="n">
        <f aca="false">(E246-D246)/7</f>
        <v>61.8571428571429</v>
      </c>
      <c r="G246" s="11" t="n">
        <f aca="true">(TODAY()-D246)/7</f>
        <v>40.1428571428571</v>
      </c>
      <c r="H246" s="12" t="n">
        <v>100</v>
      </c>
      <c r="I246" s="12" t="n">
        <v>47</v>
      </c>
      <c r="J246" s="13" t="n">
        <f aca="false">IFERROR(((G246*H246)/F246)-I246,"")</f>
        <v>17.8960739030023</v>
      </c>
      <c r="K246" s="12" t="str">
        <f aca="false">IF(J246&lt;-10,"MUITO ADIANTADO",IF(J246&lt;-6,"ADIANTADO",IF(J246&lt;6,"EM DIAS",IF(J246&lt;12,"ATRASADO","MUITO ATRASADO"))))</f>
        <v>MUITO ATRASADO</v>
      </c>
      <c r="L246" s="9" t="n">
        <v>46171</v>
      </c>
      <c r="M246" s="6" t="n">
        <f aca="true">TODAY()-L246</f>
        <v>0</v>
      </c>
      <c r="N246" s="1" t="str">
        <f aca="false">IF(M246&lt;8,"VERIFICADO",IF(M246&lt;15,"VERIFICAR","VERIFICAR URGENTE"))</f>
        <v>VERIFICADO</v>
      </c>
    </row>
    <row r="247" customFormat="false" ht="15" hidden="false" customHeight="false" outlineLevel="0" collapsed="false">
      <c r="A247" s="6" t="s">
        <v>263</v>
      </c>
      <c r="B247" s="7" t="s">
        <v>15</v>
      </c>
      <c r="C247" s="8" t="n">
        <f aca="false">L247</f>
        <v>46160</v>
      </c>
      <c r="D247" s="9" t="n">
        <v>46034</v>
      </c>
      <c r="E247" s="10" t="n">
        <v>46946</v>
      </c>
      <c r="F247" s="11" t="n">
        <f aca="false">(E247-D247)/7</f>
        <v>130.285714285714</v>
      </c>
      <c r="G247" s="11" t="n">
        <f aca="true">(TODAY()-D247)/7</f>
        <v>19.5714285714286</v>
      </c>
      <c r="H247" s="12" t="n">
        <v>144</v>
      </c>
      <c r="I247" s="12" t="n">
        <v>22</v>
      </c>
      <c r="J247" s="13" t="n">
        <f aca="false">IFERROR(((G247*H247)/F247)-I247,"")</f>
        <v>-0.368421052631529</v>
      </c>
      <c r="K247" s="12" t="str">
        <f aca="false">IF(J247&lt;-10,"MUITO ADIANTADO",IF(J247&lt;-6,"ADIANTADO",IF(J247&lt;6,"EM DIAS",IF(J247&lt;12,"ATRASADO","MUITO ATRASADO"))))</f>
        <v>EM DIAS</v>
      </c>
      <c r="L247" s="9" t="n">
        <v>46160</v>
      </c>
      <c r="M247" s="6" t="n">
        <f aca="true">TODAY()-L247</f>
        <v>11</v>
      </c>
      <c r="N247" s="1" t="str">
        <f aca="false">IF(M247&lt;8,"VERIFICADO",IF(M247&lt;15,"VERIFICAR","VERIFICAR URGENTE"))</f>
        <v>VERIFICAR</v>
      </c>
    </row>
    <row r="248" customFormat="false" ht="15" hidden="false" customHeight="false" outlineLevel="0" collapsed="false">
      <c r="A248" s="6" t="s">
        <v>264</v>
      </c>
      <c r="B248" s="7" t="s">
        <v>19</v>
      </c>
      <c r="C248" s="8" t="n">
        <f aca="false">L248</f>
        <v>46158</v>
      </c>
      <c r="D248" s="9" t="n">
        <v>46165</v>
      </c>
      <c r="E248" s="10" t="n">
        <v>46386</v>
      </c>
      <c r="F248" s="11" t="n">
        <f aca="false">(E248-D248)/7</f>
        <v>31.5714285714286</v>
      </c>
      <c r="G248" s="11" t="n">
        <f aca="true">(TODAY()-D248)/7</f>
        <v>0.857142857142857</v>
      </c>
      <c r="H248" s="12" t="n">
        <v>32</v>
      </c>
      <c r="I248" s="12" t="n">
        <v>0</v>
      </c>
      <c r="J248" s="13" t="n">
        <f aca="false">IFERROR(((G248*H248)/F248)-I248,"")</f>
        <v>0.868778280542986</v>
      </c>
      <c r="K248" s="12" t="str">
        <f aca="false">IF(J248&lt;-10,"MUITO ADIANTADO",IF(J248&lt;-6,"ADIANTADO",IF(J248&lt;6,"EM DIAS",IF(J248&lt;12,"ATRASADO","MUITO ATRASADO"))))</f>
        <v>EM DIAS</v>
      </c>
      <c r="L248" s="9" t="n">
        <v>46158</v>
      </c>
      <c r="M248" s="6" t="n">
        <f aca="true">TODAY()-L248</f>
        <v>13</v>
      </c>
      <c r="N248" s="1" t="str">
        <f aca="false">IF(M248&lt;8,"VERIFICADO",IF(M248&lt;15,"VERIFICAR","VERIFICAR URGENTE"))</f>
        <v>VERIFICAR</v>
      </c>
    </row>
    <row r="249" customFormat="false" ht="15" hidden="false" customHeight="false" outlineLevel="0" collapsed="false">
      <c r="A249" s="6" t="s">
        <v>265</v>
      </c>
      <c r="B249" s="7" t="s">
        <v>22</v>
      </c>
      <c r="C249" s="8" t="n">
        <f aca="false">L249</f>
        <v>46162</v>
      </c>
      <c r="D249" s="9" t="n">
        <v>45860</v>
      </c>
      <c r="E249" s="10" t="n">
        <v>46443</v>
      </c>
      <c r="F249" s="11" t="n">
        <f aca="false">(E249-D249)/7</f>
        <v>83.2857142857143</v>
      </c>
      <c r="G249" s="11" t="n">
        <f aca="true">(TODAY()-D249)/7</f>
        <v>44.4285714285714</v>
      </c>
      <c r="H249" s="12" t="n">
        <v>80</v>
      </c>
      <c r="I249" s="12" t="n">
        <v>38</v>
      </c>
      <c r="J249" s="13" t="n">
        <f aca="false">IFERROR(((G249*H249)/F249)-I249,"")</f>
        <v>4.67581475128645</v>
      </c>
      <c r="K249" s="12" t="str">
        <f aca="false">IF(J249&lt;-10,"MUITO ADIANTADO",IF(J249&lt;-6,"ADIANTADO",IF(J249&lt;6,"EM DIAS",IF(J249&lt;12,"ATRASADO","MUITO ATRASADO"))))</f>
        <v>EM DIAS</v>
      </c>
      <c r="L249" s="9" t="n">
        <v>46162</v>
      </c>
      <c r="M249" s="6" t="n">
        <f aca="true">TODAY()-L249</f>
        <v>9</v>
      </c>
      <c r="N249" s="1" t="str">
        <f aca="false">IF(M249&lt;8,"VERIFICADO",IF(M249&lt;15,"VERIFICAR","VERIFICAR URGENTE"))</f>
        <v>VERIFICAR</v>
      </c>
    </row>
    <row r="250" customFormat="false" ht="15" hidden="false" customHeight="false" outlineLevel="0" collapsed="false">
      <c r="A250" s="6" t="s">
        <v>266</v>
      </c>
      <c r="B250" s="7" t="s">
        <v>22</v>
      </c>
      <c r="C250" s="8" t="n">
        <f aca="false">L250</f>
        <v>46164</v>
      </c>
      <c r="D250" s="9" t="n">
        <v>45387</v>
      </c>
      <c r="E250" s="10" t="n">
        <v>46233</v>
      </c>
      <c r="F250" s="11" t="n">
        <f aca="false">(E250-D250)/7</f>
        <v>120.857142857143</v>
      </c>
      <c r="G250" s="11" t="n">
        <f aca="true">(TODAY()-D250)/7</f>
        <v>112</v>
      </c>
      <c r="H250" s="12" t="n">
        <v>176</v>
      </c>
      <c r="I250" s="12" t="n">
        <v>149</v>
      </c>
      <c r="J250" s="13" t="n">
        <f aca="false">IFERROR(((G250*H250)/F250)-I250,"")</f>
        <v>14.1016548463355</v>
      </c>
      <c r="K250" s="12" t="str">
        <f aca="false">IF(J250&lt;-10,"MUITO ADIANTADO",IF(J250&lt;-6,"ADIANTADO",IF(J250&lt;6,"EM DIAS",IF(J250&lt;12,"ATRASADO","MUITO ATRASADO"))))</f>
        <v>MUITO ATRASADO</v>
      </c>
      <c r="L250" s="9" t="n">
        <v>46164</v>
      </c>
      <c r="M250" s="6" t="n">
        <f aca="true">TODAY()-L250</f>
        <v>7</v>
      </c>
      <c r="N250" s="1" t="str">
        <f aca="false">IF(M250&lt;8,"VERIFICADO",IF(M250&lt;15,"VERIFICAR","VERIFICAR URGENTE"))</f>
        <v>VERIFICADO</v>
      </c>
    </row>
    <row r="251" customFormat="false" ht="15" hidden="false" customHeight="false" outlineLevel="0" collapsed="false">
      <c r="A251" s="6" t="s">
        <v>267</v>
      </c>
      <c r="B251" s="7" t="s">
        <v>24</v>
      </c>
      <c r="C251" s="8" t="n">
        <f aca="false">L251</f>
        <v>46160</v>
      </c>
      <c r="D251" s="9" t="n">
        <v>45750</v>
      </c>
      <c r="E251" s="10" t="n">
        <v>46346</v>
      </c>
      <c r="F251" s="11" t="n">
        <f aca="false">(E251-D251)/7</f>
        <v>85.1428571428571</v>
      </c>
      <c r="G251" s="11" t="n">
        <f aca="true">(TODAY()-D251)/7</f>
        <v>60.1428571428571</v>
      </c>
      <c r="H251" s="12" t="n">
        <v>80</v>
      </c>
      <c r="I251" s="12" t="n">
        <v>52</v>
      </c>
      <c r="J251" s="13" t="n">
        <f aca="false">IFERROR(((G251*H251)/F251)-I251,"")</f>
        <v>4.51006711409399</v>
      </c>
      <c r="K251" s="12" t="str">
        <f aca="false">IF(J251&lt;-10,"MUITO ADIANTADO",IF(J251&lt;-6,"ADIANTADO",IF(J251&lt;6,"EM DIAS",IF(J251&lt;12,"ATRASADO","MUITO ATRASADO"))))</f>
        <v>EM DIAS</v>
      </c>
      <c r="L251" s="9" t="n">
        <v>46160</v>
      </c>
      <c r="M251" s="6" t="n">
        <f aca="true">TODAY()-L251</f>
        <v>11</v>
      </c>
      <c r="N251" s="1" t="str">
        <f aca="false">IF(M251&lt;8,"VERIFICADO",IF(M251&lt;15,"VERIFICAR","VERIFICAR URGENTE"))</f>
        <v>VERIFICAR</v>
      </c>
    </row>
    <row r="252" customFormat="false" ht="15" hidden="false" customHeight="false" outlineLevel="0" collapsed="false">
      <c r="A252" s="6" t="s">
        <v>268</v>
      </c>
      <c r="B252" s="7" t="s">
        <v>24</v>
      </c>
      <c r="C252" s="8" t="n">
        <f aca="false">L252</f>
        <v>46160</v>
      </c>
      <c r="D252" s="9" t="n">
        <v>45391</v>
      </c>
      <c r="E252" s="10" t="n">
        <v>46345</v>
      </c>
      <c r="F252" s="11" t="n">
        <f aca="false">(E252-D252)/7</f>
        <v>136.285714285714</v>
      </c>
      <c r="G252" s="11" t="n">
        <f aca="true">(TODAY()-D252)/7</f>
        <v>111.428571428571</v>
      </c>
      <c r="H252" s="12" t="n">
        <v>176</v>
      </c>
      <c r="I252" s="12" t="n">
        <v>162</v>
      </c>
      <c r="J252" s="13" t="n">
        <f aca="false">IFERROR(((G252*H252)/F252)-I252,"")</f>
        <v>-18.1006289308173</v>
      </c>
      <c r="K252" s="12" t="str">
        <f aca="false">IF(J252&lt;-10,"MUITO ADIANTADO",IF(J252&lt;-6,"ADIANTADO",IF(J252&lt;6,"EM DIAS",IF(J252&lt;12,"ATRASADO","MUITO ATRASADO"))))</f>
        <v>MUITO ADIANTADO</v>
      </c>
      <c r="L252" s="9" t="n">
        <v>46160</v>
      </c>
      <c r="M252" s="6" t="n">
        <f aca="true">TODAY()-L252</f>
        <v>11</v>
      </c>
      <c r="N252" s="1" t="str">
        <f aca="false">IF(M252&lt;8,"VERIFICADO",IF(M252&lt;15,"VERIFICAR","VERIFICAR URGENTE"))</f>
        <v>VERIFICAR</v>
      </c>
    </row>
    <row r="253" customFormat="false" ht="15" hidden="false" customHeight="false" outlineLevel="0" collapsed="false">
      <c r="A253" s="6" t="s">
        <v>269</v>
      </c>
      <c r="B253" s="7" t="s">
        <v>24</v>
      </c>
      <c r="C253" s="8" t="n">
        <f aca="false">L253</f>
        <v>46158</v>
      </c>
      <c r="D253" s="9" t="n">
        <v>45629</v>
      </c>
      <c r="E253" s="10" t="n">
        <v>46696</v>
      </c>
      <c r="F253" s="11" t="n">
        <f aca="false">(E253-D253)/7</f>
        <v>152.428571428571</v>
      </c>
      <c r="G253" s="11" t="n">
        <f aca="true">(TODAY()-D253)/7</f>
        <v>77.4285714285714</v>
      </c>
      <c r="H253" s="12" t="n">
        <v>144</v>
      </c>
      <c r="I253" s="12" t="n">
        <v>79</v>
      </c>
      <c r="J253" s="13" t="n">
        <f aca="false">IFERROR(((G253*H253)/F253)-I253,"")</f>
        <v>-5.85285848172424</v>
      </c>
      <c r="K253" s="12" t="str">
        <f aca="false">IF(J253&lt;-10,"MUITO ADIANTADO",IF(J253&lt;-6,"ADIANTADO",IF(J253&lt;6,"EM DIAS",IF(J253&lt;12,"ATRASADO","MUITO ATRASADO"))))</f>
        <v>EM DIAS</v>
      </c>
      <c r="L253" s="9" t="n">
        <v>46158</v>
      </c>
      <c r="M253" s="6" t="n">
        <f aca="true">TODAY()-L253</f>
        <v>13</v>
      </c>
      <c r="N253" s="1" t="str">
        <f aca="false">IF(M253&lt;8,"VERIFICADO",IF(M253&lt;15,"VERIFICAR","VERIFICAR URGENTE"))</f>
        <v>VERIFICAR</v>
      </c>
    </row>
    <row r="254" customFormat="false" ht="15" hidden="false" customHeight="false" outlineLevel="0" collapsed="false">
      <c r="A254" s="6" t="s">
        <v>270</v>
      </c>
      <c r="B254" s="7" t="s">
        <v>24</v>
      </c>
      <c r="C254" s="8" t="n">
        <f aca="false">L254</f>
        <v>46164</v>
      </c>
      <c r="D254" s="9" t="n">
        <v>45993</v>
      </c>
      <c r="E254" s="10" t="n">
        <v>46784</v>
      </c>
      <c r="F254" s="11" t="n">
        <f aca="false">(E254-D254)/7</f>
        <v>113</v>
      </c>
      <c r="G254" s="11" t="n">
        <f aca="true">(TODAY()-D254)/7</f>
        <v>25.4285714285714</v>
      </c>
      <c r="H254" s="12" t="n">
        <v>193</v>
      </c>
      <c r="I254" s="12" t="n">
        <v>39</v>
      </c>
      <c r="J254" s="13" t="n">
        <f aca="false">IFERROR(((G254*H254)/F254)-I254,"")</f>
        <v>4.43109987357774</v>
      </c>
      <c r="K254" s="12" t="str">
        <f aca="false">IF(J254&lt;-10,"MUITO ADIANTADO",IF(J254&lt;-6,"ADIANTADO",IF(J254&lt;6,"EM DIAS",IF(J254&lt;12,"ATRASADO","MUITO ATRASADO"))))</f>
        <v>EM DIAS</v>
      </c>
      <c r="L254" s="9" t="n">
        <v>46164</v>
      </c>
      <c r="M254" s="6" t="n">
        <f aca="true">TODAY()-L254</f>
        <v>7</v>
      </c>
      <c r="N254" s="1" t="str">
        <f aca="false">IF(M254&lt;8,"VERIFICADO",IF(M254&lt;15,"VERIFICAR","VERIFICAR URGENTE"))</f>
        <v>VERIFICADO</v>
      </c>
    </row>
    <row r="255" customFormat="false" ht="15" hidden="false" customHeight="false" outlineLevel="0" collapsed="false">
      <c r="A255" s="6" t="s">
        <v>271</v>
      </c>
      <c r="B255" s="7" t="s">
        <v>24</v>
      </c>
      <c r="C255" s="8" t="n">
        <f aca="false">L255</f>
        <v>46163</v>
      </c>
      <c r="D255" s="9" t="n">
        <v>45869</v>
      </c>
      <c r="E255" s="10" t="n">
        <v>47204</v>
      </c>
      <c r="F255" s="11" t="n">
        <f aca="false">(E255-D255)/7</f>
        <v>190.714285714286</v>
      </c>
      <c r="G255" s="11" t="n">
        <f aca="true">(TODAY()-D255)/7</f>
        <v>43.1428571428571</v>
      </c>
      <c r="H255" s="12" t="n">
        <v>225</v>
      </c>
      <c r="I255" s="12" t="n">
        <v>45</v>
      </c>
      <c r="J255" s="13" t="n">
        <f aca="false">IFERROR(((G255*H255)/F255)-I255,"")</f>
        <v>5.89887640449431</v>
      </c>
      <c r="K255" s="12" t="str">
        <f aca="false">IF(J255&lt;-10,"MUITO ADIANTADO",IF(J255&lt;-6,"ADIANTADO",IF(J255&lt;6,"EM DIAS",IF(J255&lt;12,"ATRASADO","MUITO ATRASADO"))))</f>
        <v>EM DIAS</v>
      </c>
      <c r="L255" s="9" t="n">
        <v>46163</v>
      </c>
      <c r="M255" s="6" t="n">
        <f aca="true">TODAY()-L255</f>
        <v>8</v>
      </c>
      <c r="N255" s="1" t="str">
        <f aca="false">IF(M255&lt;8,"VERIFICADO",IF(M255&lt;15,"VERIFICAR","VERIFICAR URGENTE"))</f>
        <v>VERIFICAR</v>
      </c>
    </row>
    <row r="256" customFormat="false" ht="15" hidden="false" customHeight="false" outlineLevel="0" collapsed="false">
      <c r="A256" s="6" t="s">
        <v>272</v>
      </c>
      <c r="B256" s="7" t="s">
        <v>17</v>
      </c>
      <c r="C256" s="8" t="n">
        <f aca="false">L256</f>
        <v>46163</v>
      </c>
      <c r="D256" s="9" t="n">
        <v>45938</v>
      </c>
      <c r="E256" s="10" t="n">
        <v>47317</v>
      </c>
      <c r="F256" s="11" t="n">
        <f aca="false">(E256-D256)/7</f>
        <v>197</v>
      </c>
      <c r="G256" s="11" t="n">
        <f aca="true">(TODAY()-D256)/7</f>
        <v>33.2857142857143</v>
      </c>
      <c r="H256" s="12" t="n">
        <v>216</v>
      </c>
      <c r="I256" s="12" t="n">
        <v>34</v>
      </c>
      <c r="J256" s="13" t="n">
        <f aca="false">IFERROR(((G256*H256)/F256)-I256,"")</f>
        <v>2.49601160261059</v>
      </c>
      <c r="K256" s="12" t="str">
        <f aca="false">IF(J256&lt;-10,"MUITO ADIANTADO",IF(J256&lt;-6,"ADIANTADO",IF(J256&lt;6,"EM DIAS",IF(J256&lt;12,"ATRASADO","MUITO ATRASADO"))))</f>
        <v>EM DIAS</v>
      </c>
      <c r="L256" s="9" t="n">
        <v>46163</v>
      </c>
      <c r="M256" s="6" t="n">
        <f aca="true">TODAY()-L256</f>
        <v>8</v>
      </c>
      <c r="N256" s="1" t="str">
        <f aca="false">IF(M256&lt;8,"VERIFICADO",IF(M256&lt;15,"VERIFICAR","VERIFICAR URGENTE"))</f>
        <v>VERIFICAR</v>
      </c>
    </row>
    <row r="257" customFormat="false" ht="15" hidden="false" customHeight="false" outlineLevel="0" collapsed="false">
      <c r="A257" s="6" t="s">
        <v>273</v>
      </c>
      <c r="B257" s="7" t="s">
        <v>24</v>
      </c>
      <c r="C257" s="8" t="n">
        <f aca="false">L257</f>
        <v>46160</v>
      </c>
      <c r="D257" s="9" t="n">
        <v>45779</v>
      </c>
      <c r="E257" s="10" t="n">
        <v>46408</v>
      </c>
      <c r="F257" s="11" t="n">
        <f aca="false">(E257-D257)/7</f>
        <v>89.8571428571429</v>
      </c>
      <c r="G257" s="11" t="n">
        <f aca="true">(TODAY()-D257)/7</f>
        <v>56</v>
      </c>
      <c r="H257" s="12" t="n">
        <v>80</v>
      </c>
      <c r="I257" s="12" t="n">
        <v>52</v>
      </c>
      <c r="J257" s="13" t="n">
        <f aca="false">IFERROR(((G257*H257)/F257)-I257,"")</f>
        <v>-2.14308426073134</v>
      </c>
      <c r="K257" s="12" t="str">
        <f aca="false">IF(J257&lt;-10,"MUITO ADIANTADO",IF(J257&lt;-6,"ADIANTADO",IF(J257&lt;6,"EM DIAS",IF(J257&lt;12,"ATRASADO","MUITO ATRASADO"))))</f>
        <v>EM DIAS</v>
      </c>
      <c r="L257" s="9" t="n">
        <v>46160</v>
      </c>
      <c r="M257" s="6" t="n">
        <f aca="true">TODAY()-L257</f>
        <v>11</v>
      </c>
      <c r="N257" s="1" t="str">
        <f aca="false">IF(M257&lt;8,"VERIFICADO",IF(M257&lt;15,"VERIFICAR","VERIFICAR URGENTE"))</f>
        <v>VERIFICAR</v>
      </c>
    </row>
    <row r="258" customFormat="false" ht="15" hidden="false" customHeight="false" outlineLevel="0" collapsed="false">
      <c r="A258" s="6" t="s">
        <v>274</v>
      </c>
      <c r="B258" s="7" t="s">
        <v>17</v>
      </c>
      <c r="C258" s="8" t="n">
        <f aca="false">L261</f>
        <v>46165</v>
      </c>
      <c r="D258" s="9" t="n">
        <v>45959</v>
      </c>
      <c r="E258" s="10" t="n">
        <v>46305</v>
      </c>
      <c r="F258" s="11" t="n">
        <f aca="false">(E258-D258)/7</f>
        <v>49.4285714285714</v>
      </c>
      <c r="G258" s="11" t="n">
        <f aca="true">(TODAY()-D258)/7</f>
        <v>30.2857142857143</v>
      </c>
      <c r="H258" s="12" t="n">
        <v>48</v>
      </c>
      <c r="I258" s="12" t="n">
        <v>27</v>
      </c>
      <c r="J258" s="13" t="n">
        <f aca="false">IFERROR(((G258*H258)/F258)-I258,"")</f>
        <v>2.41040462427747</v>
      </c>
      <c r="K258" s="12" t="str">
        <f aca="false">IF(J258&lt;-10,"MUITO ADIANTADO",IF(J258&lt;-6,"ADIANTADO",IF(J258&lt;6,"EM DIAS",IF(J258&lt;12,"ATRASADO","MUITO ATRASADO"))))</f>
        <v>EM DIAS</v>
      </c>
      <c r="L258" s="9" t="n">
        <v>46156</v>
      </c>
      <c r="M258" s="6" t="n">
        <f aca="true">TODAY()-L258</f>
        <v>15</v>
      </c>
      <c r="N258" s="1" t="str">
        <f aca="false">IF(M258&lt;8,"VERIFICADO",IF(M258&lt;15,"VERIFICAR","VERIFICAR URGENTE"))</f>
        <v>VERIFICAR URGENTE</v>
      </c>
    </row>
    <row r="259" customFormat="false" ht="15" hidden="false" customHeight="false" outlineLevel="0" collapsed="false">
      <c r="A259" s="6" t="s">
        <v>275</v>
      </c>
      <c r="B259" s="7" t="s">
        <v>19</v>
      </c>
      <c r="C259" s="8" t="n">
        <f aca="false">L259</f>
        <v>46160</v>
      </c>
      <c r="D259" s="9" t="n">
        <v>45587</v>
      </c>
      <c r="E259" s="10" t="n">
        <v>46256</v>
      </c>
      <c r="F259" s="11" t="n">
        <f aca="false">(E259-D259)/7</f>
        <v>95.5714285714286</v>
      </c>
      <c r="G259" s="11" t="n">
        <f aca="true">(TODAY()-D259)/7</f>
        <v>83.4285714285714</v>
      </c>
      <c r="H259" s="12" t="n">
        <v>92</v>
      </c>
      <c r="I259" s="12" t="n">
        <v>96</v>
      </c>
      <c r="J259" s="13" t="n">
        <f aca="false">IFERROR(((G259*H259)/F259)-I259,"")</f>
        <v>-15.6890881913304</v>
      </c>
      <c r="K259" s="12" t="str">
        <f aca="false">IF(J259&lt;-10,"MUITO ADIANTADO",IF(J259&lt;-6,"ADIANTADO",IF(J259&lt;6,"EM DIAS",IF(J259&lt;12,"ATRASADO","MUITO ATRASADO"))))</f>
        <v>MUITO ADIANTADO</v>
      </c>
      <c r="L259" s="9" t="n">
        <v>46160</v>
      </c>
      <c r="M259" s="6" t="n">
        <f aca="true">TODAY()-L259</f>
        <v>11</v>
      </c>
      <c r="N259" s="1" t="str">
        <f aca="false">IF(M259&lt;8,"VERIFICADO",IF(M259&lt;15,"VERIFICAR","VERIFICAR URGENTE"))</f>
        <v>VERIFICAR</v>
      </c>
    </row>
    <row r="260" customFormat="false" ht="15" hidden="false" customHeight="false" outlineLevel="0" collapsed="false">
      <c r="A260" s="6" t="s">
        <v>233</v>
      </c>
      <c r="B260" s="7" t="s">
        <v>22</v>
      </c>
      <c r="C260" s="8" t="n">
        <f aca="false">L260</f>
        <v>46165</v>
      </c>
      <c r="D260" s="9" t="n">
        <v>45647</v>
      </c>
      <c r="E260" s="10" t="n">
        <v>46198</v>
      </c>
      <c r="F260" s="11" t="n">
        <f aca="false">(E260-D260)/7</f>
        <v>78.7142857142857</v>
      </c>
      <c r="G260" s="11" t="n">
        <f aca="true">(TODAY()-D260)/7</f>
        <v>74.8571428571429</v>
      </c>
      <c r="H260" s="12" t="n">
        <v>96</v>
      </c>
      <c r="I260" s="12" t="n">
        <v>98</v>
      </c>
      <c r="J260" s="13" t="n">
        <f aca="false">IFERROR(((G260*H260)/F260)-I260,"")</f>
        <v>-6.70417422867511</v>
      </c>
      <c r="K260" s="12" t="str">
        <f aca="false">IF(J260&lt;-10,"MUITO ADIANTADO",IF(J260&lt;-6,"ADIANTADO",IF(J260&lt;6,"EM DIAS",IF(J260&lt;12,"ATRASADO","MUITO ATRASADO"))))</f>
        <v>ADIANTADO</v>
      </c>
      <c r="L260" s="9" t="n">
        <v>46165</v>
      </c>
      <c r="M260" s="6" t="n">
        <f aca="true">TODAY()-L260</f>
        <v>6</v>
      </c>
      <c r="N260" s="1" t="str">
        <f aca="false">IF(M260&lt;8,"VERIFICADO",IF(M260&lt;15,"VERIFICAR","VERIFICAR URGENTE"))</f>
        <v>VERIFICADO</v>
      </c>
    </row>
    <row r="261" customFormat="false" ht="15" hidden="false" customHeight="false" outlineLevel="0" collapsed="false">
      <c r="A261" s="6" t="s">
        <v>276</v>
      </c>
      <c r="B261" s="7" t="s">
        <v>22</v>
      </c>
      <c r="C261" s="8" t="n">
        <f aca="false">L261</f>
        <v>46165</v>
      </c>
      <c r="D261" s="9" t="n">
        <v>45815</v>
      </c>
      <c r="E261" s="10" t="n">
        <v>46377</v>
      </c>
      <c r="F261" s="11" t="n">
        <f aca="false">(E261-D261)/7</f>
        <v>80.2857142857143</v>
      </c>
      <c r="G261" s="11" t="n">
        <f aca="true">(TODAY()-D261)/7</f>
        <v>50.8571428571429</v>
      </c>
      <c r="H261" s="12" t="n">
        <v>80</v>
      </c>
      <c r="I261" s="12" t="n">
        <v>48</v>
      </c>
      <c r="J261" s="13" t="n">
        <f aca="false">IFERROR(((G261*H261)/F261)-I261,"")</f>
        <v>2.67615658362988</v>
      </c>
      <c r="K261" s="12" t="str">
        <f aca="false">IF(J261&lt;-10,"MUITO ADIANTADO",IF(J261&lt;-6,"ADIANTADO",IF(J261&lt;6,"EM DIAS",IF(J261&lt;12,"ATRASADO","MUITO ATRASADO"))))</f>
        <v>EM DIAS</v>
      </c>
      <c r="L261" s="9" t="n">
        <v>46165</v>
      </c>
      <c r="M261" s="6" t="n">
        <f aca="true">TODAY()-L261</f>
        <v>6</v>
      </c>
      <c r="N261" s="1" t="str">
        <f aca="false">IF(M261&lt;8,"VERIFICADO",IF(M261&lt;15,"VERIFICAR","VERIFICAR URGENTE"))</f>
        <v>VERIFICADO</v>
      </c>
    </row>
    <row r="262" customFormat="false" ht="15" hidden="false" customHeight="false" outlineLevel="0" collapsed="false">
      <c r="A262" s="6" t="s">
        <v>277</v>
      </c>
      <c r="B262" s="7" t="s">
        <v>22</v>
      </c>
      <c r="C262" s="8" t="n">
        <f aca="false">L262</f>
        <v>46164</v>
      </c>
      <c r="D262" s="9" t="n">
        <v>45884</v>
      </c>
      <c r="E262" s="10" t="n">
        <v>46446</v>
      </c>
      <c r="F262" s="11" t="n">
        <f aca="false">(E262-D262)/7</f>
        <v>80.2857142857143</v>
      </c>
      <c r="G262" s="11" t="n">
        <f aca="true">(TODAY()-D262)/7</f>
        <v>41</v>
      </c>
      <c r="H262" s="12" t="n">
        <v>97</v>
      </c>
      <c r="I262" s="12" t="n">
        <v>45</v>
      </c>
      <c r="J262" s="13" t="n">
        <f aca="false">IFERROR(((G262*H262)/F262)-I262,"")</f>
        <v>4.53558718861208</v>
      </c>
      <c r="K262" s="12" t="str">
        <f aca="false">IF(J262&lt;-10,"MUITO ADIANTADO",IF(J262&lt;-6,"ADIANTADO",IF(J262&lt;6,"EM DIAS",IF(J262&lt;12,"ATRASADO","MUITO ATRASADO"))))</f>
        <v>EM DIAS</v>
      </c>
      <c r="L262" s="9" t="n">
        <v>46164</v>
      </c>
      <c r="M262" s="6" t="n">
        <f aca="true">TODAY()-L262</f>
        <v>7</v>
      </c>
      <c r="N262" s="1" t="str">
        <f aca="false">IF(M262&lt;8,"VERIFICADO",IF(M262&lt;15,"VERIFICAR","VERIFICAR URGENTE"))</f>
        <v>VERIFICADO</v>
      </c>
    </row>
    <row r="263" customFormat="false" ht="15" hidden="false" customHeight="false" outlineLevel="0" collapsed="false">
      <c r="A263" s="6" t="s">
        <v>278</v>
      </c>
      <c r="B263" s="7" t="s">
        <v>65</v>
      </c>
      <c r="C263" s="8" t="n">
        <f aca="false">L263</f>
        <v>46157</v>
      </c>
      <c r="D263" s="9" t="n">
        <v>45806</v>
      </c>
      <c r="E263" s="10" t="n">
        <v>46249</v>
      </c>
      <c r="F263" s="11" t="n">
        <f aca="false">(E263-D263)/7</f>
        <v>63.2857142857143</v>
      </c>
      <c r="G263" s="11" t="n">
        <f aca="true">(TODAY()-D263)/7</f>
        <v>52.1428571428571</v>
      </c>
      <c r="H263" s="12" t="n">
        <v>100</v>
      </c>
      <c r="I263" s="12" t="n">
        <v>45</v>
      </c>
      <c r="J263" s="13" t="n">
        <f aca="false">IFERROR(((G263*H263)/F263)-I263,"")</f>
        <v>37.392776523702</v>
      </c>
      <c r="K263" s="12" t="str">
        <f aca="false">IF(J263&lt;-10,"MUITO ADIANTADO",IF(J263&lt;-6,"ADIANTADO",IF(J263&lt;6,"EM DIAS",IF(J263&lt;12,"ATRASADO","MUITO ATRASADO"))))</f>
        <v>MUITO ATRASADO</v>
      </c>
      <c r="L263" s="9" t="n">
        <v>46157</v>
      </c>
      <c r="M263" s="6" t="n">
        <f aca="true">TODAY()-L263</f>
        <v>14</v>
      </c>
      <c r="N263" s="1" t="str">
        <f aca="false">IF(M263&lt;8,"VERIFICADO",IF(M263&lt;15,"VERIFICAR","VERIFICAR URGENTE"))</f>
        <v>VERIFICAR</v>
      </c>
    </row>
    <row r="264" customFormat="false" ht="15" hidden="false" customHeight="false" outlineLevel="0" collapsed="false">
      <c r="A264" s="6" t="s">
        <v>279</v>
      </c>
      <c r="B264" s="7" t="s">
        <v>24</v>
      </c>
      <c r="C264" s="8" t="n">
        <f aca="false">L264</f>
        <v>46161</v>
      </c>
      <c r="D264" s="9" t="n">
        <v>45433</v>
      </c>
      <c r="E264" s="10" t="n">
        <v>46233</v>
      </c>
      <c r="F264" s="11" t="n">
        <f aca="false">(E264-D264)/7</f>
        <v>114.285714285714</v>
      </c>
      <c r="G264" s="11" t="n">
        <f aca="true">(TODAY()-D264)/7</f>
        <v>105.428571428571</v>
      </c>
      <c r="H264" s="12" t="n">
        <v>176</v>
      </c>
      <c r="I264" s="12" t="n">
        <v>162</v>
      </c>
      <c r="J264" s="13" t="n">
        <f aca="false">IFERROR(((G264*H264)/F264)-I264,"")</f>
        <v>0.360000000000412</v>
      </c>
      <c r="K264" s="12" t="str">
        <f aca="false">IF(J264&lt;-10,"MUITO ADIANTADO",IF(J264&lt;-6,"ADIANTADO",IF(J264&lt;6,"EM DIAS",IF(J264&lt;12,"ATRASADO","MUITO ATRASADO"))))</f>
        <v>EM DIAS</v>
      </c>
      <c r="L264" s="9" t="n">
        <v>46161</v>
      </c>
      <c r="M264" s="6" t="n">
        <f aca="true">TODAY()-L264</f>
        <v>10</v>
      </c>
      <c r="N264" s="1" t="str">
        <f aca="false">IF(M264&lt;8,"VERIFICADO",IF(M264&lt;15,"VERIFICAR","VERIFICAR URGENTE"))</f>
        <v>VERIFICAR</v>
      </c>
    </row>
    <row r="265" customFormat="false" ht="15" hidden="false" customHeight="false" outlineLevel="0" collapsed="false">
      <c r="A265" s="6" t="s">
        <v>280</v>
      </c>
      <c r="B265" s="7" t="s">
        <v>15</v>
      </c>
      <c r="C265" s="8" t="n">
        <f aca="false">L265</f>
        <v>46164</v>
      </c>
      <c r="D265" s="9" t="n">
        <v>45918</v>
      </c>
      <c r="E265" s="10" t="n">
        <v>46507</v>
      </c>
      <c r="F265" s="11" t="n">
        <f aca="false">(E265-D265)/7</f>
        <v>84.1428571428571</v>
      </c>
      <c r="G265" s="11" t="n">
        <f aca="true">(TODAY()-D265)/7</f>
        <v>36.1428571428571</v>
      </c>
      <c r="H265" s="12" t="n">
        <v>128</v>
      </c>
      <c r="I265" s="12" t="n">
        <v>45</v>
      </c>
      <c r="J265" s="13" t="n">
        <f aca="false">IFERROR(((G265*H265)/F265)-I265,"")</f>
        <v>9.98132427843807</v>
      </c>
      <c r="K265" s="12" t="str">
        <f aca="false">IF(J265&lt;-10,"MUITO ADIANTADO",IF(J265&lt;-6,"ADIANTADO",IF(J265&lt;6,"EM DIAS",IF(J265&lt;12,"ATRASADO","MUITO ATRASADO"))))</f>
        <v>ATRASADO</v>
      </c>
      <c r="L265" s="9" t="n">
        <v>46164</v>
      </c>
      <c r="M265" s="6" t="n">
        <f aca="true">TODAY()-L265</f>
        <v>7</v>
      </c>
      <c r="N265" s="1" t="str">
        <f aca="false">IF(M265&lt;8,"VERIFICADO",IF(M265&lt;15,"VERIFICAR","VERIFICAR URGENTE"))</f>
        <v>VERIFICADO</v>
      </c>
    </row>
    <row r="266" customFormat="false" ht="15" hidden="false" customHeight="false" outlineLevel="0" collapsed="false">
      <c r="A266" s="6" t="s">
        <v>281</v>
      </c>
      <c r="B266" s="7" t="s">
        <v>15</v>
      </c>
      <c r="C266" s="8" t="n">
        <f aca="false">L266</f>
        <v>46164</v>
      </c>
      <c r="D266" s="9" t="n">
        <v>45828</v>
      </c>
      <c r="E266" s="10" t="n">
        <v>46429</v>
      </c>
      <c r="F266" s="11" t="n">
        <f aca="false">(E266-D266)/7</f>
        <v>85.8571428571429</v>
      </c>
      <c r="G266" s="11" t="n">
        <f aca="true">(TODAY()-D266)/7</f>
        <v>49</v>
      </c>
      <c r="H266" s="12" t="n">
        <v>80</v>
      </c>
      <c r="I266" s="12" t="n">
        <v>49</v>
      </c>
      <c r="J266" s="13" t="n">
        <f aca="false">IFERROR(((G266*H266)/F266)-I266,"")</f>
        <v>-3.34276206322798</v>
      </c>
      <c r="K266" s="12" t="str">
        <f aca="false">IF(J266&lt;-10,"MUITO ADIANTADO",IF(J266&lt;-6,"ADIANTADO",IF(J266&lt;6,"EM DIAS",IF(J266&lt;12,"ATRASADO","MUITO ATRASADO"))))</f>
        <v>EM DIAS</v>
      </c>
      <c r="L266" s="9" t="n">
        <v>46164</v>
      </c>
      <c r="M266" s="6" t="n">
        <f aca="true">TODAY()-L266</f>
        <v>7</v>
      </c>
      <c r="N266" s="1" t="str">
        <f aca="false">IF(M266&lt;8,"VERIFICADO",IF(M266&lt;15,"VERIFICAR","VERIFICAR URGENTE"))</f>
        <v>VERIFICADO</v>
      </c>
    </row>
    <row r="267" customFormat="false" ht="15" hidden="false" customHeight="false" outlineLevel="0" collapsed="false">
      <c r="A267" s="6" t="s">
        <v>282</v>
      </c>
      <c r="B267" s="7" t="s">
        <v>24</v>
      </c>
      <c r="C267" s="8" t="n">
        <f aca="false">L267</f>
        <v>46164</v>
      </c>
      <c r="D267" s="9" t="n">
        <v>46122</v>
      </c>
      <c r="E267" s="10" t="n">
        <v>46262</v>
      </c>
      <c r="F267" s="11" t="n">
        <f aca="false">(E267-D267)/7</f>
        <v>20</v>
      </c>
      <c r="G267" s="11" t="n">
        <f aca="true">(TODAY()-D267)/7</f>
        <v>7</v>
      </c>
      <c r="H267" s="12" t="n">
        <v>16</v>
      </c>
      <c r="I267" s="12" t="n">
        <v>10</v>
      </c>
      <c r="J267" s="13" t="n">
        <f aca="false">IFERROR(((G267*H267)/F267)-I267,"")</f>
        <v>-4.4</v>
      </c>
      <c r="K267" s="12" t="str">
        <f aca="false">IF(J267&lt;-10,"MUITO ADIANTADO",IF(J267&lt;-6,"ADIANTADO",IF(J267&lt;6,"EM DIAS",IF(J267&lt;12,"ATRASADO","MUITO ATRASADO"))))</f>
        <v>EM DIAS</v>
      </c>
      <c r="L267" s="9" t="n">
        <v>46164</v>
      </c>
      <c r="M267" s="6" t="n">
        <f aca="true">TODAY()-L267</f>
        <v>7</v>
      </c>
      <c r="N267" s="1" t="str">
        <f aca="false">IF(M267&lt;8,"VERIFICADO",IF(M267&lt;15,"VERIFICAR","VERIFICAR URGENTE"))</f>
        <v>VERIFICADO</v>
      </c>
    </row>
    <row r="268" customFormat="false" ht="15" hidden="false" customHeight="false" outlineLevel="0" collapsed="false">
      <c r="A268" s="6" t="s">
        <v>283</v>
      </c>
      <c r="B268" s="7" t="s">
        <v>15</v>
      </c>
      <c r="C268" s="8" t="n">
        <f aca="false">L268</f>
        <v>46164</v>
      </c>
      <c r="D268" s="9" t="n">
        <v>45887</v>
      </c>
      <c r="E268" s="10" t="n">
        <v>46685</v>
      </c>
      <c r="F268" s="11" t="n">
        <f aca="false">(E268-D268)/7</f>
        <v>114</v>
      </c>
      <c r="G268" s="11" t="n">
        <f aca="true">(TODAY()-D268)/7</f>
        <v>40.5714285714286</v>
      </c>
      <c r="H268" s="12" t="n">
        <v>128</v>
      </c>
      <c r="I268" s="12" t="n">
        <v>42</v>
      </c>
      <c r="J268" s="13" t="n">
        <f aca="false">IFERROR(((G268*H268)/F268)-I268,"")</f>
        <v>3.55388471177945</v>
      </c>
      <c r="K268" s="12" t="str">
        <f aca="false">IF(J268&lt;-10,"MUITO ADIANTADO",IF(J268&lt;-6,"ADIANTADO",IF(J268&lt;6,"EM DIAS",IF(J268&lt;12,"ATRASADO","MUITO ATRASADO"))))</f>
        <v>EM DIAS</v>
      </c>
      <c r="L268" s="9" t="n">
        <v>46164</v>
      </c>
      <c r="M268" s="6" t="n">
        <f aca="true">TODAY()-L268</f>
        <v>7</v>
      </c>
      <c r="N268" s="1" t="str">
        <f aca="false">IF(M268&lt;8,"VERIFICADO",IF(M268&lt;15,"VERIFICAR","VERIFICAR URGENTE"))</f>
        <v>VERIFICADO</v>
      </c>
    </row>
    <row r="269" customFormat="false" ht="15" hidden="false" customHeight="false" outlineLevel="0" collapsed="false">
      <c r="A269" s="6" t="s">
        <v>284</v>
      </c>
      <c r="B269" s="7" t="s">
        <v>19</v>
      </c>
      <c r="C269" s="8" t="n">
        <f aca="false">L269</f>
        <v>46160</v>
      </c>
      <c r="D269" s="9" t="n">
        <v>45880</v>
      </c>
      <c r="E269" s="10" t="n">
        <v>46661</v>
      </c>
      <c r="F269" s="11" t="n">
        <f aca="false">(E269-D269)/7</f>
        <v>111.571428571429</v>
      </c>
      <c r="G269" s="11" t="n">
        <f aca="true">(TODAY()-D269)/7</f>
        <v>41.5714285714286</v>
      </c>
      <c r="H269" s="12" t="n">
        <v>116</v>
      </c>
      <c r="I269" s="12" t="n">
        <v>52</v>
      </c>
      <c r="J269" s="13" t="n">
        <f aca="false">IFERROR(((G269*H269)/F269)-I269,"")</f>
        <v>-8.77848911651746</v>
      </c>
      <c r="K269" s="12" t="str">
        <f aca="false">IF(J269&lt;-10,"MUITO ADIANTADO",IF(J269&lt;-6,"ADIANTADO",IF(J269&lt;6,"EM DIAS",IF(J269&lt;12,"ATRASADO","MUITO ATRASADO"))))</f>
        <v>ADIANTADO</v>
      </c>
      <c r="L269" s="9" t="n">
        <v>46160</v>
      </c>
      <c r="M269" s="6" t="n">
        <f aca="true">TODAY()-L269</f>
        <v>11</v>
      </c>
      <c r="N269" s="1" t="str">
        <f aca="false">IF(M269&lt;8,"VERIFICADO",IF(M269&lt;15,"VERIFICAR","VERIFICAR URGENTE"))</f>
        <v>VERIFICAR</v>
      </c>
    </row>
    <row r="270" customFormat="false" ht="15" hidden="false" customHeight="false" outlineLevel="0" collapsed="false">
      <c r="A270" s="6" t="s">
        <v>285</v>
      </c>
      <c r="B270" s="7" t="s">
        <v>19</v>
      </c>
      <c r="C270" s="8" t="n">
        <f aca="false">L270</f>
        <v>46157</v>
      </c>
      <c r="D270" s="9" t="n">
        <v>45947</v>
      </c>
      <c r="E270" s="10" t="n">
        <v>46861</v>
      </c>
      <c r="F270" s="11" t="n">
        <f aca="false">(E270-D270)/7</f>
        <v>130.571428571429</v>
      </c>
      <c r="G270" s="11" t="n">
        <f aca="true">(TODAY()-D270)/7</f>
        <v>32</v>
      </c>
      <c r="H270" s="12" t="n">
        <v>128</v>
      </c>
      <c r="I270" s="12" t="n">
        <v>37</v>
      </c>
      <c r="J270" s="13" t="n">
        <f aca="false">IFERROR(((G270*H270)/F270)-I270,"")</f>
        <v>-5.63019693654277</v>
      </c>
      <c r="K270" s="12" t="str">
        <f aca="false">IF(J270&lt;-10,"MUITO ADIANTADO",IF(J270&lt;-6,"ADIANTADO",IF(J270&lt;6,"EM DIAS",IF(J270&lt;12,"ATRASADO","MUITO ATRASADO"))))</f>
        <v>EM DIAS</v>
      </c>
      <c r="L270" s="9" t="n">
        <v>46157</v>
      </c>
      <c r="M270" s="6" t="n">
        <f aca="true">TODAY()-L270</f>
        <v>14</v>
      </c>
      <c r="N270" s="1" t="str">
        <f aca="false">IF(M270&lt;8,"VERIFICADO",IF(M270&lt;15,"VERIFICAR","VERIFICAR URGENTE"))</f>
        <v>VERIFICAR</v>
      </c>
    </row>
    <row r="271" customFormat="false" ht="15" hidden="false" customHeight="false" outlineLevel="0" collapsed="false">
      <c r="A271" s="6" t="s">
        <v>286</v>
      </c>
      <c r="B271" s="7" t="s">
        <v>19</v>
      </c>
      <c r="C271" s="8" t="n">
        <f aca="false">L271</f>
        <v>46160</v>
      </c>
      <c r="D271" s="9" t="n">
        <v>45958</v>
      </c>
      <c r="E271" s="10" t="n">
        <v>46199</v>
      </c>
      <c r="F271" s="11" t="n">
        <f aca="false">(E271-D271)/7</f>
        <v>34.4285714285714</v>
      </c>
      <c r="G271" s="11" t="n">
        <f aca="true">(TODAY()-D271)/7</f>
        <v>30.4285714285714</v>
      </c>
      <c r="H271" s="12" t="n">
        <v>32</v>
      </c>
      <c r="I271" s="12" t="n">
        <v>38</v>
      </c>
      <c r="J271" s="13" t="n">
        <f aca="false">IFERROR(((G271*H271)/F271)-I271,"")</f>
        <v>-9.71784232365143</v>
      </c>
      <c r="K271" s="12" t="str">
        <f aca="false">IF(J271&lt;-10,"MUITO ADIANTADO",IF(J271&lt;-6,"ADIANTADO",IF(J271&lt;6,"EM DIAS",IF(J271&lt;12,"ATRASADO","MUITO ATRASADO"))))</f>
        <v>ADIANTADO</v>
      </c>
      <c r="L271" s="9" t="n">
        <v>46160</v>
      </c>
      <c r="M271" s="6" t="n">
        <f aca="true">TODAY()-L271</f>
        <v>11</v>
      </c>
      <c r="N271" s="1" t="str">
        <f aca="false">IF(M271&lt;8,"VERIFICADO",IF(M271&lt;15,"VERIFICAR","VERIFICAR URGENTE"))</f>
        <v>VERIFICAR</v>
      </c>
    </row>
    <row r="272" customFormat="false" ht="15" hidden="false" customHeight="false" outlineLevel="0" collapsed="false">
      <c r="A272" s="6" t="s">
        <v>287</v>
      </c>
      <c r="B272" s="7" t="s">
        <v>19</v>
      </c>
      <c r="C272" s="8" t="n">
        <f aca="false">L272</f>
        <v>46157</v>
      </c>
      <c r="D272" s="9" t="n">
        <v>45841</v>
      </c>
      <c r="E272" s="10" t="n">
        <v>46250</v>
      </c>
      <c r="F272" s="11" t="n">
        <f aca="false">(E272-D272)/7</f>
        <v>58.4285714285714</v>
      </c>
      <c r="G272" s="11" t="n">
        <f aca="true">(TODAY()-D272)/7</f>
        <v>47.1428571428571</v>
      </c>
      <c r="H272" s="12" t="n">
        <v>80</v>
      </c>
      <c r="I272" s="12" t="n">
        <v>62</v>
      </c>
      <c r="J272" s="13" t="n">
        <f aca="false">IFERROR(((G272*H272)/F272)-I272,"")</f>
        <v>2.54767726161373</v>
      </c>
      <c r="K272" s="12" t="str">
        <f aca="false">IF(J272&lt;-10,"MUITO ADIANTADO",IF(J272&lt;-6,"ADIANTADO",IF(J272&lt;6,"EM DIAS",IF(J272&lt;12,"ATRASADO","MUITO ATRASADO"))))</f>
        <v>EM DIAS</v>
      </c>
      <c r="L272" s="9" t="n">
        <v>46157</v>
      </c>
      <c r="M272" s="6" t="n">
        <f aca="true">TODAY()-L272</f>
        <v>14</v>
      </c>
      <c r="N272" s="1" t="str">
        <f aca="false">IF(M272&lt;8,"VERIFICADO",IF(M272&lt;15,"VERIFICAR","VERIFICAR URGENTE"))</f>
        <v>VERIFICAR</v>
      </c>
    </row>
    <row r="273" customFormat="false" ht="15" hidden="false" customHeight="false" outlineLevel="0" collapsed="false">
      <c r="A273" s="6" t="s">
        <v>288</v>
      </c>
      <c r="B273" s="7" t="s">
        <v>19</v>
      </c>
      <c r="C273" s="8" t="n">
        <f aca="false">L273</f>
        <v>46157</v>
      </c>
      <c r="D273" s="9" t="n">
        <v>45695</v>
      </c>
      <c r="E273" s="10" t="n">
        <v>46280</v>
      </c>
      <c r="F273" s="11" t="n">
        <f aca="false">(E273-D273)/7</f>
        <v>83.5714285714286</v>
      </c>
      <c r="G273" s="11" t="n">
        <f aca="true">(TODAY()-D273)/7</f>
        <v>68</v>
      </c>
      <c r="H273" s="12" t="n">
        <v>80</v>
      </c>
      <c r="I273" s="12" t="n">
        <v>62</v>
      </c>
      <c r="J273" s="13" t="n">
        <f aca="false">IFERROR(((G273*H273)/F273)-I273,"")</f>
        <v>3.09401709401708</v>
      </c>
      <c r="K273" s="12" t="str">
        <f aca="false">IF(J273&lt;-10,"MUITO ADIANTADO",IF(J273&lt;-6,"ADIANTADO",IF(J273&lt;6,"EM DIAS",IF(J273&lt;12,"ATRASADO","MUITO ATRASADO"))))</f>
        <v>EM DIAS</v>
      </c>
      <c r="L273" s="9" t="n">
        <v>46157</v>
      </c>
      <c r="M273" s="6" t="n">
        <f aca="true">TODAY()-L273</f>
        <v>14</v>
      </c>
      <c r="N273" s="1" t="str">
        <f aca="false">IF(M273&lt;8,"VERIFICADO",IF(M273&lt;15,"VERIFICAR","VERIFICAR URGENTE"))</f>
        <v>VERIFICAR</v>
      </c>
    </row>
    <row r="274" customFormat="false" ht="15" hidden="false" customHeight="false" outlineLevel="0" collapsed="false">
      <c r="A274" s="6" t="s">
        <v>289</v>
      </c>
      <c r="B274" s="7" t="s">
        <v>19</v>
      </c>
      <c r="C274" s="8" t="n">
        <f aca="false">L274</f>
        <v>46157</v>
      </c>
      <c r="D274" s="9" t="n">
        <v>45629</v>
      </c>
      <c r="E274" s="10" t="n">
        <v>46182</v>
      </c>
      <c r="F274" s="11" t="n">
        <f aca="false">(E274-D274)/7</f>
        <v>79</v>
      </c>
      <c r="G274" s="11" t="n">
        <f aca="true">(TODAY()-D274)/7</f>
        <v>77.4285714285714</v>
      </c>
      <c r="H274" s="12" t="n">
        <v>96</v>
      </c>
      <c r="I274" s="12" t="n">
        <v>89</v>
      </c>
      <c r="J274" s="13" t="n">
        <f aca="false">IFERROR(((G274*H274)/F274)-I274,"")</f>
        <v>5.09041591320072</v>
      </c>
      <c r="K274" s="12" t="str">
        <f aca="false">IF(J274&lt;-10,"MUITO ADIANTADO",IF(J274&lt;-6,"ADIANTADO",IF(J274&lt;6,"EM DIAS",IF(J274&lt;12,"ATRASADO","MUITO ATRASADO"))))</f>
        <v>EM DIAS</v>
      </c>
      <c r="L274" s="9" t="n">
        <v>46157</v>
      </c>
      <c r="M274" s="6" t="n">
        <f aca="true">TODAY()-L274</f>
        <v>14</v>
      </c>
      <c r="N274" s="1" t="str">
        <f aca="false">IF(M274&lt;8,"VERIFICADO",IF(M274&lt;15,"VERIFICAR","VERIFICAR URGENTE"))</f>
        <v>VERIFICAR</v>
      </c>
    </row>
    <row r="275" customFormat="false" ht="15" hidden="false" customHeight="false" outlineLevel="0" collapsed="false">
      <c r="A275" s="6" t="s">
        <v>290</v>
      </c>
      <c r="B275" s="7" t="s">
        <v>24</v>
      </c>
      <c r="C275" s="8" t="n">
        <f aca="false">L275</f>
        <v>46158</v>
      </c>
      <c r="D275" s="9" t="n">
        <v>46053</v>
      </c>
      <c r="E275" s="10" t="n">
        <v>46784</v>
      </c>
      <c r="F275" s="11" t="n">
        <f aca="false">(E275-D275)/7</f>
        <v>104.428571428571</v>
      </c>
      <c r="G275" s="11" t="n">
        <f aca="true">(TODAY()-D275)/7</f>
        <v>16.8571428571429</v>
      </c>
      <c r="H275" s="12" t="n">
        <v>96</v>
      </c>
      <c r="I275" s="12" t="n">
        <v>20</v>
      </c>
      <c r="J275" s="13" t="n">
        <f aca="false">IFERROR(((G275*H275)/F275)-I275,"")</f>
        <v>-4.50341997264016</v>
      </c>
      <c r="K275" s="12" t="str">
        <f aca="false">IF(J275&lt;-10,"MUITO ADIANTADO",IF(J275&lt;-6,"ADIANTADO",IF(J275&lt;6,"EM DIAS",IF(J275&lt;12,"ATRASADO","MUITO ATRASADO"))))</f>
        <v>EM DIAS</v>
      </c>
      <c r="L275" s="9" t="n">
        <v>46158</v>
      </c>
      <c r="M275" s="6" t="n">
        <f aca="true">TODAY()-L275</f>
        <v>13</v>
      </c>
      <c r="N275" s="1" t="str">
        <f aca="false">IF(M275&lt;8,"VERIFICADO",IF(M275&lt;15,"VERIFICAR","VERIFICAR URGENTE"))</f>
        <v>VERIFICAR</v>
      </c>
    </row>
    <row r="276" customFormat="false" ht="15" hidden="false" customHeight="false" outlineLevel="0" collapsed="false">
      <c r="A276" s="6" t="s">
        <v>291</v>
      </c>
      <c r="B276" s="7" t="s">
        <v>22</v>
      </c>
      <c r="C276" s="8" t="n">
        <f aca="false">L276</f>
        <v>46165</v>
      </c>
      <c r="D276" s="9" t="n">
        <v>45955</v>
      </c>
      <c r="E276" s="10" t="n">
        <v>46376</v>
      </c>
      <c r="F276" s="11" t="n">
        <f aca="false">(E276-D276)/7</f>
        <v>60.1428571428571</v>
      </c>
      <c r="G276" s="11" t="n">
        <f aca="true">(TODAY()-D276)/7</f>
        <v>30.8571428571429</v>
      </c>
      <c r="H276" s="12" t="n">
        <v>64</v>
      </c>
      <c r="I276" s="12" t="n">
        <v>38</v>
      </c>
      <c r="J276" s="13" t="n">
        <f aca="false">IFERROR(((G276*H276)/F276)-I276,"")</f>
        <v>-5.16389548693584</v>
      </c>
      <c r="K276" s="12" t="str">
        <f aca="false">IF(J276&lt;-10,"MUITO ADIANTADO",IF(J276&lt;-6,"ADIANTADO",IF(J276&lt;6,"EM DIAS",IF(J276&lt;12,"ATRASADO","MUITO ATRASADO"))))</f>
        <v>EM DIAS</v>
      </c>
      <c r="L276" s="9" t="n">
        <v>46165</v>
      </c>
      <c r="M276" s="6" t="n">
        <f aca="true">TODAY()-L276</f>
        <v>6</v>
      </c>
      <c r="N276" s="1" t="str">
        <f aca="false">IF(M276&lt;8,"VERIFICADO",IF(M276&lt;15,"VERIFICAR","VERIFICAR URGENTE"))</f>
        <v>VERIFICADO</v>
      </c>
    </row>
    <row r="277" customFormat="false" ht="15" hidden="false" customHeight="false" outlineLevel="0" collapsed="false">
      <c r="A277" s="6" t="s">
        <v>292</v>
      </c>
      <c r="B277" s="7" t="s">
        <v>22</v>
      </c>
      <c r="C277" s="8" t="n">
        <f aca="false">L277</f>
        <v>46162</v>
      </c>
      <c r="D277" s="9" t="n">
        <v>45916</v>
      </c>
      <c r="E277" s="10" t="n">
        <v>46481</v>
      </c>
      <c r="F277" s="11" t="n">
        <f aca="false">(E277-D277)/7</f>
        <v>80.7142857142857</v>
      </c>
      <c r="G277" s="11" t="n">
        <f aca="true">(TODAY()-D277)/7</f>
        <v>36.4285714285714</v>
      </c>
      <c r="H277" s="12" t="n">
        <v>80</v>
      </c>
      <c r="I277" s="12" t="n">
        <v>29</v>
      </c>
      <c r="J277" s="13" t="n">
        <f aca="false">IFERROR(((G277*H277)/F277)-I277,"")</f>
        <v>7.1061946902655</v>
      </c>
      <c r="K277" s="12" t="str">
        <f aca="false">IF(J277&lt;-10,"MUITO ADIANTADO",IF(J277&lt;-6,"ADIANTADO",IF(J277&lt;6,"EM DIAS",IF(J277&lt;12,"ATRASADO","MUITO ATRASADO"))))</f>
        <v>ATRASADO</v>
      </c>
      <c r="L277" s="9" t="n">
        <v>46162</v>
      </c>
      <c r="M277" s="6" t="n">
        <f aca="true">TODAY()-L277</f>
        <v>9</v>
      </c>
      <c r="N277" s="1" t="str">
        <f aca="false">IF(M277&lt;8,"VERIFICADO",IF(M277&lt;15,"VERIFICAR","VERIFICAR URGENTE"))</f>
        <v>VERIFICAR</v>
      </c>
    </row>
    <row r="278" customFormat="false" ht="15" hidden="false" customHeight="false" outlineLevel="0" collapsed="false">
      <c r="A278" s="6" t="s">
        <v>293</v>
      </c>
      <c r="B278" s="7" t="s">
        <v>24</v>
      </c>
      <c r="C278" s="8" t="n">
        <f aca="false">L278</f>
        <v>46164</v>
      </c>
      <c r="D278" s="9" t="n">
        <v>45665</v>
      </c>
      <c r="E278" s="10" t="n">
        <v>46629</v>
      </c>
      <c r="F278" s="11" t="n">
        <f aca="false">(E278-D278)/7</f>
        <v>137.714285714286</v>
      </c>
      <c r="G278" s="11" t="n">
        <f aca="true">(TODAY()-D278)/7</f>
        <v>72.2857142857143</v>
      </c>
      <c r="H278" s="12" t="n">
        <v>160</v>
      </c>
      <c r="I278" s="12" t="n">
        <v>81</v>
      </c>
      <c r="J278" s="13" t="n">
        <f aca="false">IFERROR(((G278*H278)/F278)-I278,"")</f>
        <v>2.98340248962639</v>
      </c>
      <c r="K278" s="12" t="str">
        <f aca="false">IF(J278&lt;-10,"MUITO ADIANTADO",IF(J278&lt;-6,"ADIANTADO",IF(J278&lt;6,"EM DIAS",IF(J278&lt;12,"ATRASADO","MUITO ATRASADO"))))</f>
        <v>EM DIAS</v>
      </c>
      <c r="L278" s="9" t="n">
        <v>46164</v>
      </c>
      <c r="M278" s="6" t="n">
        <f aca="true">TODAY()-L278</f>
        <v>7</v>
      </c>
      <c r="N278" s="1" t="str">
        <f aca="false">IF(M278&lt;8,"VERIFICADO",IF(M278&lt;15,"VERIFICAR","VERIFICAR URGENTE"))</f>
        <v>VERIFICADO</v>
      </c>
    </row>
    <row r="279" customFormat="false" ht="15" hidden="false" customHeight="false" outlineLevel="0" collapsed="false">
      <c r="A279" s="6" t="s">
        <v>294</v>
      </c>
      <c r="B279" s="7" t="s">
        <v>19</v>
      </c>
      <c r="C279" s="8" t="n">
        <f aca="false">L279</f>
        <v>46157</v>
      </c>
      <c r="D279" s="9" t="n">
        <v>46045</v>
      </c>
      <c r="E279" s="10" t="n">
        <v>46285</v>
      </c>
      <c r="F279" s="11" t="n">
        <f aca="false">(E279-D279)/7</f>
        <v>34.2857142857143</v>
      </c>
      <c r="G279" s="11" t="n">
        <f aca="true">(TODAY()-D279)/7</f>
        <v>18</v>
      </c>
      <c r="H279" s="12" t="n">
        <v>48</v>
      </c>
      <c r="I279" s="12" t="n">
        <v>9</v>
      </c>
      <c r="J279" s="13" t="n">
        <f aca="false">IFERROR(((G279*H279)/F279)-I279,"")</f>
        <v>16.2</v>
      </c>
      <c r="K279" s="12" t="str">
        <f aca="false">IF(J279&lt;-10,"MUITO ADIANTADO",IF(J279&lt;-6,"ADIANTADO",IF(J279&lt;6,"EM DIAS",IF(J279&lt;12,"ATRASADO","MUITO ATRASADO"))))</f>
        <v>MUITO ATRASADO</v>
      </c>
      <c r="L279" s="9" t="n">
        <v>46157</v>
      </c>
      <c r="M279" s="6" t="n">
        <f aca="true">TODAY()-L279</f>
        <v>14</v>
      </c>
      <c r="N279" s="1" t="str">
        <f aca="false">IF(M279&lt;8,"VERIFICADO",IF(M279&lt;15,"VERIFICAR","VERIFICAR URGENTE"))</f>
        <v>VERIFICAR</v>
      </c>
    </row>
    <row r="280" customFormat="false" ht="15" hidden="false" customHeight="false" outlineLevel="0" collapsed="false">
      <c r="A280" s="6" t="s">
        <v>295</v>
      </c>
      <c r="B280" s="7" t="s">
        <v>24</v>
      </c>
      <c r="C280" s="8" t="n">
        <f aca="false">L280</f>
        <v>46160</v>
      </c>
      <c r="D280" s="9" t="n">
        <v>45678</v>
      </c>
      <c r="E280" s="10" t="n">
        <v>46686</v>
      </c>
      <c r="F280" s="11" t="n">
        <f aca="false">(E280-D280)/7</f>
        <v>144</v>
      </c>
      <c r="G280" s="11" t="n">
        <f aca="true">(TODAY()-D280)/7</f>
        <v>70.4285714285714</v>
      </c>
      <c r="H280" s="12" t="n">
        <v>128</v>
      </c>
      <c r="I280" s="12" t="n">
        <v>60</v>
      </c>
      <c r="J280" s="13" t="n">
        <f aca="false">IFERROR(((G280*H280)/F280)-I280,"")</f>
        <v>2.60317460317461</v>
      </c>
      <c r="K280" s="12" t="str">
        <f aca="false">IF(J280&lt;-10,"MUITO ADIANTADO",IF(J280&lt;-6,"ADIANTADO",IF(J280&lt;6,"EM DIAS",IF(J280&lt;12,"ATRASADO","MUITO ATRASADO"))))</f>
        <v>EM DIAS</v>
      </c>
      <c r="L280" s="9" t="n">
        <v>46160</v>
      </c>
      <c r="M280" s="6" t="n">
        <f aca="true">TODAY()-L280</f>
        <v>11</v>
      </c>
      <c r="N280" s="1" t="str">
        <f aca="false">IF(M280&lt;8,"VERIFICADO",IF(M280&lt;15,"VERIFICAR","VERIFICAR URGENTE"))</f>
        <v>VERIFICAR</v>
      </c>
    </row>
    <row r="281" customFormat="false" ht="15" hidden="false" customHeight="false" outlineLevel="0" collapsed="false">
      <c r="A281" s="6" t="s">
        <v>296</v>
      </c>
      <c r="B281" s="7" t="s">
        <v>15</v>
      </c>
      <c r="C281" s="8" t="n">
        <f aca="false">L281</f>
        <v>46165</v>
      </c>
      <c r="D281" s="9" t="n">
        <v>45752</v>
      </c>
      <c r="E281" s="10" t="n">
        <v>46356</v>
      </c>
      <c r="F281" s="11" t="n">
        <f aca="false">(E281-D281)/7</f>
        <v>86.2857142857143</v>
      </c>
      <c r="G281" s="11" t="n">
        <f aca="true">(TODAY()-D281)/7</f>
        <v>59.8571428571429</v>
      </c>
      <c r="H281" s="12" t="n">
        <v>112</v>
      </c>
      <c r="I281" s="12" t="n">
        <v>69</v>
      </c>
      <c r="J281" s="13" t="n">
        <f aca="false">IFERROR(((G281*H281)/F281)-I281,"")</f>
        <v>8.69536423841058</v>
      </c>
      <c r="K281" s="12" t="str">
        <f aca="false">IF(J281&lt;-10,"MUITO ADIANTADO",IF(J281&lt;-6,"ADIANTADO",IF(J281&lt;6,"EM DIAS",IF(J281&lt;12,"ATRASADO","MUITO ATRASADO"))))</f>
        <v>ATRASADO</v>
      </c>
      <c r="L281" s="9" t="n">
        <v>46165</v>
      </c>
      <c r="M281" s="6" t="n">
        <f aca="true">TODAY()-L281</f>
        <v>6</v>
      </c>
      <c r="N281" s="1" t="str">
        <f aca="false">IF(M281&lt;8,"VERIFICADO",IF(M281&lt;15,"VERIFICAR","VERIFICAR URGENTE"))</f>
        <v>VERIFICADO</v>
      </c>
    </row>
    <row r="282" customFormat="false" ht="15" hidden="false" customHeight="false" outlineLevel="0" collapsed="false">
      <c r="A282" s="6" t="s">
        <v>297</v>
      </c>
      <c r="B282" s="7" t="s">
        <v>65</v>
      </c>
      <c r="C282" s="8" t="n">
        <f aca="false">L282</f>
        <v>46156</v>
      </c>
      <c r="D282" s="9" t="n">
        <v>46068</v>
      </c>
      <c r="E282" s="10" t="n">
        <v>46878</v>
      </c>
      <c r="F282" s="11" t="n">
        <f aca="false">(E282-D282)/7</f>
        <v>115.714285714286</v>
      </c>
      <c r="G282" s="11" t="n">
        <f aca="true">(TODAY()-D282)/7</f>
        <v>14.7142857142857</v>
      </c>
      <c r="H282" s="12" t="n">
        <v>200</v>
      </c>
      <c r="I282" s="12" t="n">
        <v>10</v>
      </c>
      <c r="J282" s="13" t="n">
        <f aca="false">IFERROR(((G282*H282)/F282)-I282,"")</f>
        <v>15.432098765432</v>
      </c>
      <c r="K282" s="12" t="str">
        <f aca="false">IF(J282&lt;-10,"MUITO ADIANTADO",IF(J282&lt;-6,"ADIANTADO",IF(J282&lt;6,"EM DIAS",IF(J282&lt;12,"ATRASADO","MUITO ATRASADO"))))</f>
        <v>MUITO ATRASADO</v>
      </c>
      <c r="L282" s="9" t="n">
        <v>46156</v>
      </c>
      <c r="M282" s="6" t="n">
        <f aca="true">TODAY()-L282</f>
        <v>15</v>
      </c>
      <c r="N282" s="1" t="str">
        <f aca="false">IF(M282&lt;8,"VERIFICADO",IF(M282&lt;15,"VERIFICAR","VERIFICAR URGENTE"))</f>
        <v>VERIFICAR URGENTE</v>
      </c>
    </row>
    <row r="283" customFormat="false" ht="15" hidden="false" customHeight="false" outlineLevel="0" collapsed="false">
      <c r="A283" s="6" t="s">
        <v>297</v>
      </c>
      <c r="B283" s="7" t="s">
        <v>24</v>
      </c>
      <c r="C283" s="8" t="n">
        <f aca="false">L283</f>
        <v>46164</v>
      </c>
      <c r="D283" s="9" t="n">
        <v>45629</v>
      </c>
      <c r="E283" s="10" t="n">
        <v>46753</v>
      </c>
      <c r="F283" s="11" t="n">
        <f aca="false">(E283-D283)/7</f>
        <v>160.571428571429</v>
      </c>
      <c r="G283" s="11" t="n">
        <f aca="true">(TODAY()-D283)/7</f>
        <v>77.4285714285714</v>
      </c>
      <c r="H283" s="12" t="n">
        <v>208</v>
      </c>
      <c r="I283" s="12" t="n">
        <v>99</v>
      </c>
      <c r="J283" s="13" t="n">
        <f aca="false">IFERROR(((G283*H283)/F283)-I283,"")</f>
        <v>1.29893238434136</v>
      </c>
      <c r="K283" s="12" t="str">
        <f aca="false">IF(J283&lt;-10,"MUITO ADIANTADO",IF(J283&lt;-6,"ADIANTADO",IF(J283&lt;6,"EM DIAS",IF(J283&lt;12,"ATRASADO","MUITO ATRASADO"))))</f>
        <v>EM DIAS</v>
      </c>
      <c r="L283" s="9" t="n">
        <v>46164</v>
      </c>
      <c r="M283" s="6" t="n">
        <f aca="true">TODAY()-L283</f>
        <v>7</v>
      </c>
      <c r="N283" s="1" t="str">
        <f aca="false">IF(M283&lt;8,"VERIFICADO",IF(M283&lt;15,"VERIFICAR","VERIFICAR URGENTE"))</f>
        <v>VERIFICADO</v>
      </c>
    </row>
    <row r="284" customFormat="false" ht="15" hidden="false" customHeight="false" outlineLevel="0" collapsed="false">
      <c r="A284" s="6" t="s">
        <v>298</v>
      </c>
      <c r="B284" s="7" t="s">
        <v>22</v>
      </c>
      <c r="C284" s="8" t="n">
        <f aca="false">L284</f>
        <v>46161</v>
      </c>
      <c r="D284" s="9" t="n">
        <v>45642</v>
      </c>
      <c r="E284" s="10" t="n">
        <v>46319</v>
      </c>
      <c r="F284" s="11" t="n">
        <f aca="false">(E284-D284)/7</f>
        <v>96.7142857142857</v>
      </c>
      <c r="G284" s="11" t="n">
        <f aca="true">(TODAY()-D284)/7</f>
        <v>75.5714285714286</v>
      </c>
      <c r="H284" s="12" t="n">
        <v>96</v>
      </c>
      <c r="I284" s="12" t="n">
        <v>63</v>
      </c>
      <c r="J284" s="13" t="n">
        <f aca="false">IFERROR(((G284*H284)/F284)-I284,"")</f>
        <v>12.01329394387</v>
      </c>
      <c r="K284" s="12" t="str">
        <f aca="false">IF(J284&lt;-10,"MUITO ADIANTADO",IF(J284&lt;-6,"ADIANTADO",IF(J284&lt;6,"EM DIAS",IF(J284&lt;12,"ATRASADO","MUITO ATRASADO"))))</f>
        <v>MUITO ATRASADO</v>
      </c>
      <c r="L284" s="9" t="n">
        <v>46161</v>
      </c>
      <c r="M284" s="6" t="n">
        <f aca="true">TODAY()-L284</f>
        <v>10</v>
      </c>
      <c r="N284" s="1" t="str">
        <f aca="false">IF(M284&lt;8,"VERIFICADO",IF(M284&lt;15,"VERIFICAR","VERIFICAR URGENTE"))</f>
        <v>VERIFICAR</v>
      </c>
    </row>
    <row r="285" customFormat="false" ht="15" hidden="false" customHeight="false" outlineLevel="0" collapsed="false">
      <c r="A285" s="6" t="s">
        <v>299</v>
      </c>
      <c r="B285" s="7" t="s">
        <v>22</v>
      </c>
      <c r="C285" s="8" t="n">
        <f aca="false">L285</f>
        <v>46165</v>
      </c>
      <c r="D285" s="9" t="n">
        <v>45989</v>
      </c>
      <c r="E285" s="10" t="n">
        <v>47715</v>
      </c>
      <c r="F285" s="11" t="n">
        <f aca="false">(E285-D285)/7</f>
        <v>246.571428571429</v>
      </c>
      <c r="G285" s="11" t="n">
        <f aca="true">(TODAY()-D285)/7</f>
        <v>26</v>
      </c>
      <c r="H285" s="12" t="n">
        <v>272</v>
      </c>
      <c r="I285" s="12" t="n">
        <v>33</v>
      </c>
      <c r="J285" s="13" t="n">
        <f aca="false">IFERROR(((G285*H285)/F285)-I285,"")</f>
        <v>-4.31865585168024</v>
      </c>
      <c r="K285" s="12" t="str">
        <f aca="false">IF(J285&lt;-10,"MUITO ADIANTADO",IF(J285&lt;-6,"ADIANTADO",IF(J285&lt;6,"EM DIAS",IF(J285&lt;12,"ATRASADO","MUITO ATRASADO"))))</f>
        <v>EM DIAS</v>
      </c>
      <c r="L285" s="9" t="n">
        <v>46165</v>
      </c>
      <c r="M285" s="6" t="n">
        <f aca="true">TODAY()-L285</f>
        <v>6</v>
      </c>
      <c r="N285" s="1" t="str">
        <f aca="false">IF(M285&lt;8,"VERIFICADO",IF(M285&lt;15,"VERIFICAR","VERIFICAR URGENTE"))</f>
        <v>VERIFICADO</v>
      </c>
    </row>
    <row r="286" customFormat="false" ht="15" hidden="false" customHeight="false" outlineLevel="0" collapsed="false">
      <c r="A286" s="6" t="s">
        <v>300</v>
      </c>
      <c r="B286" s="7" t="s">
        <v>24</v>
      </c>
      <c r="C286" s="8" t="n">
        <f aca="false">L286</f>
        <v>46162</v>
      </c>
      <c r="D286" s="9" t="n">
        <v>45448</v>
      </c>
      <c r="E286" s="10" t="n">
        <v>47187</v>
      </c>
      <c r="F286" s="11" t="n">
        <f aca="false">(E286-D286)/7</f>
        <v>248.428571428571</v>
      </c>
      <c r="G286" s="11" t="n">
        <f aca="true">(TODAY()-D286)/7</f>
        <v>103.285714285714</v>
      </c>
      <c r="H286" s="12" t="n">
        <v>256</v>
      </c>
      <c r="I286" s="12" t="n">
        <v>105</v>
      </c>
      <c r="J286" s="13" t="n">
        <f aca="false">IFERROR(((G286*H286)/F286)-I286,"")</f>
        <v>1.43358251868909</v>
      </c>
      <c r="K286" s="12" t="str">
        <f aca="false">IF(J286&lt;-10,"MUITO ADIANTADO",IF(J286&lt;-6,"ADIANTADO",IF(J286&lt;6,"EM DIAS",IF(J286&lt;12,"ATRASADO","MUITO ATRASADO"))))</f>
        <v>EM DIAS</v>
      </c>
      <c r="L286" s="9" t="n">
        <v>46162</v>
      </c>
      <c r="M286" s="6" t="n">
        <f aca="true">TODAY()-L286</f>
        <v>9</v>
      </c>
      <c r="N286" s="1" t="str">
        <f aca="false">IF(M286&lt;8,"VERIFICADO",IF(M286&lt;15,"VERIFICAR","VERIFICAR URGENTE"))</f>
        <v>VERIFICAR</v>
      </c>
    </row>
    <row r="287" customFormat="false" ht="15" hidden="false" customHeight="false" outlineLevel="0" collapsed="false">
      <c r="A287" s="6" t="s">
        <v>301</v>
      </c>
      <c r="B287" s="7" t="s">
        <v>22</v>
      </c>
      <c r="C287" s="8" t="n">
        <f aca="false">L287</f>
        <v>46165</v>
      </c>
      <c r="D287" s="9" t="n">
        <v>45393</v>
      </c>
      <c r="E287" s="10" t="n">
        <v>46230</v>
      </c>
      <c r="F287" s="11" t="n">
        <f aca="false">(E287-D287)/7</f>
        <v>119.571428571429</v>
      </c>
      <c r="G287" s="11" t="n">
        <f aca="true">(TODAY()-D287)/7</f>
        <v>111.142857142857</v>
      </c>
      <c r="H287" s="12" t="n">
        <v>176</v>
      </c>
      <c r="I287" s="12" t="n">
        <v>159</v>
      </c>
      <c r="J287" s="13" t="n">
        <f aca="false">IFERROR(((G287*H287)/F287)-I287,"")</f>
        <v>4.59378733572223</v>
      </c>
      <c r="K287" s="12" t="str">
        <f aca="false">IF(J287&lt;-10,"MUITO ADIANTADO",IF(J287&lt;-6,"ADIANTADO",IF(J287&lt;6,"EM DIAS",IF(J287&lt;12,"ATRASADO","MUITO ATRASADO"))))</f>
        <v>EM DIAS</v>
      </c>
      <c r="L287" s="9" t="n">
        <v>46165</v>
      </c>
      <c r="M287" s="6" t="n">
        <f aca="true">TODAY()-L287</f>
        <v>6</v>
      </c>
      <c r="N287" s="1" t="str">
        <f aca="false">IF(M287&lt;8,"VERIFICADO",IF(M287&lt;15,"VERIFICAR","VERIFICAR URGENTE"))</f>
        <v>VERIFICADO</v>
      </c>
    </row>
    <row r="288" customFormat="false" ht="15" hidden="false" customHeight="false" outlineLevel="0" collapsed="false">
      <c r="A288" s="6" t="s">
        <v>302</v>
      </c>
      <c r="B288" s="7" t="s">
        <v>24</v>
      </c>
      <c r="C288" s="8" t="n">
        <f aca="false">L288</f>
        <v>46158</v>
      </c>
      <c r="D288" s="9" t="n">
        <v>45945</v>
      </c>
      <c r="E288" s="10" t="n">
        <v>46371</v>
      </c>
      <c r="F288" s="11" t="n">
        <f aca="false">(E288-D288)/7</f>
        <v>60.8571428571429</v>
      </c>
      <c r="G288" s="11" t="n">
        <f aca="true">(TODAY()-D288)/7</f>
        <v>32.2857142857143</v>
      </c>
      <c r="H288" s="12" t="n">
        <v>64</v>
      </c>
      <c r="I288" s="12" t="n">
        <v>24</v>
      </c>
      <c r="J288" s="13" t="n">
        <f aca="false">IFERROR(((G288*H288)/F288)-I288,"")</f>
        <v>9.95305164319247</v>
      </c>
      <c r="K288" s="12" t="str">
        <f aca="false">IF(J288&lt;-10,"MUITO ADIANTADO",IF(J288&lt;-6,"ADIANTADO",IF(J288&lt;6,"EM DIAS",IF(J288&lt;12,"ATRASADO","MUITO ATRASADO"))))</f>
        <v>ATRASADO</v>
      </c>
      <c r="L288" s="9" t="n">
        <v>46158</v>
      </c>
      <c r="M288" s="6" t="n">
        <f aca="true">TODAY()-L288</f>
        <v>13</v>
      </c>
      <c r="N288" s="1" t="str">
        <f aca="false">IF(M288&lt;8,"VERIFICADO",IF(M288&lt;15,"VERIFICAR","VERIFICAR URGENTE"))</f>
        <v>VERIFICAR</v>
      </c>
    </row>
    <row r="289" customFormat="false" ht="15" hidden="false" customHeight="false" outlineLevel="0" collapsed="false">
      <c r="A289" s="6" t="s">
        <v>303</v>
      </c>
      <c r="B289" s="7" t="s">
        <v>15</v>
      </c>
      <c r="C289" s="8" t="n">
        <f aca="false">L289</f>
        <v>46162</v>
      </c>
      <c r="D289" s="9" t="n">
        <v>45665</v>
      </c>
      <c r="E289" s="10" t="n">
        <v>46508</v>
      </c>
      <c r="F289" s="11" t="n">
        <f aca="false">(E289-D289)/7</f>
        <v>120.428571428571</v>
      </c>
      <c r="G289" s="11" t="n">
        <f aca="true">(TODAY()-D289)/7</f>
        <v>72.2857142857143</v>
      </c>
      <c r="H289" s="12" t="n">
        <v>112</v>
      </c>
      <c r="I289" s="12" t="n">
        <v>63</v>
      </c>
      <c r="J289" s="13" t="n">
        <f aca="false">IFERROR(((G289*H289)/F289)-I289,"")</f>
        <v>4.22657176749728</v>
      </c>
      <c r="K289" s="12" t="str">
        <f aca="false">IF(J289&lt;-10,"MUITO ADIANTADO",IF(J289&lt;-6,"ADIANTADO",IF(J289&lt;6,"EM DIAS",IF(J289&lt;12,"ATRASADO","MUITO ATRASADO"))))</f>
        <v>EM DIAS</v>
      </c>
      <c r="L289" s="9" t="n">
        <v>46162</v>
      </c>
      <c r="M289" s="6" t="n">
        <f aca="true">TODAY()-L289</f>
        <v>9</v>
      </c>
      <c r="N289" s="1" t="str">
        <f aca="false">IF(M289&lt;8,"VERIFICADO",IF(M289&lt;15,"VERIFICAR","VERIFICAR URGENTE"))</f>
        <v>VERIFICAR</v>
      </c>
    </row>
    <row r="290" customFormat="false" ht="15" hidden="false" customHeight="false" outlineLevel="0" collapsed="false">
      <c r="A290" s="6" t="s">
        <v>304</v>
      </c>
      <c r="B290" s="7" t="s">
        <v>19</v>
      </c>
      <c r="C290" s="8" t="n">
        <f aca="false">L290</f>
        <v>46160</v>
      </c>
      <c r="D290" s="9" t="n">
        <v>45927</v>
      </c>
      <c r="E290" s="10" t="n">
        <v>47150</v>
      </c>
      <c r="F290" s="11" t="n">
        <f aca="false">(E290-D290)/7</f>
        <v>174.714285714286</v>
      </c>
      <c r="G290" s="11" t="n">
        <f aca="true">(TODAY()-D290)/7</f>
        <v>34.8571428571429</v>
      </c>
      <c r="H290" s="12" t="n">
        <v>176</v>
      </c>
      <c r="I290" s="12" t="n">
        <v>36</v>
      </c>
      <c r="J290" s="13" t="n">
        <f aca="false">IFERROR(((G290*H290)/F290)-I290,"")</f>
        <v>-0.886345053148062</v>
      </c>
      <c r="K290" s="12" t="str">
        <f aca="false">IF(J290&lt;-10,"MUITO ADIANTADO",IF(J290&lt;-6,"ADIANTADO",IF(J290&lt;6,"EM DIAS",IF(J290&lt;12,"ATRASADO","MUITO ATRASADO"))))</f>
        <v>EM DIAS</v>
      </c>
      <c r="L290" s="9" t="n">
        <v>46160</v>
      </c>
      <c r="M290" s="6" t="n">
        <f aca="true">TODAY()-L290</f>
        <v>11</v>
      </c>
      <c r="N290" s="1" t="str">
        <f aca="false">IF(M290&lt;8,"VERIFICADO",IF(M290&lt;15,"VERIFICAR","VERIFICAR URGENTE"))</f>
        <v>VERIFICAR</v>
      </c>
    </row>
    <row r="291" customFormat="false" ht="15" hidden="false" customHeight="false" outlineLevel="0" collapsed="false">
      <c r="A291" s="6" t="s">
        <v>305</v>
      </c>
      <c r="B291" s="7" t="s">
        <v>17</v>
      </c>
      <c r="C291" s="8" t="n">
        <f aca="false">L291</f>
        <v>46161</v>
      </c>
      <c r="D291" s="9" t="n">
        <v>45818</v>
      </c>
      <c r="E291" s="10" t="n">
        <v>47022</v>
      </c>
      <c r="F291" s="11" t="n">
        <f aca="false">(E291-D291)/7</f>
        <v>172</v>
      </c>
      <c r="G291" s="11" t="n">
        <f aca="true">(TODAY()-D291)/7</f>
        <v>50.4285714285714</v>
      </c>
      <c r="H291" s="12" t="n">
        <v>160</v>
      </c>
      <c r="I291" s="12" t="n">
        <v>39</v>
      </c>
      <c r="J291" s="13" t="n">
        <f aca="false">IFERROR(((G291*H291)/F291)-I291,"")</f>
        <v>7.91029900332227</v>
      </c>
      <c r="K291" s="12" t="str">
        <f aca="false">IF(J291&lt;-10,"MUITO ADIANTADO",IF(J291&lt;-6,"ADIANTADO",IF(J291&lt;6,"EM DIAS",IF(J291&lt;12,"ATRASADO","MUITO ATRASADO"))))</f>
        <v>ATRASADO</v>
      </c>
      <c r="L291" s="9" t="n">
        <v>46161</v>
      </c>
      <c r="M291" s="6" t="n">
        <f aca="true">TODAY()-L291</f>
        <v>10</v>
      </c>
      <c r="N291" s="1" t="str">
        <f aca="false">IF(M291&lt;8,"VERIFICADO",IF(M291&lt;15,"VERIFICAR","VERIFICAR URGENTE"))</f>
        <v>VERIFICAR</v>
      </c>
    </row>
    <row r="292" customFormat="false" ht="15" hidden="false" customHeight="false" outlineLevel="0" collapsed="false">
      <c r="A292" s="6" t="s">
        <v>306</v>
      </c>
      <c r="B292" s="7" t="s">
        <v>19</v>
      </c>
      <c r="C292" s="8" t="n">
        <f aca="false">L292</f>
        <v>46160</v>
      </c>
      <c r="D292" s="9" t="n">
        <v>45936</v>
      </c>
      <c r="E292" s="10" t="n">
        <v>46295</v>
      </c>
      <c r="F292" s="11" t="n">
        <f aca="false">(E292-D292)/7</f>
        <v>51.2857142857143</v>
      </c>
      <c r="G292" s="11" t="n">
        <f aca="true">(TODAY()-D292)/7</f>
        <v>33.5714285714286</v>
      </c>
      <c r="H292" s="12" t="n">
        <v>48</v>
      </c>
      <c r="I292" s="12" t="n">
        <v>34</v>
      </c>
      <c r="J292" s="13" t="n">
        <f aca="false">IFERROR(((G292*H292)/F292)-I292,"")</f>
        <v>-2.57938718662954</v>
      </c>
      <c r="K292" s="12" t="str">
        <f aca="false">IF(J292&lt;-10,"MUITO ADIANTADO",IF(J292&lt;-6,"ADIANTADO",IF(J292&lt;6,"EM DIAS",IF(J292&lt;12,"ATRASADO","MUITO ATRASADO"))))</f>
        <v>EM DIAS</v>
      </c>
      <c r="L292" s="9" t="n">
        <v>46160</v>
      </c>
      <c r="M292" s="6" t="n">
        <f aca="true">TODAY()-L292</f>
        <v>11</v>
      </c>
      <c r="N292" s="1" t="str">
        <f aca="false">IF(M292&lt;8,"VERIFICADO",IF(M292&lt;15,"VERIFICAR","VERIFICAR URGENTE"))</f>
        <v>VERIFICAR</v>
      </c>
    </row>
    <row r="293" customFormat="false" ht="15" hidden="false" customHeight="false" outlineLevel="0" collapsed="false">
      <c r="A293" s="6" t="s">
        <v>307</v>
      </c>
      <c r="B293" s="7" t="s">
        <v>15</v>
      </c>
      <c r="C293" s="8" t="n">
        <f aca="false">L293</f>
        <v>46165</v>
      </c>
      <c r="D293" s="9" t="n">
        <v>45892</v>
      </c>
      <c r="E293" s="10" t="n">
        <v>46438</v>
      </c>
      <c r="F293" s="11" t="n">
        <f aca="false">(E293-D293)/7</f>
        <v>78</v>
      </c>
      <c r="G293" s="11" t="n">
        <f aca="true">(TODAY()-D293)/7</f>
        <v>39.8571428571429</v>
      </c>
      <c r="H293" s="12" t="n">
        <v>80</v>
      </c>
      <c r="I293" s="12" t="n">
        <v>53</v>
      </c>
      <c r="J293" s="13" t="n">
        <f aca="false">IFERROR(((G293*H293)/F293)-I293,"")</f>
        <v>-12.1208791208791</v>
      </c>
      <c r="K293" s="12" t="str">
        <f aca="false">IF(J293&lt;-10,"MUITO ADIANTADO",IF(J293&lt;-6,"ADIANTADO",IF(J293&lt;6,"EM DIAS",IF(J293&lt;12,"ATRASADO","MUITO ATRASADO"))))</f>
        <v>MUITO ADIANTADO</v>
      </c>
      <c r="L293" s="9" t="n">
        <v>46165</v>
      </c>
      <c r="M293" s="6" t="n">
        <f aca="true">TODAY()-L293</f>
        <v>6</v>
      </c>
      <c r="N293" s="1" t="str">
        <f aca="false">IF(M293&lt;8,"VERIFICADO",IF(M293&lt;15,"VERIFICAR","VERIFICAR URGENTE"))</f>
        <v>VERIFICADO</v>
      </c>
    </row>
    <row r="294" customFormat="false" ht="15" hidden="false" customHeight="false" outlineLevel="0" collapsed="false">
      <c r="A294" s="6" t="s">
        <v>308</v>
      </c>
      <c r="B294" s="7" t="s">
        <v>19</v>
      </c>
      <c r="C294" s="8" t="n">
        <f aca="false">L294</f>
        <v>46160</v>
      </c>
      <c r="D294" s="9" t="n">
        <v>46146</v>
      </c>
      <c r="E294" s="10" t="n">
        <v>46712</v>
      </c>
      <c r="F294" s="11" t="n">
        <f aca="false">(E294-D294)/7</f>
        <v>80.8571428571429</v>
      </c>
      <c r="G294" s="11" t="n">
        <v>0</v>
      </c>
      <c r="H294" s="12" t="n">
        <v>80</v>
      </c>
      <c r="I294" s="12" t="n">
        <v>2</v>
      </c>
      <c r="J294" s="13" t="n">
        <f aca="false">IFERROR(((G294*H294)/F294)-I294,"")</f>
        <v>-2</v>
      </c>
      <c r="K294" s="12" t="str">
        <f aca="false">IF(J294&lt;-10,"MUITO ADIANTADO",IF(J294&lt;-6,"ADIANTADO",IF(J294&lt;6,"EM DIAS",IF(J294&lt;12,"ATRASADO","MUITO ATRASADO"))))</f>
        <v>EM DIAS</v>
      </c>
      <c r="L294" s="9" t="n">
        <v>46160</v>
      </c>
      <c r="M294" s="6" t="n">
        <f aca="true">TODAY()-L294</f>
        <v>11</v>
      </c>
      <c r="N294" s="1" t="str">
        <f aca="false">IF(M294&lt;8,"VERIFICADO",IF(M294&lt;15,"VERIFICAR","VERIFICAR URGENTE"))</f>
        <v>VERIFICAR</v>
      </c>
    </row>
    <row r="295" customFormat="false" ht="15" hidden="false" customHeight="false" outlineLevel="0" collapsed="false">
      <c r="A295" s="6" t="s">
        <v>309</v>
      </c>
      <c r="B295" s="6" t="s">
        <v>19</v>
      </c>
      <c r="C295" s="8" t="n">
        <f aca="false">L295</f>
        <v>46157</v>
      </c>
      <c r="D295" s="9" t="n">
        <v>45760</v>
      </c>
      <c r="E295" s="10" t="n">
        <v>46454</v>
      </c>
      <c r="F295" s="11" t="n">
        <f aca="false">(E295-D295)/7</f>
        <v>99.1428571428571</v>
      </c>
      <c r="G295" s="11" t="n">
        <f aca="true">(TODAY()-D295)/7</f>
        <v>58.7142857142857</v>
      </c>
      <c r="H295" s="12" t="n">
        <v>80</v>
      </c>
      <c r="I295" s="12" t="n">
        <v>22</v>
      </c>
      <c r="J295" s="13" t="n">
        <f aca="false">IFERROR(((G295*H295)/F295)-I295,"")</f>
        <v>25.3775216138329</v>
      </c>
      <c r="K295" s="12" t="str">
        <f aca="false">IF(J295&lt;-10,"MUITO ADIANTADO",IF(J295&lt;-6,"ADIANTADO",IF(J295&lt;6,"EM DIAS",IF(J295&lt;12,"ATRASADO","MUITO ATRASADO"))))</f>
        <v>MUITO ATRASADO</v>
      </c>
      <c r="L295" s="9" t="n">
        <v>46157</v>
      </c>
      <c r="M295" s="6" t="n">
        <f aca="true">TODAY()-L295</f>
        <v>14</v>
      </c>
      <c r="N295" s="1" t="str">
        <f aca="false">IF(M295&lt;8,"VERIFICADO",IF(M295&lt;15,"VERIFICAR","VERIFICAR URGENTE"))</f>
        <v>VERIFICAR</v>
      </c>
    </row>
    <row r="296" customFormat="false" ht="15" hidden="false" customHeight="false" outlineLevel="0" collapsed="false">
      <c r="A296" s="6" t="s">
        <v>310</v>
      </c>
      <c r="B296" s="7" t="s">
        <v>15</v>
      </c>
      <c r="C296" s="8" t="n">
        <f aca="false">L296</f>
        <v>46163</v>
      </c>
      <c r="D296" s="9" t="n">
        <v>45383</v>
      </c>
      <c r="E296" s="10" t="n">
        <v>46235</v>
      </c>
      <c r="F296" s="11" t="n">
        <f aca="false">(E296-D296)/7</f>
        <v>121.714285714286</v>
      </c>
      <c r="G296" s="11" t="n">
        <f aca="true">(TODAY()-D296)/7</f>
        <v>112.571428571429</v>
      </c>
      <c r="H296" s="12" t="n">
        <v>160</v>
      </c>
      <c r="I296" s="12" t="n">
        <v>152</v>
      </c>
      <c r="J296" s="13" t="n">
        <f aca="false">IFERROR(((G296*H296)/F296)-I296,"")</f>
        <v>-4.01877934272335</v>
      </c>
      <c r="K296" s="12" t="str">
        <f aca="false">IF(J296&lt;-10,"MUITO ADIANTADO",IF(J296&lt;-6,"ADIANTADO",IF(J296&lt;6,"EM DIAS",IF(J296&lt;12,"ATRASADO","MUITO ATRASADO"))))</f>
        <v>EM DIAS</v>
      </c>
      <c r="L296" s="9" t="n">
        <v>46163</v>
      </c>
      <c r="M296" s="6" t="n">
        <f aca="true">TODAY()-L296</f>
        <v>8</v>
      </c>
      <c r="N296" s="1" t="str">
        <f aca="false">IF(M296&lt;8,"VERIFICADO",IF(M296&lt;15,"VERIFICAR","VERIFICAR URGENTE"))</f>
        <v>VERIFICAR</v>
      </c>
    </row>
    <row r="297" customFormat="false" ht="15" hidden="false" customHeight="false" outlineLevel="0" collapsed="false">
      <c r="A297" s="6" t="s">
        <v>311</v>
      </c>
      <c r="B297" s="7" t="s">
        <v>24</v>
      </c>
      <c r="C297" s="8" t="n">
        <f aca="false">L297</f>
        <v>46160</v>
      </c>
      <c r="D297" s="9" t="n">
        <v>46125</v>
      </c>
      <c r="E297" s="10" t="n">
        <v>46706</v>
      </c>
      <c r="F297" s="11" t="n">
        <f aca="false">(E297-D297)/7</f>
        <v>83</v>
      </c>
      <c r="G297" s="11" t="n">
        <f aca="true">(TODAY()-D297)/7</f>
        <v>6.57142857142857</v>
      </c>
      <c r="H297" s="12" t="n">
        <v>80</v>
      </c>
      <c r="I297" s="12" t="n">
        <v>6</v>
      </c>
      <c r="J297" s="13" t="n">
        <f aca="false">IFERROR(((G297*H297)/F297)-I297,"")</f>
        <v>0.333907056798623</v>
      </c>
      <c r="K297" s="12" t="str">
        <f aca="false">IF(J297&lt;-10,"MUITO ADIANTADO",IF(J297&lt;-6,"ADIANTADO",IF(J297&lt;6,"EM DIAS",IF(J297&lt;12,"ATRASADO","MUITO ATRASADO"))))</f>
        <v>EM DIAS</v>
      </c>
      <c r="L297" s="9" t="n">
        <v>46160</v>
      </c>
      <c r="M297" s="6" t="n">
        <f aca="true">TODAY()-L297</f>
        <v>11</v>
      </c>
      <c r="N297" s="1" t="str">
        <f aca="false">IF(M297&lt;8,"VERIFICADO",IF(M297&lt;15,"VERIFICAR","VERIFICAR URGENTE"))</f>
        <v>VERIFICAR</v>
      </c>
    </row>
    <row r="298" customFormat="false" ht="15" hidden="false" customHeight="false" outlineLevel="0" collapsed="false">
      <c r="A298" s="6" t="s">
        <v>312</v>
      </c>
      <c r="B298" s="7" t="s">
        <v>22</v>
      </c>
      <c r="C298" s="8" t="n">
        <f aca="false">L298</f>
        <v>46165</v>
      </c>
      <c r="D298" s="9" t="n">
        <v>45439</v>
      </c>
      <c r="E298" s="10" t="n">
        <v>46295</v>
      </c>
      <c r="F298" s="11" t="n">
        <f aca="false">(E298-D298)/7</f>
        <v>122.285714285714</v>
      </c>
      <c r="G298" s="11" t="n">
        <f aca="true">(TODAY()-D298)/7</f>
        <v>104.571428571429</v>
      </c>
      <c r="H298" s="12" t="n">
        <v>116</v>
      </c>
      <c r="I298" s="12" t="n">
        <v>77</v>
      </c>
      <c r="J298" s="13" t="n">
        <f aca="false">IFERROR(((G298*H298)/F298)-I298,"")</f>
        <v>22.1962616822432</v>
      </c>
      <c r="K298" s="12" t="str">
        <f aca="false">IF(J298&lt;-10,"MUITO ADIANTADO",IF(J298&lt;-6,"ADIANTADO",IF(J298&lt;6,"EM DIAS",IF(J298&lt;12,"ATRASADO","MUITO ATRASADO"))))</f>
        <v>MUITO ATRASADO</v>
      </c>
      <c r="L298" s="9" t="n">
        <v>46165</v>
      </c>
      <c r="M298" s="6" t="n">
        <f aca="true">TODAY()-L298</f>
        <v>6</v>
      </c>
      <c r="N298" s="1" t="str">
        <f aca="false">IF(M298&lt;8,"VERIFICADO",IF(M298&lt;15,"VERIFICAR","VERIFICAR URGENTE"))</f>
        <v>VERIFICADO</v>
      </c>
    </row>
    <row r="299" customFormat="false" ht="15" hidden="false" customHeight="false" outlineLevel="0" collapsed="false">
      <c r="A299" s="6" t="s">
        <v>313</v>
      </c>
      <c r="B299" s="7" t="s">
        <v>24</v>
      </c>
      <c r="C299" s="8" t="n">
        <f aca="false">L299</f>
        <v>46164</v>
      </c>
      <c r="D299" s="9" t="n">
        <v>45842</v>
      </c>
      <c r="E299" s="10" t="n">
        <v>47513</v>
      </c>
      <c r="F299" s="11" t="n">
        <f aca="false">(E299-D299)/7</f>
        <v>238.714285714286</v>
      </c>
      <c r="G299" s="11" t="n">
        <f aca="true">(TODAY()-D299)/7</f>
        <v>47</v>
      </c>
      <c r="H299" s="12" t="n">
        <v>240</v>
      </c>
      <c r="I299" s="12" t="n">
        <v>52</v>
      </c>
      <c r="J299" s="13" t="n">
        <f aca="false">IFERROR(((G299*H299)/F299)-I299,"")</f>
        <v>-4.74685816876128</v>
      </c>
      <c r="K299" s="12" t="str">
        <f aca="false">IF(J299&lt;-10,"MUITO ADIANTADO",IF(J299&lt;-6,"ADIANTADO",IF(J299&lt;6,"EM DIAS",IF(J299&lt;12,"ATRASADO","MUITO ATRASADO"))))</f>
        <v>EM DIAS</v>
      </c>
      <c r="L299" s="9" t="n">
        <v>46164</v>
      </c>
      <c r="M299" s="6" t="n">
        <f aca="true">TODAY()-L299</f>
        <v>7</v>
      </c>
      <c r="N299" s="1" t="str">
        <f aca="false">IF(M299&lt;8,"VERIFICADO",IF(M299&lt;15,"VERIFICAR","VERIFICAR URGENTE"))</f>
        <v>VERIFICADO</v>
      </c>
    </row>
    <row r="300" customFormat="false" ht="15" hidden="false" customHeight="false" outlineLevel="0" collapsed="false">
      <c r="A300" s="6" t="s">
        <v>314</v>
      </c>
      <c r="B300" s="7" t="s">
        <v>15</v>
      </c>
      <c r="C300" s="8" t="n">
        <f aca="false">L300</f>
        <v>46165</v>
      </c>
      <c r="D300" s="9" t="n">
        <v>46092</v>
      </c>
      <c r="E300" s="10" t="n">
        <v>46306</v>
      </c>
      <c r="F300" s="11" t="n">
        <f aca="false">(E300-D300)/7</f>
        <v>30.5714285714286</v>
      </c>
      <c r="G300" s="11" t="n">
        <f aca="true">(TODAY()-D300)/7</f>
        <v>11.2857142857143</v>
      </c>
      <c r="H300" s="12" t="n">
        <v>32</v>
      </c>
      <c r="I300" s="12" t="n">
        <v>5</v>
      </c>
      <c r="J300" s="13" t="n">
        <f aca="false">IFERROR(((G300*H300)/F300)-I300,"")</f>
        <v>6.81308411214952</v>
      </c>
      <c r="K300" s="12" t="str">
        <f aca="false">IF(J300&lt;-10,"MUITO ADIANTADO",IF(J300&lt;-6,"ADIANTADO",IF(J300&lt;6,"EM DIAS",IF(J300&lt;12,"ATRASADO","MUITO ATRASADO"))))</f>
        <v>ATRASADO</v>
      </c>
      <c r="L300" s="9" t="n">
        <v>46165</v>
      </c>
      <c r="M300" s="6" t="n">
        <f aca="true">TODAY()-L300</f>
        <v>6</v>
      </c>
      <c r="N300" s="1" t="str">
        <f aca="false">IF(M300&lt;8,"VERIFICADO",IF(M300&lt;15,"VERIFICAR","VERIFICAR URGENTE"))</f>
        <v>VERIFICADO</v>
      </c>
    </row>
    <row r="301" customFormat="false" ht="15" hidden="false" customHeight="false" outlineLevel="0" collapsed="false">
      <c r="A301" s="6" t="s">
        <v>315</v>
      </c>
      <c r="B301" s="7" t="s">
        <v>22</v>
      </c>
      <c r="C301" s="8" t="n">
        <f aca="false">L301</f>
        <v>46161</v>
      </c>
      <c r="D301" s="9" t="n">
        <v>45965</v>
      </c>
      <c r="E301" s="10" t="n">
        <v>46690</v>
      </c>
      <c r="F301" s="11" t="n">
        <f aca="false">(E301-D301)/7</f>
        <v>103.571428571429</v>
      </c>
      <c r="G301" s="11" t="n">
        <f aca="true">(TODAY()-D301)/7</f>
        <v>29.4285714285714</v>
      </c>
      <c r="H301" s="12" t="n">
        <v>122</v>
      </c>
      <c r="I301" s="12" t="n">
        <v>28</v>
      </c>
      <c r="J301" s="13" t="n">
        <f aca="false">IFERROR(((G301*H301)/F301)-I301,"")</f>
        <v>6.66482758620676</v>
      </c>
      <c r="K301" s="12" t="str">
        <f aca="false">IF(J301&lt;-10,"MUITO ADIANTADO",IF(J301&lt;-6,"ADIANTADO",IF(J301&lt;6,"EM DIAS",IF(J301&lt;12,"ATRASADO","MUITO ATRASADO"))))</f>
        <v>ATRASADO</v>
      </c>
      <c r="L301" s="9" t="n">
        <v>46161</v>
      </c>
      <c r="M301" s="6" t="n">
        <f aca="true">TODAY()-L301</f>
        <v>10</v>
      </c>
      <c r="N301" s="1" t="str">
        <f aca="false">IF(M301&lt;8,"VERIFICADO",IF(M301&lt;15,"VERIFICAR","VERIFICAR URGENTE"))</f>
        <v>VERIFICAR</v>
      </c>
    </row>
    <row r="302" customFormat="false" ht="15" hidden="false" customHeight="false" outlineLevel="0" collapsed="false">
      <c r="A302" s="6" t="s">
        <v>316</v>
      </c>
      <c r="B302" s="7" t="s">
        <v>22</v>
      </c>
      <c r="C302" s="8" t="n">
        <f aca="false">L302</f>
        <v>46161</v>
      </c>
      <c r="D302" s="9" t="n">
        <v>45643</v>
      </c>
      <c r="E302" s="10" t="n">
        <v>47696</v>
      </c>
      <c r="F302" s="11" t="n">
        <f aca="false">(E302-D302)/7</f>
        <v>293.285714285714</v>
      </c>
      <c r="G302" s="11" t="n">
        <f aca="true">(TODAY()-D302)/7</f>
        <v>75.4285714285714</v>
      </c>
      <c r="H302" s="12" t="n">
        <v>272</v>
      </c>
      <c r="I302" s="12" t="n">
        <v>68</v>
      </c>
      <c r="J302" s="13" t="n">
        <f aca="false">IFERROR(((G302*H302)/F302)-I302,"")</f>
        <v>1.95421334632252</v>
      </c>
      <c r="K302" s="12" t="str">
        <f aca="false">IF(J302&lt;-10,"MUITO ADIANTADO",IF(J302&lt;-6,"ADIANTADO",IF(J302&lt;6,"EM DIAS",IF(J302&lt;12,"ATRASADO","MUITO ATRASADO"))))</f>
        <v>EM DIAS</v>
      </c>
      <c r="L302" s="9" t="n">
        <v>46161</v>
      </c>
      <c r="M302" s="6" t="n">
        <f aca="true">TODAY()-L302</f>
        <v>10</v>
      </c>
      <c r="N302" s="1" t="str">
        <f aca="false">IF(M302&lt;8,"VERIFICADO",IF(M302&lt;15,"VERIFICAR","VERIFICAR URGENTE"))</f>
        <v>VERIFICAR</v>
      </c>
    </row>
    <row r="303" customFormat="false" ht="15" hidden="false" customHeight="false" outlineLevel="0" collapsed="false">
      <c r="A303" s="6" t="s">
        <v>317</v>
      </c>
      <c r="B303" s="7" t="s">
        <v>19</v>
      </c>
      <c r="C303" s="8" t="n">
        <f aca="false">L303</f>
        <v>46160</v>
      </c>
      <c r="D303" s="9" t="n">
        <v>46125</v>
      </c>
      <c r="E303" s="10" t="n">
        <v>46244</v>
      </c>
      <c r="F303" s="11" t="n">
        <f aca="false">(E303-D303)/7</f>
        <v>17</v>
      </c>
      <c r="G303" s="11" t="n">
        <f aca="true">(TODAY()-D303)/7</f>
        <v>6.57142857142857</v>
      </c>
      <c r="H303" s="12" t="n">
        <v>96</v>
      </c>
      <c r="I303" s="12" t="n">
        <v>2</v>
      </c>
      <c r="J303" s="12" t="n">
        <v>0</v>
      </c>
      <c r="K303" s="12" t="str">
        <f aca="false">IF(J303&lt;-10,"MUITO ADIANTADO",IF(J303&lt;-6,"ADIANTADO",IF(J303&lt;6,"EM DIAS",IF(J303&lt;12,"ATRASADO","MUITO ATRASADO"))))</f>
        <v>EM DIAS</v>
      </c>
      <c r="L303" s="9" t="n">
        <v>46160</v>
      </c>
      <c r="M303" s="6" t="n">
        <f aca="true">TODAY()-L303</f>
        <v>11</v>
      </c>
      <c r="N303" s="1" t="str">
        <f aca="false">IF(M303&lt;8,"VERIFICADO",IF(M303&lt;15,"VERIFICAR","VERIFICAR URGENTE"))</f>
        <v>VERIFICAR</v>
      </c>
    </row>
    <row r="304" customFormat="false" ht="15" hidden="false" customHeight="false" outlineLevel="0" collapsed="false">
      <c r="A304" s="6" t="s">
        <v>318</v>
      </c>
      <c r="B304" s="7" t="s">
        <v>17</v>
      </c>
      <c r="C304" s="8" t="n">
        <f aca="false">L304</f>
        <v>46162</v>
      </c>
      <c r="D304" s="9" t="n">
        <v>45582</v>
      </c>
      <c r="E304" s="10" t="n">
        <v>46356</v>
      </c>
      <c r="F304" s="11" t="n">
        <f aca="false">(E304-D304)/7</f>
        <v>110.571428571429</v>
      </c>
      <c r="G304" s="11" t="n">
        <f aca="true">(TODAY()-D304)/7</f>
        <v>84.1428571428571</v>
      </c>
      <c r="H304" s="12" t="n">
        <v>176</v>
      </c>
      <c r="I304" s="12" t="n">
        <v>122</v>
      </c>
      <c r="J304" s="13" t="n">
        <f aca="false">IFERROR(((G304*H304)/F304)-I304,"")</f>
        <v>11.9328165374672</v>
      </c>
      <c r="K304" s="12" t="str">
        <f aca="false">IF(J304&lt;-10,"MUITO ADIANTADO",IF(J304&lt;-6,"ADIANTADO",IF(J304&lt;6,"EM DIAS",IF(J304&lt;12,"ATRASADO","MUITO ATRASADO"))))</f>
        <v>ATRASADO</v>
      </c>
      <c r="L304" s="9" t="n">
        <v>46162</v>
      </c>
      <c r="M304" s="6" t="n">
        <f aca="true">TODAY()-L304</f>
        <v>9</v>
      </c>
      <c r="N304" s="1" t="str">
        <f aca="false">IF(M304&lt;8,"VERIFICADO",IF(M304&lt;15,"VERIFICAR","VERIFICAR URGENTE"))</f>
        <v>VERIFICAR</v>
      </c>
    </row>
    <row r="305" customFormat="false" ht="15" hidden="false" customHeight="false" outlineLevel="0" collapsed="false">
      <c r="A305" s="6" t="s">
        <v>319</v>
      </c>
      <c r="B305" s="7" t="s">
        <v>17</v>
      </c>
      <c r="C305" s="8" t="n">
        <f aca="false">L305</f>
        <v>46162</v>
      </c>
      <c r="D305" s="9" t="n">
        <v>46072</v>
      </c>
      <c r="E305" s="10" t="n">
        <v>47807</v>
      </c>
      <c r="F305" s="11" t="n">
        <f aca="false">(E305-D305)/7</f>
        <v>247.857142857143</v>
      </c>
      <c r="G305" s="11" t="n">
        <f aca="true">(TODAY()-D305)/7</f>
        <v>14.1428571428571</v>
      </c>
      <c r="H305" s="12" t="n">
        <v>272</v>
      </c>
      <c r="I305" s="12" t="n">
        <v>4</v>
      </c>
      <c r="J305" s="13" t="n">
        <f aca="false">IFERROR(((G305*H305)/F305)-I305,"")</f>
        <v>11.5204610951009</v>
      </c>
      <c r="K305" s="12" t="str">
        <f aca="false">IF(J305&lt;-10,"MUITO ADIANTADO",IF(J305&lt;-6,"ADIANTADO",IF(J305&lt;6,"EM DIAS",IF(J305&lt;12,"ATRASADO","MUITO ATRASADO"))))</f>
        <v>ATRASADO</v>
      </c>
      <c r="L305" s="9" t="n">
        <v>46162</v>
      </c>
      <c r="M305" s="6" t="n">
        <f aca="true">TODAY()-L305</f>
        <v>9</v>
      </c>
      <c r="N305" s="1" t="str">
        <f aca="false">IF(M305&lt;8,"VERIFICADO",IF(M305&lt;15,"VERIFICAR","VERIFICAR URGENTE"))</f>
        <v>VERIFICAR</v>
      </c>
    </row>
    <row r="306" customFormat="false" ht="15" hidden="false" customHeight="false" outlineLevel="0" collapsed="false">
      <c r="A306" s="6" t="s">
        <v>320</v>
      </c>
      <c r="B306" s="7" t="s">
        <v>22</v>
      </c>
      <c r="C306" s="8" t="n">
        <f aca="false">L306</f>
        <v>46162</v>
      </c>
      <c r="D306" s="9" t="n">
        <v>45952</v>
      </c>
      <c r="E306" s="10" t="n">
        <v>46456</v>
      </c>
      <c r="F306" s="11" t="n">
        <f aca="false">(E306-D306)/7</f>
        <v>72</v>
      </c>
      <c r="G306" s="11" t="n">
        <f aca="true">(TODAY()-D306)/7</f>
        <v>31.2857142857143</v>
      </c>
      <c r="H306" s="12" t="n">
        <v>81</v>
      </c>
      <c r="I306" s="12" t="n">
        <v>40</v>
      </c>
      <c r="J306" s="13" t="n">
        <f aca="false">IFERROR(((G306*H306)/F306)-I306,"")</f>
        <v>-4.80357142857143</v>
      </c>
      <c r="K306" s="12" t="str">
        <f aca="false">IF(J306&lt;-10,"MUITO ADIANTADO",IF(J306&lt;-6,"ADIANTADO",IF(J306&lt;6,"EM DIAS",IF(J306&lt;12,"ATRASADO","MUITO ATRASADO"))))</f>
        <v>EM DIAS</v>
      </c>
      <c r="L306" s="9" t="n">
        <v>46162</v>
      </c>
      <c r="M306" s="6" t="n">
        <f aca="true">TODAY()-L306</f>
        <v>9</v>
      </c>
      <c r="N306" s="1" t="str">
        <f aca="false">IF(M306&lt;8,"VERIFICADO",IF(M306&lt;15,"VERIFICAR","VERIFICAR URGENTE"))</f>
        <v>VERIFICAR</v>
      </c>
    </row>
    <row r="307" customFormat="false" ht="15" hidden="false" customHeight="false" outlineLevel="0" collapsed="false">
      <c r="A307" s="6" t="s">
        <v>321</v>
      </c>
      <c r="B307" s="7" t="s">
        <v>22</v>
      </c>
      <c r="C307" s="8" t="n">
        <f aca="false">L307</f>
        <v>46161</v>
      </c>
      <c r="D307" s="9" t="n">
        <v>45622</v>
      </c>
      <c r="E307" s="10" t="n">
        <v>46193</v>
      </c>
      <c r="F307" s="11" t="n">
        <f aca="false">(E307-D307)/7</f>
        <v>81.5714285714286</v>
      </c>
      <c r="G307" s="11" t="n">
        <f aca="true">(TODAY()-D307)/7</f>
        <v>78.4285714285714</v>
      </c>
      <c r="H307" s="12" t="n">
        <v>80</v>
      </c>
      <c r="I307" s="12" t="n">
        <v>80</v>
      </c>
      <c r="J307" s="13" t="n">
        <f aca="false">IFERROR(((G307*H307)/F307)-I307,"")</f>
        <v>-3.08231173380037</v>
      </c>
      <c r="K307" s="12" t="str">
        <f aca="false">IF(J307&lt;-10,"MUITO ADIANTADO",IF(J307&lt;-6,"ADIANTADO",IF(J307&lt;6,"EM DIAS",IF(J307&lt;12,"ATRASADO","MUITO ATRASADO"))))</f>
        <v>EM DIAS</v>
      </c>
      <c r="L307" s="9" t="n">
        <v>46161</v>
      </c>
      <c r="M307" s="6" t="n">
        <f aca="true">TODAY()-L307</f>
        <v>10</v>
      </c>
      <c r="N307" s="1" t="str">
        <f aca="false">IF(M307&lt;8,"VERIFICADO",IF(M307&lt;15,"VERIFICAR","VERIFICAR URGENTE"))</f>
        <v>VERIFICAR</v>
      </c>
    </row>
    <row r="308" customFormat="false" ht="15" hidden="false" customHeight="false" outlineLevel="0" collapsed="false">
      <c r="A308" s="6" t="s">
        <v>322</v>
      </c>
      <c r="B308" s="7" t="s">
        <v>15</v>
      </c>
      <c r="C308" s="8" t="n">
        <f aca="false">L308</f>
        <v>46162</v>
      </c>
      <c r="D308" s="9" t="n">
        <v>45565</v>
      </c>
      <c r="E308" s="10" t="n">
        <v>46203</v>
      </c>
      <c r="F308" s="11" t="n">
        <f aca="false">(E308-D308)/7</f>
        <v>91.1428571428571</v>
      </c>
      <c r="G308" s="11" t="n">
        <f aca="true">(TODAY()-D308)/7</f>
        <v>86.5714285714286</v>
      </c>
      <c r="H308" s="12" t="n">
        <v>96</v>
      </c>
      <c r="I308" s="12" t="n">
        <v>94</v>
      </c>
      <c r="J308" s="13" t="n">
        <f aca="false">IFERROR(((G308*H308)/F308)-I308,"")</f>
        <v>-2.81504702194353</v>
      </c>
      <c r="K308" s="12" t="str">
        <f aca="false">IF(J308&lt;-10,"MUITO ADIANTADO",IF(J308&lt;-6,"ADIANTADO",IF(J308&lt;6,"EM DIAS",IF(J308&lt;12,"ATRASADO","MUITO ATRASADO"))))</f>
        <v>EM DIAS</v>
      </c>
      <c r="L308" s="9" t="n">
        <v>46162</v>
      </c>
      <c r="M308" s="6" t="n">
        <f aca="true">TODAY()-L308</f>
        <v>9</v>
      </c>
      <c r="N308" s="1" t="str">
        <f aca="false">IF(M308&lt;8,"VERIFICADO",IF(M308&lt;15,"VERIFICAR","VERIFICAR URGENTE"))</f>
        <v>VERIFICAR</v>
      </c>
    </row>
    <row r="309" customFormat="false" ht="15" hidden="false" customHeight="false" outlineLevel="0" collapsed="false">
      <c r="A309" s="6" t="s">
        <v>323</v>
      </c>
      <c r="B309" s="7" t="s">
        <v>19</v>
      </c>
      <c r="C309" s="8" t="n">
        <f aca="false">L309</f>
        <v>46160</v>
      </c>
      <c r="D309" s="9" t="n">
        <v>46060</v>
      </c>
      <c r="E309" s="10" t="n">
        <v>46199</v>
      </c>
      <c r="F309" s="11" t="n">
        <f aca="false">(E309-D309)/7</f>
        <v>19.8571428571429</v>
      </c>
      <c r="G309" s="11" t="n">
        <f aca="true">(TODAY()-D309)/7</f>
        <v>15.8571428571429</v>
      </c>
      <c r="H309" s="12" t="n">
        <v>16</v>
      </c>
      <c r="I309" s="12" t="n">
        <v>16</v>
      </c>
      <c r="J309" s="13" t="n">
        <v>0</v>
      </c>
      <c r="K309" s="12" t="str">
        <f aca="false">IF(J309&lt;-10,"MUITO ADIANTADO",IF(J309&lt;-6,"ADIANTADO",IF(J309&lt;6,"EM DIAS",IF(J309&lt;12,"ATRASADO","MUITO ATRASADO"))))</f>
        <v>EM DIAS</v>
      </c>
      <c r="L309" s="9" t="n">
        <v>46160</v>
      </c>
      <c r="M309" s="6" t="n">
        <f aca="true">TODAY()-L309</f>
        <v>11</v>
      </c>
      <c r="N309" s="1" t="str">
        <f aca="false">IF(M309&lt;8,"VERIFICADO",IF(M309&lt;15,"VERIFICAR","VERIFICAR URGENTE"))</f>
        <v>VERIFICAR</v>
      </c>
    </row>
    <row r="310" customFormat="false" ht="15" hidden="false" customHeight="false" outlineLevel="0" collapsed="false">
      <c r="A310" s="6" t="s">
        <v>324</v>
      </c>
      <c r="B310" s="7" t="s">
        <v>15</v>
      </c>
      <c r="C310" s="8" t="n">
        <f aca="false">L310</f>
        <v>46161</v>
      </c>
      <c r="D310" s="9" t="n">
        <v>46126</v>
      </c>
      <c r="E310" s="10" t="n">
        <v>46674</v>
      </c>
      <c r="F310" s="11" t="n">
        <f aca="false">(E310-D310)/7</f>
        <v>78.2857142857143</v>
      </c>
      <c r="G310" s="11" t="n">
        <f aca="true">(TODAY()-D310)/7</f>
        <v>6.42857142857143</v>
      </c>
      <c r="H310" s="12" t="n">
        <v>80</v>
      </c>
      <c r="I310" s="12" t="n">
        <v>2</v>
      </c>
      <c r="J310" s="12" t="n">
        <v>0</v>
      </c>
      <c r="K310" s="12" t="str">
        <f aca="false">IF(J310&lt;-10,"MUITO ADIANTADO",IF(J310&lt;-6,"ADIANTADO",IF(J310&lt;6,"EM DIAS",IF(J310&lt;12,"ATRASADO","MUITO ATRASADO"))))</f>
        <v>EM DIAS</v>
      </c>
      <c r="L310" s="9" t="n">
        <v>46161</v>
      </c>
      <c r="M310" s="6" t="n">
        <f aca="true">TODAY()-L310</f>
        <v>10</v>
      </c>
      <c r="N310" s="1" t="str">
        <f aca="false">IF(M310&lt;8,"VERIFICADO",IF(M310&lt;15,"VERIFICAR","VERIFICAR URGENTE"))</f>
        <v>VERIFICAR</v>
      </c>
    </row>
    <row r="311" customFormat="false" ht="15" hidden="false" customHeight="false" outlineLevel="0" collapsed="false">
      <c r="A311" s="6" t="s">
        <v>325</v>
      </c>
      <c r="B311" s="7" t="s">
        <v>24</v>
      </c>
      <c r="C311" s="7" t="s">
        <v>326</v>
      </c>
      <c r="D311" s="9" t="n">
        <v>45962</v>
      </c>
      <c r="E311" s="10" t="n">
        <v>46494</v>
      </c>
      <c r="F311" s="11" t="n">
        <f aca="false">(E311-D311)/7</f>
        <v>76</v>
      </c>
      <c r="G311" s="11" t="n">
        <f aca="true">(TODAY()-D311)/7</f>
        <v>29.8571428571429</v>
      </c>
      <c r="H311" s="12" t="n">
        <v>80</v>
      </c>
      <c r="I311" s="12" t="n">
        <v>24</v>
      </c>
      <c r="J311" s="13" t="n">
        <f aca="false">IFERROR(((G311*H311)/F311)-I311,"")</f>
        <v>7.42857142857143</v>
      </c>
      <c r="K311" s="12" t="str">
        <f aca="false">IF(J311&lt;-10,"MUITO ADIANTADO",IF(J311&lt;-6,"ADIANTADO",IF(J311&lt;6,"EM DIAS",IF(J311&lt;12,"ATRASADO","MUITO ATRASADO"))))</f>
        <v>ATRASADO</v>
      </c>
      <c r="L311" s="9" t="n">
        <v>46158</v>
      </c>
      <c r="M311" s="6" t="n">
        <f aca="true">TODAY()-L311</f>
        <v>13</v>
      </c>
      <c r="N311" s="1" t="str">
        <f aca="false">IF(M311&lt;8,"VERIFICADO",IF(M311&lt;15,"VERIFICAR","VERIFICAR URGENTE"))</f>
        <v>VERIFICAR</v>
      </c>
    </row>
    <row r="312" customFormat="false" ht="15" hidden="false" customHeight="false" outlineLevel="0" collapsed="false">
      <c r="A312" s="6" t="s">
        <v>327</v>
      </c>
      <c r="B312" s="7" t="s">
        <v>17</v>
      </c>
      <c r="C312" s="8" t="n">
        <f aca="false">L312</f>
        <v>46162</v>
      </c>
      <c r="D312" s="9" t="n">
        <v>45985</v>
      </c>
      <c r="E312" s="10" t="n">
        <v>46883</v>
      </c>
      <c r="F312" s="11" t="n">
        <f aca="false">(E312-D312)/7</f>
        <v>128.285714285714</v>
      </c>
      <c r="G312" s="11" t="n">
        <f aca="true">(TODAY()-D312)/7</f>
        <v>26.5714285714286</v>
      </c>
      <c r="H312" s="12" t="n">
        <v>128</v>
      </c>
      <c r="I312" s="12" t="n">
        <v>22</v>
      </c>
      <c r="J312" s="13" t="n">
        <f aca="false">IFERROR(((G312*H312)/F312)-I312,"")</f>
        <v>4.51224944320719</v>
      </c>
      <c r="K312" s="12" t="str">
        <f aca="false">IF(J312&lt;-10,"MUITO ADIANTADO",IF(J312&lt;-6,"ADIANTADO",IF(J312&lt;6,"EM DIAS",IF(J312&lt;12,"ATRASADO","MUITO ATRASADO"))))</f>
        <v>EM DIAS</v>
      </c>
      <c r="L312" s="9" t="n">
        <v>46162</v>
      </c>
      <c r="M312" s="6" t="n">
        <f aca="true">TODAY()-L312</f>
        <v>9</v>
      </c>
      <c r="N312" s="1" t="str">
        <f aca="false">IF(M312&lt;8,"VERIFICADO",IF(M312&lt;15,"VERIFICAR","VERIFICAR URGENTE"))</f>
        <v>VERIFICAR</v>
      </c>
    </row>
    <row r="313" customFormat="false" ht="15" hidden="false" customHeight="false" outlineLevel="0" collapsed="false">
      <c r="A313" s="6" t="s">
        <v>328</v>
      </c>
      <c r="B313" s="6" t="s">
        <v>19</v>
      </c>
      <c r="C313" s="8" t="n">
        <f aca="false">L313</f>
        <v>46160</v>
      </c>
      <c r="D313" s="9" t="n">
        <v>46118</v>
      </c>
      <c r="E313" s="10" t="n">
        <v>46849</v>
      </c>
      <c r="F313" s="11" t="n">
        <f aca="false">(E313-D313)/7</f>
        <v>104.428571428571</v>
      </c>
      <c r="G313" s="11" t="n">
        <f aca="true">(TODAY()-D313)/7</f>
        <v>7.57142857142857</v>
      </c>
      <c r="H313" s="12" t="n">
        <v>80</v>
      </c>
      <c r="I313" s="12" t="n">
        <v>10</v>
      </c>
      <c r="J313" s="13" t="n">
        <v>0</v>
      </c>
      <c r="K313" s="12" t="str">
        <f aca="false">IF(J313&lt;-10,"MUITO ADIANTADO",IF(J313&lt;-6,"ADIANTADO",IF(J313&lt;6,"EM DIAS",IF(J313&lt;12,"ATRASADO","MUITO ATRASADO"))))</f>
        <v>EM DIAS</v>
      </c>
      <c r="L313" s="9" t="n">
        <v>46160</v>
      </c>
      <c r="M313" s="6" t="n">
        <f aca="true">TODAY()-L313</f>
        <v>11</v>
      </c>
      <c r="N313" s="1" t="str">
        <f aca="false">IF(M313&lt;8,"VERIFICADO",IF(M313&lt;15,"VERIFICAR","VERIFICAR URGENTE"))</f>
        <v>VERIFICAR</v>
      </c>
    </row>
    <row r="314" customFormat="false" ht="15" hidden="false" customHeight="false" outlineLevel="0" collapsed="false">
      <c r="A314" s="6" t="s">
        <v>329</v>
      </c>
      <c r="B314" s="7" t="s">
        <v>24</v>
      </c>
      <c r="C314" s="8" t="n">
        <f aca="false">L314</f>
        <v>46161</v>
      </c>
      <c r="D314" s="9" t="n">
        <v>45887</v>
      </c>
      <c r="E314" s="10" t="n">
        <v>46805</v>
      </c>
      <c r="F314" s="11" t="n">
        <f aca="false">(E314-D314)/7</f>
        <v>131.142857142857</v>
      </c>
      <c r="G314" s="11" t="n">
        <f aca="true">(TODAY()-D314)/7</f>
        <v>40.5714285714286</v>
      </c>
      <c r="H314" s="12" t="n">
        <v>102</v>
      </c>
      <c r="I314" s="12" t="n">
        <v>38</v>
      </c>
      <c r="J314" s="13" t="n">
        <f aca="false">IFERROR(((G314*H314)/F314)-I314,"")</f>
        <v>-6.44444444444441</v>
      </c>
      <c r="K314" s="12" t="str">
        <f aca="false">IF(J314&lt;-10,"MUITO ADIANTADO",IF(J314&lt;-6,"ADIANTADO",IF(J314&lt;6,"EM DIAS",IF(J314&lt;12,"ATRASADO","MUITO ATRASADO"))))</f>
        <v>ADIANTADO</v>
      </c>
      <c r="L314" s="9" t="n">
        <v>46161</v>
      </c>
      <c r="M314" s="6" t="n">
        <f aca="true">TODAY()-L314</f>
        <v>10</v>
      </c>
      <c r="N314" s="1" t="str">
        <f aca="false">IF(M314&lt;8,"VERIFICADO",IF(M314&lt;15,"VERIFICAR","VERIFICAR URGENTE"))</f>
        <v>VERIFICAR</v>
      </c>
    </row>
    <row r="315" customFormat="false" ht="15" hidden="false" customHeight="false" outlineLevel="0" collapsed="false">
      <c r="A315" s="6" t="s">
        <v>330</v>
      </c>
      <c r="B315" s="7" t="s">
        <v>17</v>
      </c>
      <c r="C315" s="8" t="n">
        <f aca="false">L315</f>
        <v>46161</v>
      </c>
      <c r="D315" s="9" t="n">
        <v>46028</v>
      </c>
      <c r="E315" s="10" t="n">
        <v>47375</v>
      </c>
      <c r="F315" s="11" t="n">
        <f aca="false">(E315-D315)/7</f>
        <v>192.428571428571</v>
      </c>
      <c r="G315" s="11" t="n">
        <f aca="true">(TODAY()-D315)/7</f>
        <v>20.4285714285714</v>
      </c>
      <c r="H315" s="12" t="n">
        <v>192</v>
      </c>
      <c r="I315" s="12" t="n">
        <v>30</v>
      </c>
      <c r="J315" s="13" t="n">
        <f aca="false">IFERROR(((G315*H315)/F315)-I315,"")</f>
        <v>-9.61692650334071</v>
      </c>
      <c r="K315" s="12" t="str">
        <f aca="false">IF(J315&lt;-10,"MUITO ADIANTADO",IF(J315&lt;-6,"ADIANTADO",IF(J315&lt;6,"EM DIAS",IF(J315&lt;12,"ATRASADO","MUITO ATRASADO"))))</f>
        <v>ADIANTADO</v>
      </c>
      <c r="L315" s="9" t="n">
        <v>46161</v>
      </c>
      <c r="M315" s="6" t="n">
        <f aca="true">TODAY()-L315</f>
        <v>10</v>
      </c>
      <c r="N315" s="1" t="str">
        <f aca="false">IF(M315&lt;8,"VERIFICADO",IF(M315&lt;15,"VERIFICAR","VERIFICAR URGENTE"))</f>
        <v>VERIFICAR</v>
      </c>
    </row>
    <row r="316" customFormat="false" ht="15" hidden="false" customHeight="false" outlineLevel="0" collapsed="false">
      <c r="A316" s="6" t="s">
        <v>331</v>
      </c>
      <c r="B316" s="7" t="s">
        <v>22</v>
      </c>
      <c r="C316" s="8" t="n">
        <f aca="false">L316</f>
        <v>46164</v>
      </c>
      <c r="D316" s="9" t="n">
        <v>45800</v>
      </c>
      <c r="E316" s="10" t="n">
        <v>46204</v>
      </c>
      <c r="F316" s="11" t="n">
        <f aca="false">(E316-D316)/7</f>
        <v>57.7142857142857</v>
      </c>
      <c r="G316" s="11" t="n">
        <f aca="true">(TODAY()-D316)/7</f>
        <v>53</v>
      </c>
      <c r="H316" s="12" t="n">
        <v>80</v>
      </c>
      <c r="I316" s="12" t="n">
        <v>66</v>
      </c>
      <c r="J316" s="13" t="n">
        <f aca="false">IFERROR(((G316*H316)/F316)-I316,"")</f>
        <v>7.46534653465348</v>
      </c>
      <c r="K316" s="12" t="str">
        <f aca="false">IF(J316&lt;-10,"MUITO ADIANTADO",IF(J316&lt;-6,"ADIANTADO",IF(J316&lt;6,"EM DIAS",IF(J316&lt;12,"ATRASADO","MUITO ATRASADO"))))</f>
        <v>ATRASADO</v>
      </c>
      <c r="L316" s="9" t="n">
        <v>46164</v>
      </c>
      <c r="M316" s="6" t="n">
        <f aca="true">TODAY()-L316</f>
        <v>7</v>
      </c>
      <c r="N316" s="1" t="str">
        <f aca="false">IF(M316&lt;8,"VERIFICADO",IF(M316&lt;15,"VERIFICAR","VERIFICAR URGENTE"))</f>
        <v>VERIFICADO</v>
      </c>
    </row>
    <row r="317" customFormat="false" ht="15" hidden="false" customHeight="false" outlineLevel="0" collapsed="false">
      <c r="A317" s="6" t="s">
        <v>332</v>
      </c>
      <c r="B317" s="7" t="s">
        <v>22</v>
      </c>
      <c r="C317" s="8" t="n">
        <f aca="false">L317</f>
        <v>46160</v>
      </c>
      <c r="D317" s="9" t="n">
        <v>46121</v>
      </c>
      <c r="E317" s="10" t="n">
        <v>46702</v>
      </c>
      <c r="F317" s="11" t="n">
        <f aca="false">(E317-D317)/7</f>
        <v>83</v>
      </c>
      <c r="G317" s="11" t="n">
        <f aca="true">(TODAY()-D317)/7</f>
        <v>7.14285714285714</v>
      </c>
      <c r="H317" s="12" t="n">
        <v>16</v>
      </c>
      <c r="I317" s="12" t="n">
        <v>10</v>
      </c>
      <c r="J317" s="13" t="n">
        <f aca="false">IFERROR(((G317*H317)/F317)-I317,"")</f>
        <v>-8.62306368330465</v>
      </c>
      <c r="K317" s="12" t="str">
        <f aca="false">IF(J317&lt;-10,"MUITO ADIANTADO",IF(J317&lt;-6,"ADIANTADO",IF(J317&lt;6,"EM DIAS",IF(J317&lt;12,"ATRASADO","MUITO ATRASADO"))))</f>
        <v>ADIANTADO</v>
      </c>
      <c r="L317" s="9" t="n">
        <v>46160</v>
      </c>
      <c r="M317" s="6" t="n">
        <f aca="true">TODAY()-L317</f>
        <v>11</v>
      </c>
      <c r="N317" s="1" t="str">
        <f aca="false">IF(M317&lt;8,"VERIFICADO",IF(M317&lt;15,"VERIFICAR","VERIFICAR URGENTE"))</f>
        <v>VERIFICAR</v>
      </c>
    </row>
    <row r="318" customFormat="false" ht="15" hidden="false" customHeight="false" outlineLevel="0" collapsed="false">
      <c r="A318" s="6" t="s">
        <v>333</v>
      </c>
      <c r="B318" s="7" t="s">
        <v>22</v>
      </c>
      <c r="C318" s="8" t="n">
        <f aca="false">L318</f>
        <v>46164</v>
      </c>
      <c r="D318" s="9" t="n">
        <v>45534</v>
      </c>
      <c r="E318" s="10" t="n">
        <v>46629</v>
      </c>
      <c r="F318" s="11" t="n">
        <f aca="false">(E318-D318)/7</f>
        <v>156.428571428571</v>
      </c>
      <c r="G318" s="11" t="n">
        <f aca="true">(TODAY()-D318)/7</f>
        <v>91</v>
      </c>
      <c r="H318" s="12" t="n">
        <v>176</v>
      </c>
      <c r="I318" s="12" t="n">
        <v>94</v>
      </c>
      <c r="J318" s="13" t="n">
        <f aca="false">IFERROR(((G318*H318)/F318)-I318,"")</f>
        <v>8.38538812785417</v>
      </c>
      <c r="K318" s="12" t="str">
        <f aca="false">IF(J318&lt;-10,"MUITO ADIANTADO",IF(J318&lt;-6,"ADIANTADO",IF(J318&lt;6,"EM DIAS",IF(J318&lt;12,"ATRASADO","MUITO ATRASADO"))))</f>
        <v>ATRASADO</v>
      </c>
      <c r="L318" s="9" t="n">
        <v>46164</v>
      </c>
      <c r="M318" s="6" t="n">
        <f aca="true">TODAY()-L318</f>
        <v>7</v>
      </c>
      <c r="N318" s="1" t="str">
        <f aca="false">IF(M318&lt;8,"VERIFICADO",IF(M318&lt;15,"VERIFICAR","VERIFICAR URGENTE"))</f>
        <v>VERIFICADO</v>
      </c>
    </row>
    <row r="319" customFormat="false" ht="15" hidden="false" customHeight="false" outlineLevel="0" collapsed="false">
      <c r="A319" s="6" t="s">
        <v>334</v>
      </c>
      <c r="B319" s="7" t="s">
        <v>19</v>
      </c>
      <c r="C319" s="8" t="n">
        <f aca="false">L319</f>
        <v>46160</v>
      </c>
      <c r="D319" s="9" t="n">
        <v>45674</v>
      </c>
      <c r="E319" s="10" t="n">
        <v>46600</v>
      </c>
      <c r="F319" s="11" t="n">
        <f aca="false">(E319-D319)/7</f>
        <v>132.285714285714</v>
      </c>
      <c r="G319" s="11" t="n">
        <f aca="true">(TODAY()-D319)/7</f>
        <v>71</v>
      </c>
      <c r="H319" s="12" t="n">
        <v>128</v>
      </c>
      <c r="I319" s="12" t="n">
        <v>65</v>
      </c>
      <c r="J319" s="13" t="n">
        <f aca="false">IFERROR(((G319*H319)/F319)-I319,"")</f>
        <v>3.69978401727877</v>
      </c>
      <c r="K319" s="12" t="str">
        <f aca="false">IF(J319&lt;-10,"MUITO ADIANTADO",IF(J319&lt;-6,"ADIANTADO",IF(J319&lt;6,"EM DIAS",IF(J319&lt;12,"ATRASADO","MUITO ATRASADO"))))</f>
        <v>EM DIAS</v>
      </c>
      <c r="L319" s="9" t="n">
        <v>46160</v>
      </c>
      <c r="M319" s="6" t="n">
        <f aca="true">TODAY()-L319</f>
        <v>11</v>
      </c>
      <c r="N319" s="1" t="str">
        <f aca="false">IF(M319&lt;8,"VERIFICADO",IF(M319&lt;15,"VERIFICAR","VERIFICAR URGENTE"))</f>
        <v>VERIFICAR</v>
      </c>
    </row>
    <row r="320" customFormat="false" ht="15" hidden="false" customHeight="false" outlineLevel="0" collapsed="false">
      <c r="A320" s="6" t="s">
        <v>335</v>
      </c>
      <c r="B320" s="7" t="s">
        <v>19</v>
      </c>
      <c r="C320" s="8" t="n">
        <f aca="false">L320</f>
        <v>46160</v>
      </c>
      <c r="D320" s="9" t="n">
        <v>46048</v>
      </c>
      <c r="E320" s="10" t="n">
        <v>46507</v>
      </c>
      <c r="F320" s="11" t="n">
        <f aca="false">(E320-D320)/7</f>
        <v>65.5714285714286</v>
      </c>
      <c r="G320" s="11" t="n">
        <f aca="true">(TODAY()-D320)/7</f>
        <v>17.5714285714286</v>
      </c>
      <c r="H320" s="12" t="n">
        <v>97</v>
      </c>
      <c r="I320" s="12" t="n">
        <v>20</v>
      </c>
      <c r="J320" s="13" t="n">
        <f aca="false">IFERROR(((G320*H320)/F320)-I320,"")</f>
        <v>5.99346405228758</v>
      </c>
      <c r="K320" s="12" t="str">
        <f aca="false">IF(J320&lt;-10,"MUITO ADIANTADO",IF(J320&lt;-6,"ADIANTADO",IF(J320&lt;6,"EM DIAS",IF(J320&lt;12,"ATRASADO","MUITO ATRASADO"))))</f>
        <v>EM DIAS</v>
      </c>
      <c r="L320" s="9" t="n">
        <v>46160</v>
      </c>
      <c r="M320" s="6" t="n">
        <f aca="true">TODAY()-L320</f>
        <v>11</v>
      </c>
      <c r="N320" s="1" t="str">
        <f aca="false">IF(M320&lt;8,"VERIFICADO",IF(M320&lt;15,"VERIFICAR","VERIFICAR URGENTE"))</f>
        <v>VERIFICAR</v>
      </c>
    </row>
    <row r="321" customFormat="false" ht="15" hidden="false" customHeight="false" outlineLevel="0" collapsed="false">
      <c r="A321" s="6" t="s">
        <v>336</v>
      </c>
      <c r="B321" s="7" t="s">
        <v>17</v>
      </c>
      <c r="C321" s="8" t="n">
        <f aca="false">L321</f>
        <v>46162</v>
      </c>
      <c r="D321" s="9" t="n">
        <v>45924</v>
      </c>
      <c r="E321" s="10" t="n">
        <v>46905</v>
      </c>
      <c r="F321" s="11" t="n">
        <f aca="false">(E321-D321)/7</f>
        <v>140.142857142857</v>
      </c>
      <c r="G321" s="11" t="n">
        <f aca="true">(TODAY()-D321)/7</f>
        <v>35.2857142857143</v>
      </c>
      <c r="H321" s="12" t="n">
        <v>192</v>
      </c>
      <c r="I321" s="12" t="n">
        <v>45</v>
      </c>
      <c r="J321" s="13" t="n">
        <f aca="false">IFERROR(((G321*H321)/F321)-I321,"")</f>
        <v>3.34250764525999</v>
      </c>
      <c r="K321" s="12" t="str">
        <f aca="false">IF(J321&lt;-10,"MUITO ADIANTADO",IF(J321&lt;-6,"ADIANTADO",IF(J321&lt;6,"EM DIAS",IF(J321&lt;12,"ATRASADO","MUITO ATRASADO"))))</f>
        <v>EM DIAS</v>
      </c>
      <c r="L321" s="9" t="n">
        <v>46162</v>
      </c>
      <c r="M321" s="6" t="n">
        <f aca="true">TODAY()-L321</f>
        <v>9</v>
      </c>
      <c r="N321" s="1" t="str">
        <f aca="false">IF(M321&lt;8,"VERIFICADO",IF(M321&lt;15,"VERIFICAR","VERIFICAR URGENTE"))</f>
        <v>VERIFICAR</v>
      </c>
    </row>
    <row r="322" customFormat="false" ht="15" hidden="false" customHeight="false" outlineLevel="0" collapsed="false">
      <c r="A322" s="6" t="s">
        <v>337</v>
      </c>
      <c r="B322" s="7" t="s">
        <v>15</v>
      </c>
      <c r="C322" s="8" t="n">
        <f aca="false">L322</f>
        <v>46160</v>
      </c>
      <c r="D322" s="9" t="n">
        <v>46125</v>
      </c>
      <c r="E322" s="10" t="n">
        <v>46675</v>
      </c>
      <c r="F322" s="11" t="n">
        <f aca="false">(E322-D322)/7</f>
        <v>78.5714285714286</v>
      </c>
      <c r="G322" s="11" t="n">
        <f aca="true">(TODAY()-D322)/7</f>
        <v>6.57142857142857</v>
      </c>
      <c r="H322" s="12" t="n">
        <v>90</v>
      </c>
      <c r="I322" s="12" t="n">
        <v>15</v>
      </c>
      <c r="J322" s="13" t="n">
        <f aca="false">IFERROR(((G322*H322)/F322)-I322,"")</f>
        <v>-7.47272727272728</v>
      </c>
      <c r="K322" s="12" t="str">
        <f aca="false">IF(J322&lt;-10,"MUITO ADIANTADO",IF(J322&lt;-6,"ADIANTADO",IF(J322&lt;6,"EM DIAS",IF(J322&lt;12,"ATRASADO","MUITO ATRASADO"))))</f>
        <v>ADIANTADO</v>
      </c>
      <c r="L322" s="9" t="n">
        <v>46160</v>
      </c>
      <c r="M322" s="6" t="n">
        <f aca="true">TODAY()-L322</f>
        <v>11</v>
      </c>
      <c r="N322" s="1" t="str">
        <f aca="false">IF(M322&lt;8,"VERIFICADO",IF(M322&lt;15,"VERIFICAR","VERIFICAR URGENTE"))</f>
        <v>VERIFICAR</v>
      </c>
    </row>
    <row r="323" customFormat="false" ht="15" hidden="false" customHeight="false" outlineLevel="0" collapsed="false">
      <c r="A323" s="6" t="s">
        <v>338</v>
      </c>
      <c r="B323" s="7" t="s">
        <v>24</v>
      </c>
      <c r="C323" s="8" t="n">
        <f aca="false">L323</f>
        <v>46160</v>
      </c>
      <c r="D323" s="9" t="n">
        <v>46104</v>
      </c>
      <c r="E323" s="10" t="n">
        <v>47503</v>
      </c>
      <c r="F323" s="11" t="n">
        <f aca="false">(E323-D323)/7</f>
        <v>199.857142857143</v>
      </c>
      <c r="G323" s="11" t="n">
        <f aca="true">(TODAY()-D323)/7</f>
        <v>9.57142857142857</v>
      </c>
      <c r="H323" s="12" t="n">
        <v>192</v>
      </c>
      <c r="I323" s="12" t="n">
        <v>6</v>
      </c>
      <c r="J323" s="13" t="n">
        <f aca="false">IFERROR(((G323*H323)/F323)-I323,"")</f>
        <v>3.19513938527519</v>
      </c>
      <c r="K323" s="12" t="str">
        <f aca="false">IF(J323&lt;-10,"MUITO ADIANTADO",IF(J323&lt;-6,"ADIANTADO",IF(J323&lt;6,"EM DIAS",IF(J323&lt;12,"ATRASADO","MUITO ATRASADO"))))</f>
        <v>EM DIAS</v>
      </c>
      <c r="L323" s="9" t="n">
        <v>46160</v>
      </c>
      <c r="M323" s="6" t="n">
        <f aca="true">TODAY()-L323</f>
        <v>11</v>
      </c>
      <c r="N323" s="1" t="str">
        <f aca="false">IF(M323&lt;8,"VERIFICADO",IF(M323&lt;15,"VERIFICAR","VERIFICAR URGENTE"))</f>
        <v>VERIFICAR</v>
      </c>
    </row>
    <row r="324" customFormat="false" ht="15" hidden="false" customHeight="false" outlineLevel="0" collapsed="false">
      <c r="A324" s="6" t="s">
        <v>339</v>
      </c>
      <c r="B324" s="7" t="s">
        <v>24</v>
      </c>
      <c r="C324" s="8" t="n">
        <f aca="false">L324</f>
        <v>46164</v>
      </c>
      <c r="D324" s="9" t="n">
        <v>45699</v>
      </c>
      <c r="E324" s="10" t="n">
        <v>46325</v>
      </c>
      <c r="F324" s="11" t="n">
        <f aca="false">(E324-D324)/7</f>
        <v>89.4285714285714</v>
      </c>
      <c r="G324" s="11" t="n">
        <f aca="true">(TODAY()-D324)/7</f>
        <v>67.4285714285714</v>
      </c>
      <c r="H324" s="12" t="n">
        <v>112</v>
      </c>
      <c r="I324" s="12" t="n">
        <v>74</v>
      </c>
      <c r="J324" s="13" t="n">
        <f aca="false">IFERROR(((G324*H324)/F324)-I324,"")</f>
        <v>10.4472843450479</v>
      </c>
      <c r="K324" s="12" t="str">
        <f aca="false">IF(J324&lt;-10,"MUITO ADIANTADO",IF(J324&lt;-6,"ADIANTADO",IF(J324&lt;6,"EM DIAS",IF(J324&lt;12,"ATRASADO","MUITO ATRASADO"))))</f>
        <v>ATRASADO</v>
      </c>
      <c r="L324" s="9" t="n">
        <v>46164</v>
      </c>
      <c r="M324" s="6" t="n">
        <f aca="true">TODAY()-L324</f>
        <v>7</v>
      </c>
      <c r="N324" s="1" t="str">
        <f aca="false">IF(M324&lt;8,"VERIFICADO",IF(M324&lt;15,"VERIFICAR","VERIFICAR URGENTE"))</f>
        <v>VERIFICADO</v>
      </c>
    </row>
    <row r="325" customFormat="false" ht="15" hidden="false" customHeight="false" outlineLevel="0" collapsed="false">
      <c r="A325" s="6" t="s">
        <v>340</v>
      </c>
      <c r="B325" s="7" t="s">
        <v>15</v>
      </c>
      <c r="C325" s="8" t="n">
        <f aca="false">L325</f>
        <v>46165</v>
      </c>
      <c r="D325" s="9" t="n">
        <v>45304</v>
      </c>
      <c r="E325" s="10" t="n">
        <v>46233</v>
      </c>
      <c r="F325" s="11" t="n">
        <f aca="false">(E325-D325)/7</f>
        <v>132.714285714286</v>
      </c>
      <c r="G325" s="11" t="n">
        <f aca="true">(TODAY()-D325)/7</f>
        <v>123.857142857143</v>
      </c>
      <c r="H325" s="12" t="n">
        <v>208</v>
      </c>
      <c r="I325" s="12" t="n">
        <v>187</v>
      </c>
      <c r="J325" s="13" t="n">
        <f aca="false">IFERROR(((G325*H325)/F325)-I325,"")</f>
        <v>7.11840688912767</v>
      </c>
      <c r="K325" s="12" t="str">
        <f aca="false">IF(J325&lt;-10,"MUITO ADIANTADO",IF(J325&lt;-6,"ADIANTADO",IF(J325&lt;6,"EM DIAS",IF(J325&lt;12,"ATRASADO","MUITO ATRASADO"))))</f>
        <v>ATRASADO</v>
      </c>
      <c r="L325" s="9" t="n">
        <v>46165</v>
      </c>
      <c r="M325" s="6" t="n">
        <f aca="true">TODAY()-L325</f>
        <v>6</v>
      </c>
      <c r="N325" s="1" t="str">
        <f aca="false">IF(M325&lt;8,"VERIFICADO",IF(M325&lt;15,"VERIFICAR","VERIFICAR URGENTE"))</f>
        <v>VERIFICADO</v>
      </c>
    </row>
    <row r="326" customFormat="false" ht="15" hidden="false" customHeight="false" outlineLevel="0" collapsed="false">
      <c r="A326" s="6" t="s">
        <v>341</v>
      </c>
      <c r="B326" s="7" t="s">
        <v>22</v>
      </c>
      <c r="C326" s="8" t="n">
        <f aca="false">L326</f>
        <v>46162</v>
      </c>
      <c r="D326" s="9" t="n">
        <v>45896</v>
      </c>
      <c r="E326" s="10" t="n">
        <v>46911</v>
      </c>
      <c r="F326" s="11" t="n">
        <f aca="false">(E326-D326)/7</f>
        <v>145</v>
      </c>
      <c r="G326" s="11" t="n">
        <f aca="true">(TODAY()-D326)/7</f>
        <v>39.2857142857143</v>
      </c>
      <c r="H326" s="12" t="n">
        <v>128</v>
      </c>
      <c r="I326" s="12" t="n">
        <v>39</v>
      </c>
      <c r="J326" s="13" t="n">
        <f aca="false">IFERROR(((G326*H326)/F326)-I326,"")</f>
        <v>-4.32019704433498</v>
      </c>
      <c r="K326" s="12" t="str">
        <f aca="false">IF(J326&lt;-10,"MUITO ADIANTADO",IF(J326&lt;-6,"ADIANTADO",IF(J326&lt;6,"EM DIAS",IF(J326&lt;12,"ATRASADO","MUITO ATRASADO"))))</f>
        <v>EM DIAS</v>
      </c>
      <c r="L326" s="9" t="n">
        <v>46162</v>
      </c>
      <c r="M326" s="6" t="n">
        <f aca="true">TODAY()-L326</f>
        <v>9</v>
      </c>
      <c r="N326" s="1" t="str">
        <f aca="false">IF(M326&lt;8,"VERIFICADO",IF(M326&lt;15,"VERIFICAR","VERIFICAR URGENTE"))</f>
        <v>VERIFICAR</v>
      </c>
    </row>
    <row r="327" customFormat="false" ht="15" hidden="false" customHeight="false" outlineLevel="0" collapsed="false">
      <c r="A327" s="6" t="s">
        <v>342</v>
      </c>
      <c r="B327" s="7" t="s">
        <v>22</v>
      </c>
      <c r="C327" s="8" t="n">
        <f aca="false">L327</f>
        <v>46160</v>
      </c>
      <c r="D327" s="9" t="n">
        <v>45841</v>
      </c>
      <c r="E327" s="10" t="n">
        <v>46414</v>
      </c>
      <c r="F327" s="11" t="n">
        <f aca="false">(E327-D327)/7</f>
        <v>81.8571428571429</v>
      </c>
      <c r="G327" s="11" t="n">
        <f aca="true">(TODAY()-D327)/7</f>
        <v>47.1428571428571</v>
      </c>
      <c r="H327" s="12" t="n">
        <v>64</v>
      </c>
      <c r="I327" s="12" t="n">
        <v>36</v>
      </c>
      <c r="J327" s="13" t="n">
        <f aca="false">IFERROR(((G327*H327)/F327)-I327,"")</f>
        <v>0.858638743455479</v>
      </c>
      <c r="K327" s="12" t="str">
        <f aca="false">IF(J327&lt;-10,"MUITO ADIANTADO",IF(J327&lt;-6,"ADIANTADO",IF(J327&lt;6,"EM DIAS",IF(J327&lt;12,"ATRASADO","MUITO ATRASADO"))))</f>
        <v>EM DIAS</v>
      </c>
      <c r="L327" s="9" t="n">
        <v>46160</v>
      </c>
      <c r="M327" s="6" t="n">
        <f aca="true">TODAY()-L327</f>
        <v>11</v>
      </c>
      <c r="N327" s="1" t="str">
        <f aca="false">IF(M327&lt;8,"VERIFICADO",IF(M327&lt;15,"VERIFICAR","VERIFICAR URGENTE"))</f>
        <v>VERIFICAR</v>
      </c>
    </row>
    <row r="328" customFormat="false" ht="15" hidden="false" customHeight="false" outlineLevel="0" collapsed="false">
      <c r="A328" s="6" t="s">
        <v>343</v>
      </c>
      <c r="B328" s="7" t="s">
        <v>24</v>
      </c>
      <c r="C328" s="8" t="n">
        <f aca="false">L328</f>
        <v>46162</v>
      </c>
      <c r="D328" s="9" t="n">
        <v>45338</v>
      </c>
      <c r="E328" s="10" t="n">
        <v>46388</v>
      </c>
      <c r="F328" s="11" t="n">
        <f aca="false">(E328-D328)/7</f>
        <v>150</v>
      </c>
      <c r="G328" s="11" t="n">
        <f aca="true">(TODAY()-D328)/7</f>
        <v>119</v>
      </c>
      <c r="H328" s="12" t="n">
        <v>176</v>
      </c>
      <c r="I328" s="12" t="n">
        <v>143</v>
      </c>
      <c r="J328" s="13" t="n">
        <f aca="false">IFERROR(((G328*H328)/F328)-I328,"")</f>
        <v>-3.37333333333334</v>
      </c>
      <c r="K328" s="12" t="str">
        <f aca="false">IF(J328&lt;-10,"MUITO ADIANTADO",IF(J328&lt;-6,"ADIANTADO",IF(J328&lt;6,"EM DIAS",IF(J328&lt;12,"ATRASADO","MUITO ATRASADO"))))</f>
        <v>EM DIAS</v>
      </c>
      <c r="L328" s="9" t="n">
        <v>46162</v>
      </c>
      <c r="M328" s="6" t="n">
        <f aca="true">TODAY()-L328</f>
        <v>9</v>
      </c>
      <c r="N328" s="1" t="str">
        <f aca="false">IF(M328&lt;8,"VERIFICADO",IF(M328&lt;15,"VERIFICAR","VERIFICAR URGENTE"))</f>
        <v>VERIFICAR</v>
      </c>
    </row>
    <row r="329" customFormat="false" ht="15" hidden="false" customHeight="false" outlineLevel="0" collapsed="false">
      <c r="A329" s="6" t="s">
        <v>344</v>
      </c>
      <c r="B329" s="7" t="s">
        <v>15</v>
      </c>
      <c r="C329" s="8" t="n">
        <f aca="false">L329</f>
        <v>46162</v>
      </c>
      <c r="D329" s="9" t="n">
        <v>45698</v>
      </c>
      <c r="E329" s="10" t="n">
        <v>46406</v>
      </c>
      <c r="F329" s="11" t="n">
        <f aca="false">(E329-D329)/7</f>
        <v>101.142857142857</v>
      </c>
      <c r="G329" s="11" t="n">
        <f aca="true">(TODAY()-D329)/7</f>
        <v>67.5714285714286</v>
      </c>
      <c r="H329" s="12" t="n">
        <v>192</v>
      </c>
      <c r="I329" s="12" t="n">
        <v>91</v>
      </c>
      <c r="J329" s="13" t="n">
        <f aca="false">IFERROR(((G329*H329)/F329)-I329,"")</f>
        <v>37.2711864406782</v>
      </c>
      <c r="K329" s="12" t="str">
        <f aca="false">IF(J329&lt;-10,"MUITO ADIANTADO",IF(J329&lt;-6,"ADIANTADO",IF(J329&lt;6,"EM DIAS",IF(J329&lt;12,"ATRASADO","MUITO ATRASADO"))))</f>
        <v>MUITO ATRASADO</v>
      </c>
      <c r="L329" s="9" t="n">
        <v>46162</v>
      </c>
      <c r="M329" s="6" t="n">
        <f aca="true">TODAY()-L329</f>
        <v>9</v>
      </c>
      <c r="N329" s="1" t="str">
        <f aca="false">IF(M329&lt;8,"VERIFICADO",IF(M329&lt;15,"VERIFICAR","VERIFICAR URGENTE"))</f>
        <v>VERIFICAR</v>
      </c>
    </row>
    <row r="330" customFormat="false" ht="15" hidden="false" customHeight="false" outlineLevel="0" collapsed="false">
      <c r="A330" s="6" t="s">
        <v>345</v>
      </c>
      <c r="B330" s="7" t="s">
        <v>24</v>
      </c>
      <c r="C330" s="8" t="n">
        <f aca="false">L330</f>
        <v>46164</v>
      </c>
      <c r="D330" s="9" t="n">
        <v>45786</v>
      </c>
      <c r="E330" s="10" t="n">
        <v>49126</v>
      </c>
      <c r="F330" s="11" t="n">
        <f aca="false">(E330-D330)/7</f>
        <v>477.142857142857</v>
      </c>
      <c r="G330" s="11" t="n">
        <f aca="true">(TODAY()-D330)/7</f>
        <v>55</v>
      </c>
      <c r="H330" s="12" t="n">
        <v>478</v>
      </c>
      <c r="I330" s="12" t="n">
        <v>55</v>
      </c>
      <c r="J330" s="13" t="n">
        <f aca="false">IFERROR(((G330*H330)/F330)-I330,"")</f>
        <v>0.0988023952095958</v>
      </c>
      <c r="K330" s="12" t="str">
        <f aca="false">IF(J330&lt;-10,"MUITO ADIANTADO",IF(J330&lt;-6,"ADIANTADO",IF(J330&lt;6,"EM DIAS",IF(J330&lt;12,"ATRASADO","MUITO ATRASADO"))))</f>
        <v>EM DIAS</v>
      </c>
      <c r="L330" s="9" t="n">
        <v>46164</v>
      </c>
      <c r="M330" s="6" t="n">
        <f aca="true">TODAY()-L330</f>
        <v>7</v>
      </c>
      <c r="N330" s="1" t="str">
        <f aca="false">IF(M330&lt;8,"VERIFICADO",IF(M330&lt;15,"VERIFICAR","VERIFICAR URGENTE"))</f>
        <v>VERIFICADO</v>
      </c>
    </row>
    <row r="331" customFormat="false" ht="15" hidden="false" customHeight="false" outlineLevel="0" collapsed="false">
      <c r="A331" s="6" t="s">
        <v>346</v>
      </c>
      <c r="B331" s="7" t="s">
        <v>24</v>
      </c>
      <c r="C331" s="8" t="n">
        <f aca="false">L331</f>
        <v>46162</v>
      </c>
      <c r="D331" s="9" t="n">
        <v>45451</v>
      </c>
      <c r="E331" s="10" t="n">
        <v>47207</v>
      </c>
      <c r="F331" s="11" t="n">
        <f aca="false">(E331-D331)/7</f>
        <v>250.857142857143</v>
      </c>
      <c r="G331" s="11" t="n">
        <f aca="true">(TODAY()-D331)/7</f>
        <v>102.857142857143</v>
      </c>
      <c r="H331" s="12" t="n">
        <v>256</v>
      </c>
      <c r="I331" s="12" t="n">
        <v>94</v>
      </c>
      <c r="J331" s="13" t="n">
        <f aca="false">IFERROR(((G331*H331)/F331)-I331,"")</f>
        <v>10.9658314350797</v>
      </c>
      <c r="K331" s="12" t="str">
        <f aca="false">IF(J331&lt;-10,"MUITO ADIANTADO",IF(J331&lt;-6,"ADIANTADO",IF(J331&lt;6,"EM DIAS",IF(J331&lt;12,"ATRASADO","MUITO ATRASADO"))))</f>
        <v>ATRASADO</v>
      </c>
      <c r="L331" s="9" t="n">
        <v>46162</v>
      </c>
      <c r="M331" s="6" t="n">
        <f aca="true">TODAY()-L331</f>
        <v>9</v>
      </c>
      <c r="N331" s="1" t="str">
        <f aca="false">IF(M331&lt;8,"VERIFICADO",IF(M331&lt;15,"VERIFICAR","VERIFICAR URGENTE"))</f>
        <v>VERIFICAR</v>
      </c>
    </row>
    <row r="332" customFormat="false" ht="15" hidden="false" customHeight="false" outlineLevel="0" collapsed="false">
      <c r="A332" s="6" t="s">
        <v>347</v>
      </c>
      <c r="B332" s="7" t="s">
        <v>19</v>
      </c>
      <c r="C332" s="8" t="n">
        <f aca="false">L332</f>
        <v>46160</v>
      </c>
      <c r="D332" s="9" t="n">
        <v>45626</v>
      </c>
      <c r="E332" s="10" t="n">
        <v>46174</v>
      </c>
      <c r="F332" s="11" t="n">
        <f aca="false">(E332-D332)/7</f>
        <v>78.2857142857143</v>
      </c>
      <c r="G332" s="11" t="n">
        <f aca="true">(TODAY()-D332)/7</f>
        <v>77.8571428571429</v>
      </c>
      <c r="H332" s="12" t="n">
        <v>112</v>
      </c>
      <c r="I332" s="12" t="n">
        <v>105</v>
      </c>
      <c r="J332" s="13" t="n">
        <f aca="false">IFERROR(((G332*H332)/F332)-I332,"")</f>
        <v>6.38686131386858</v>
      </c>
      <c r="K332" s="12" t="str">
        <f aca="false">IF(J332&lt;-10,"MUITO ADIANTADO",IF(J332&lt;-6,"ADIANTADO",IF(J332&lt;6,"EM DIAS",IF(J332&lt;12,"ATRASADO","MUITO ATRASADO"))))</f>
        <v>ATRASADO</v>
      </c>
      <c r="L332" s="9" t="n">
        <v>46160</v>
      </c>
      <c r="M332" s="6" t="n">
        <f aca="true">TODAY()-L332</f>
        <v>11</v>
      </c>
      <c r="N332" s="1" t="str">
        <f aca="false">IF(M332&lt;8,"VERIFICADO",IF(M332&lt;15,"VERIFICAR","VERIFICAR URGENTE"))</f>
        <v>VERIFICAR</v>
      </c>
    </row>
    <row r="333" customFormat="false" ht="15" hidden="false" customHeight="false" outlineLevel="0" collapsed="false">
      <c r="A333" s="6" t="s">
        <v>348</v>
      </c>
      <c r="B333" s="7" t="s">
        <v>19</v>
      </c>
      <c r="C333" s="8" t="n">
        <f aca="false">L333</f>
        <v>46160</v>
      </c>
      <c r="D333" s="9" t="n">
        <v>45880</v>
      </c>
      <c r="E333" s="10" t="n">
        <v>46327</v>
      </c>
      <c r="F333" s="11" t="n">
        <f aca="false">(E333-D333)/7</f>
        <v>63.8571428571429</v>
      </c>
      <c r="G333" s="11" t="n">
        <f aca="true">(TODAY()-D333)/7</f>
        <v>41.5714285714286</v>
      </c>
      <c r="H333" s="12" t="n">
        <v>80</v>
      </c>
      <c r="I333" s="12" t="n">
        <v>44</v>
      </c>
      <c r="J333" s="13" t="n">
        <f aca="false">IFERROR(((G333*H333)/F333)-I333,"")</f>
        <v>8.08053691275164</v>
      </c>
      <c r="K333" s="12" t="str">
        <f aca="false">IF(J333&lt;-10,"MUITO ADIANTADO",IF(J333&lt;-6,"ADIANTADO",IF(J333&lt;6,"EM DIAS",IF(J333&lt;12,"ATRASADO","MUITO ATRASADO"))))</f>
        <v>ATRASADO</v>
      </c>
      <c r="L333" s="9" t="n">
        <v>46160</v>
      </c>
      <c r="M333" s="6" t="n">
        <f aca="true">TODAY()-L333</f>
        <v>11</v>
      </c>
      <c r="N333" s="1" t="str">
        <f aca="false">IF(M333&lt;8,"VERIFICADO",IF(M333&lt;15,"VERIFICAR","VERIFICAR URGENTE"))</f>
        <v>VERIFICAR</v>
      </c>
    </row>
    <row r="334" customFormat="false" ht="15" hidden="false" customHeight="false" outlineLevel="0" collapsed="false">
      <c r="A334" s="6" t="s">
        <v>349</v>
      </c>
      <c r="B334" s="7" t="s">
        <v>22</v>
      </c>
      <c r="C334" s="8" t="n">
        <f aca="false">L334</f>
        <v>46161</v>
      </c>
      <c r="D334" s="9" t="n">
        <v>45790</v>
      </c>
      <c r="E334" s="10" t="n">
        <v>46346</v>
      </c>
      <c r="F334" s="11" t="n">
        <f aca="false">(E334-D334)/7</f>
        <v>79.4285714285714</v>
      </c>
      <c r="G334" s="11" t="n">
        <f aca="true">(TODAY()-D334)/7</f>
        <v>54.4285714285714</v>
      </c>
      <c r="H334" s="12" t="n">
        <v>96</v>
      </c>
      <c r="I334" s="12" t="n">
        <v>56</v>
      </c>
      <c r="J334" s="13" t="n">
        <f aca="false">IFERROR(((G334*H334)/F334)-I334,"")</f>
        <v>9.78417266187053</v>
      </c>
      <c r="K334" s="12" t="str">
        <f aca="false">IF(J334&lt;-10,"MUITO ADIANTADO",IF(J334&lt;-6,"ADIANTADO",IF(J334&lt;6,"EM DIAS",IF(J334&lt;12,"ATRASADO","MUITO ATRASADO"))))</f>
        <v>ATRASADO</v>
      </c>
      <c r="L334" s="9" t="n">
        <v>46161</v>
      </c>
      <c r="M334" s="6" t="n">
        <f aca="true">TODAY()-L334</f>
        <v>10</v>
      </c>
      <c r="N334" s="1" t="str">
        <f aca="false">IF(M334&lt;8,"VERIFICADO",IF(M334&lt;15,"VERIFICAR","VERIFICAR URGENTE"))</f>
        <v>VERIFICAR</v>
      </c>
    </row>
    <row r="335" customFormat="false" ht="15" hidden="false" customHeight="false" outlineLevel="0" collapsed="false">
      <c r="A335" s="6" t="s">
        <v>350</v>
      </c>
      <c r="B335" s="7" t="s">
        <v>17</v>
      </c>
      <c r="C335" s="8" t="n">
        <f aca="false">L335</f>
        <v>46162</v>
      </c>
      <c r="D335" s="9" t="n">
        <v>45674</v>
      </c>
      <c r="E335" s="10" t="n">
        <v>46230</v>
      </c>
      <c r="F335" s="11" t="n">
        <f aca="false">(E335-D335)/7</f>
        <v>79.4285714285714</v>
      </c>
      <c r="G335" s="11" t="n">
        <f aca="true">(TODAY()-D335)/7</f>
        <v>71</v>
      </c>
      <c r="H335" s="12" t="n">
        <v>80</v>
      </c>
      <c r="I335" s="12" t="n">
        <v>63</v>
      </c>
      <c r="J335" s="13" t="n">
        <f aca="false">IFERROR(((G335*H335)/F335)-I335,"")</f>
        <v>8.5107913669065</v>
      </c>
      <c r="K335" s="12" t="str">
        <f aca="false">IF(J335&lt;-10,"MUITO ADIANTADO",IF(J335&lt;-6,"ADIANTADO",IF(J335&lt;6,"EM DIAS",IF(J335&lt;12,"ATRASADO","MUITO ATRASADO"))))</f>
        <v>ATRASADO</v>
      </c>
      <c r="L335" s="9" t="n">
        <v>46162</v>
      </c>
      <c r="M335" s="6" t="n">
        <f aca="true">TODAY()-L335</f>
        <v>9</v>
      </c>
      <c r="N335" s="1" t="str">
        <f aca="false">IF(M335&lt;8,"VERIFICADO",IF(M335&lt;15,"VERIFICAR","VERIFICAR URGENTE"))</f>
        <v>VERIFICAR</v>
      </c>
    </row>
    <row r="336" customFormat="false" ht="15" hidden="false" customHeight="false" outlineLevel="0" collapsed="false">
      <c r="A336" s="6" t="s">
        <v>351</v>
      </c>
      <c r="B336" s="7" t="s">
        <v>17</v>
      </c>
      <c r="C336" s="8" t="n">
        <f aca="false">L336</f>
        <v>46161</v>
      </c>
      <c r="D336" s="9" t="n">
        <v>45538</v>
      </c>
      <c r="E336" s="10" t="n">
        <v>46692</v>
      </c>
      <c r="F336" s="11" t="n">
        <f aca="false">(E336-D336)/7</f>
        <v>164.857142857143</v>
      </c>
      <c r="G336" s="11" t="n">
        <f aca="true">(TODAY()-D336)/7</f>
        <v>90.4285714285714</v>
      </c>
      <c r="H336" s="12" t="n">
        <v>176</v>
      </c>
      <c r="I336" s="12" t="n">
        <v>96</v>
      </c>
      <c r="J336" s="13" t="n">
        <f aca="false">IFERROR(((G336*H336)/F336)-I336,"")</f>
        <v>0.540727902946188</v>
      </c>
      <c r="K336" s="12" t="str">
        <f aca="false">IF(J336&lt;-10,"MUITO ADIANTADO",IF(J336&lt;-6,"ADIANTADO",IF(J336&lt;6,"EM DIAS",IF(J336&lt;12,"ATRASADO","MUITO ATRASADO"))))</f>
        <v>EM DIAS</v>
      </c>
      <c r="L336" s="9" t="n">
        <v>46161</v>
      </c>
      <c r="M336" s="6" t="n">
        <f aca="true">TODAY()-L336</f>
        <v>10</v>
      </c>
      <c r="N336" s="1" t="str">
        <f aca="false">IF(M336&lt;8,"VERIFICADO",IF(M336&lt;15,"VERIFICAR","VERIFICAR URGENTE"))</f>
        <v>VERIFICAR</v>
      </c>
    </row>
    <row r="337" customFormat="false" ht="15" hidden="false" customHeight="false" outlineLevel="0" collapsed="false">
      <c r="A337" s="6" t="s">
        <v>352</v>
      </c>
      <c r="B337" s="7" t="s">
        <v>24</v>
      </c>
      <c r="C337" s="8" t="n">
        <f aca="false">L337</f>
        <v>46162</v>
      </c>
      <c r="D337" s="9" t="n">
        <v>45938</v>
      </c>
      <c r="E337" s="10" t="n">
        <v>47491</v>
      </c>
      <c r="F337" s="11" t="n">
        <f aca="false">(E337-D337)/7</f>
        <v>221.857142857143</v>
      </c>
      <c r="G337" s="11" t="n">
        <f aca="true">(TODAY()-D337)/7</f>
        <v>33.2857142857143</v>
      </c>
      <c r="H337" s="12" t="n">
        <v>236</v>
      </c>
      <c r="I337" s="12" t="n">
        <v>17</v>
      </c>
      <c r="J337" s="13" t="n">
        <f aca="false">IFERROR(((G337*H337)/F337)-I337,"")</f>
        <v>18.407598197038</v>
      </c>
      <c r="K337" s="12" t="str">
        <f aca="false">IF(J337&lt;-10,"MUITO ADIANTADO",IF(J337&lt;-6,"ADIANTADO",IF(J337&lt;6,"EM DIAS",IF(J337&lt;12,"ATRASADO","MUITO ATRASADO"))))</f>
        <v>MUITO ATRASADO</v>
      </c>
      <c r="L337" s="9" t="n">
        <v>46162</v>
      </c>
      <c r="M337" s="6" t="n">
        <f aca="true">TODAY()-L337</f>
        <v>9</v>
      </c>
      <c r="N337" s="1" t="str">
        <f aca="false">IF(M337&lt;8,"VERIFICADO",IF(M337&lt;15,"VERIFICAR","VERIFICAR URGENTE"))</f>
        <v>VERIFICAR</v>
      </c>
    </row>
    <row r="338" customFormat="false" ht="15" hidden="false" customHeight="false" outlineLevel="0" collapsed="false">
      <c r="A338" s="6" t="s">
        <v>353</v>
      </c>
      <c r="B338" s="7" t="s">
        <v>15</v>
      </c>
      <c r="C338" s="8" t="n">
        <f aca="false">L338</f>
        <v>46163</v>
      </c>
      <c r="D338" s="9" t="n">
        <v>45889</v>
      </c>
      <c r="E338" s="10" t="n">
        <v>46280</v>
      </c>
      <c r="F338" s="11" t="n">
        <f aca="false">(E338-D338)/7</f>
        <v>55.8571428571429</v>
      </c>
      <c r="G338" s="11" t="n">
        <f aca="true">(TODAY()-D338)/7</f>
        <v>40.2857142857143</v>
      </c>
      <c r="H338" s="12" t="n">
        <v>80</v>
      </c>
      <c r="I338" s="12" t="n">
        <v>49</v>
      </c>
      <c r="J338" s="13" t="n">
        <f aca="false">IFERROR(((G338*H338)/F338)-I338,"")</f>
        <v>8.69820971867004</v>
      </c>
      <c r="K338" s="12" t="str">
        <f aca="false">IF(J338&lt;-10,"MUITO ADIANTADO",IF(J338&lt;-6,"ADIANTADO",IF(J338&lt;6,"EM DIAS",IF(J338&lt;12,"ATRASADO","MUITO ATRASADO"))))</f>
        <v>ATRASADO</v>
      </c>
      <c r="L338" s="9" t="n">
        <v>46163</v>
      </c>
      <c r="M338" s="6" t="n">
        <f aca="true">TODAY()-L338</f>
        <v>8</v>
      </c>
      <c r="N338" s="1" t="str">
        <f aca="false">IF(M338&lt;8,"VERIFICADO",IF(M338&lt;15,"VERIFICAR","VERIFICAR URGENTE"))</f>
        <v>VERIFICAR</v>
      </c>
    </row>
    <row r="339" customFormat="false" ht="15" hidden="false" customHeight="false" outlineLevel="0" collapsed="false">
      <c r="A339" s="6" t="s">
        <v>354</v>
      </c>
      <c r="B339" s="6" t="s">
        <v>15</v>
      </c>
      <c r="C339" s="8" t="n">
        <f aca="false">L339</f>
        <v>46163</v>
      </c>
      <c r="D339" s="9" t="n">
        <v>46135</v>
      </c>
      <c r="E339" s="10" t="n">
        <v>46828</v>
      </c>
      <c r="F339" s="11" t="n">
        <f aca="false">(E339-D339)/7</f>
        <v>99</v>
      </c>
      <c r="G339" s="11" t="n">
        <f aca="true">(TODAY()-D339)/7</f>
        <v>5.14285714285714</v>
      </c>
      <c r="H339" s="12" t="n">
        <v>96</v>
      </c>
      <c r="I339" s="12" t="n">
        <v>4</v>
      </c>
      <c r="J339" s="13" t="n">
        <f aca="false">IFERROR(((G339*H339)/F339)-I339,"")</f>
        <v>0.987012987012988</v>
      </c>
      <c r="K339" s="12" t="str">
        <f aca="false">IF(J339&lt;-10,"MUITO ADIANTADO",IF(J339&lt;-6,"ADIANTADO",IF(J339&lt;6,"EM DIAS",IF(J339&lt;12,"ATRASADO","MUITO ATRASADO"))))</f>
        <v>EM DIAS</v>
      </c>
      <c r="L339" s="9" t="n">
        <v>46163</v>
      </c>
      <c r="M339" s="6" t="n">
        <f aca="true">TODAY()-L339</f>
        <v>8</v>
      </c>
      <c r="N339" s="1" t="str">
        <f aca="false">IF(M339&lt;8,"VERIFICADO",IF(M339&lt;15,"VERIFICAR","VERIFICAR URGENTE"))</f>
        <v>VERIFICAR</v>
      </c>
    </row>
    <row r="340" customFormat="false" ht="15" hidden="false" customHeight="false" outlineLevel="0" collapsed="false">
      <c r="A340" s="6" t="s">
        <v>355</v>
      </c>
      <c r="B340" s="7" t="s">
        <v>15</v>
      </c>
      <c r="C340" s="8" t="n">
        <f aca="false">L340</f>
        <v>46164</v>
      </c>
      <c r="D340" s="9" t="n">
        <v>46045</v>
      </c>
      <c r="E340" s="10" t="n">
        <v>46702</v>
      </c>
      <c r="F340" s="11" t="n">
        <f aca="false">(E340-D340)/7</f>
        <v>93.8571428571429</v>
      </c>
      <c r="G340" s="11" t="n">
        <f aca="true">(TODAY()-D340)/7</f>
        <v>18</v>
      </c>
      <c r="H340" s="12" t="n">
        <v>112</v>
      </c>
      <c r="I340" s="12" t="n">
        <v>26</v>
      </c>
      <c r="J340" s="13" t="n">
        <f aca="false">IFERROR(((G340*H340)/F340)-I340,"")</f>
        <v>-4.52054794520549</v>
      </c>
      <c r="K340" s="12" t="str">
        <f aca="false">IF(J340&lt;-10,"MUITO ADIANTADO",IF(J340&lt;-6,"ADIANTADO",IF(J340&lt;6,"EM DIAS",IF(J340&lt;12,"ATRASADO","MUITO ATRASADO"))))</f>
        <v>EM DIAS</v>
      </c>
      <c r="L340" s="9" t="n">
        <v>46164</v>
      </c>
      <c r="M340" s="6" t="n">
        <f aca="true">TODAY()-L340</f>
        <v>7</v>
      </c>
      <c r="N340" s="1" t="str">
        <f aca="false">IF(M340&lt;8,"VERIFICADO",IF(M340&lt;15,"VERIFICAR","VERIFICAR URGENTE"))</f>
        <v>VERIFICADO</v>
      </c>
    </row>
    <row r="341" customFormat="false" ht="15" hidden="false" customHeight="false" outlineLevel="0" collapsed="false">
      <c r="A341" s="6" t="s">
        <v>356</v>
      </c>
      <c r="B341" s="7" t="s">
        <v>17</v>
      </c>
      <c r="C341" s="8" t="n">
        <f aca="false">L341</f>
        <v>46161</v>
      </c>
      <c r="D341" s="9" t="n">
        <v>46028</v>
      </c>
      <c r="E341" s="10" t="n">
        <v>47392</v>
      </c>
      <c r="F341" s="11" t="n">
        <f aca="false">(E341-D341)/7</f>
        <v>194.857142857143</v>
      </c>
      <c r="G341" s="11" t="n">
        <f aca="true">(TODAY()-D341)/7</f>
        <v>20.4285714285714</v>
      </c>
      <c r="H341" s="12" t="n">
        <v>208</v>
      </c>
      <c r="I341" s="12" t="n">
        <v>33</v>
      </c>
      <c r="J341" s="13" t="n">
        <f aca="false">IFERROR(((G341*H341)/F341)-I341,"")</f>
        <v>-11.1935483870968</v>
      </c>
      <c r="K341" s="12" t="str">
        <f aca="false">IF(J341&lt;-10,"MUITO ADIANTADO",IF(J341&lt;-6,"ADIANTADO",IF(J341&lt;6,"EM DIAS",IF(J341&lt;12,"ATRASADO","MUITO ATRASADO"))))</f>
        <v>MUITO ADIANTADO</v>
      </c>
      <c r="L341" s="9" t="n">
        <v>46161</v>
      </c>
      <c r="M341" s="6" t="n">
        <f aca="true">TODAY()-L341</f>
        <v>10</v>
      </c>
      <c r="N341" s="1" t="str">
        <f aca="false">IF(M341&lt;8,"VERIFICADO",IF(M341&lt;15,"VERIFICAR","VERIFICAR URGENTE"))</f>
        <v>VERIFICAR</v>
      </c>
    </row>
    <row r="342" customFormat="false" ht="15" hidden="false" customHeight="false" outlineLevel="0" collapsed="false">
      <c r="A342" s="6" t="s">
        <v>357</v>
      </c>
      <c r="B342" s="7" t="s">
        <v>17</v>
      </c>
      <c r="C342" s="8" t="n">
        <f aca="false">L342</f>
        <v>46160</v>
      </c>
      <c r="D342" s="9" t="n">
        <v>45725</v>
      </c>
      <c r="E342" s="10" t="n">
        <v>46305</v>
      </c>
      <c r="F342" s="11" t="n">
        <f aca="false">(E342-D342)/7</f>
        <v>82.8571428571429</v>
      </c>
      <c r="G342" s="11" t="n">
        <f aca="true">(TODAY()-D342)/7</f>
        <v>63.7142857142857</v>
      </c>
      <c r="H342" s="12" t="n">
        <v>80</v>
      </c>
      <c r="I342" s="12" t="n">
        <v>60</v>
      </c>
      <c r="J342" s="13" t="n">
        <f aca="false">IFERROR(((G342*H342)/F342)-I342,"")</f>
        <v>1.51724137931031</v>
      </c>
      <c r="K342" s="12" t="str">
        <f aca="false">IF(J342&lt;-10,"MUITO ADIANTADO",IF(J342&lt;-6,"ADIANTADO",IF(J342&lt;6,"EM DIAS",IF(J342&lt;12,"ATRASADO","MUITO ATRASADO"))))</f>
        <v>EM DIAS</v>
      </c>
      <c r="L342" s="9" t="n">
        <v>46160</v>
      </c>
      <c r="M342" s="6" t="n">
        <f aca="true">TODAY()-L342</f>
        <v>11</v>
      </c>
      <c r="N342" s="1" t="str">
        <f aca="false">IF(M342&lt;8,"VERIFICADO",IF(M342&lt;15,"VERIFICAR","VERIFICAR URGENTE"))</f>
        <v>VERIFICAR</v>
      </c>
    </row>
    <row r="343" customFormat="false" ht="15" hidden="false" customHeight="false" outlineLevel="0" collapsed="false">
      <c r="A343" s="6" t="s">
        <v>358</v>
      </c>
      <c r="B343" s="7" t="s">
        <v>22</v>
      </c>
      <c r="C343" s="8" t="n">
        <f aca="false">L343</f>
        <v>46160</v>
      </c>
      <c r="D343" s="9" t="n">
        <v>46076</v>
      </c>
      <c r="E343" s="10" t="n">
        <v>46536</v>
      </c>
      <c r="F343" s="11" t="n">
        <f aca="false">(E343-D343)/7</f>
        <v>65.7142857142857</v>
      </c>
      <c r="G343" s="11" t="n">
        <f aca="true">(TODAY()-D343)/7</f>
        <v>13.5714285714286</v>
      </c>
      <c r="H343" s="12" t="n">
        <v>64</v>
      </c>
      <c r="I343" s="12" t="n">
        <v>13</v>
      </c>
      <c r="J343" s="13" t="n">
        <f aca="false">IFERROR(((G343*H343)/F343)-I343,"")</f>
        <v>0.21739130434783</v>
      </c>
      <c r="K343" s="12" t="str">
        <f aca="false">IF(J343&lt;-10,"MUITO ADIANTADO",IF(J343&lt;-6,"ADIANTADO",IF(J343&lt;6,"EM DIAS",IF(J343&lt;12,"ATRASADO","MUITO ATRASADO"))))</f>
        <v>EM DIAS</v>
      </c>
      <c r="L343" s="9" t="n">
        <v>46160</v>
      </c>
      <c r="M343" s="6" t="n">
        <f aca="true">TODAY()-L343</f>
        <v>11</v>
      </c>
      <c r="N343" s="1" t="str">
        <f aca="false">IF(M343&lt;8,"VERIFICADO",IF(M343&lt;15,"VERIFICAR","VERIFICAR URGENTE"))</f>
        <v>VERIFICAR</v>
      </c>
    </row>
    <row r="344" customFormat="false" ht="15" hidden="false" customHeight="false" outlineLevel="0" collapsed="false">
      <c r="A344" s="6" t="s">
        <v>359</v>
      </c>
      <c r="B344" s="7" t="s">
        <v>24</v>
      </c>
      <c r="C344" s="8" t="n">
        <f aca="false">L344</f>
        <v>46162</v>
      </c>
      <c r="D344" s="9" t="n">
        <v>46135</v>
      </c>
      <c r="E344" s="10" t="n">
        <v>47279</v>
      </c>
      <c r="F344" s="11" t="n">
        <f aca="false">(E344-D344)/7</f>
        <v>163.428571428571</v>
      </c>
      <c r="G344" s="11" t="n">
        <f aca="true">(TODAY()-D344)/7</f>
        <v>5.14285714285714</v>
      </c>
      <c r="H344" s="12" t="n">
        <v>96</v>
      </c>
      <c r="I344" s="12" t="n">
        <v>4</v>
      </c>
      <c r="J344" s="13" t="n">
        <v>0</v>
      </c>
      <c r="K344" s="12" t="str">
        <f aca="false">IF(J344&lt;-10,"MUITO ADIANTADO",IF(J344&lt;-6,"ADIANTADO",IF(J344&lt;6,"EM DIAS",IF(J344&lt;12,"ATRASADO","MUITO ATRASADO"))))</f>
        <v>EM DIAS</v>
      </c>
      <c r="L344" s="9" t="n">
        <v>46162</v>
      </c>
      <c r="M344" s="6" t="n">
        <f aca="true">TODAY()-L344</f>
        <v>9</v>
      </c>
      <c r="N344" s="1" t="str">
        <f aca="false">IF(M344&lt;8,"VERIFICADO",IF(M344&lt;15,"VERIFICAR","VERIFICAR URGENTE"))</f>
        <v>VERIFICAR</v>
      </c>
    </row>
    <row r="345" customFormat="false" ht="15" hidden="false" customHeight="false" outlineLevel="0" collapsed="false">
      <c r="A345" s="6" t="s">
        <v>360</v>
      </c>
      <c r="B345" s="7" t="s">
        <v>65</v>
      </c>
      <c r="C345" s="8" t="n">
        <f aca="false">L345</f>
        <v>46175</v>
      </c>
      <c r="D345" s="9" t="n">
        <v>46096</v>
      </c>
      <c r="E345" s="10" t="n">
        <v>46759</v>
      </c>
      <c r="F345" s="11" t="n">
        <f aca="false">(E345-D345)/7</f>
        <v>94.7142857142857</v>
      </c>
      <c r="G345" s="11" t="n">
        <f aca="true">(TODAY()-D345)/7</f>
        <v>10.7142857142857</v>
      </c>
      <c r="H345" s="12" t="n">
        <v>100</v>
      </c>
      <c r="I345" s="12" t="n">
        <v>2</v>
      </c>
      <c r="J345" s="12" t="n">
        <v>0</v>
      </c>
      <c r="K345" s="12" t="str">
        <f aca="false">IF(J345&lt;-10,"MUITO ADIANTADO",IF(J345&lt;-6,"ADIANTADO",IF(J345&lt;6,"EM DIAS",IF(J345&lt;12,"ATRASADO","MUITO ATRASADO"))))</f>
        <v>EM DIAS</v>
      </c>
      <c r="L345" s="9" t="n">
        <v>46175</v>
      </c>
      <c r="M345" s="6" t="n">
        <f aca="true">TODAY()-L345</f>
        <v>-4</v>
      </c>
      <c r="N345" s="1" t="str">
        <f aca="false">IF(M345&lt;8,"VERIFICADO",IF(M345&lt;15,"VERIFICAR","VERIFICAR URGENTE"))</f>
        <v>VERIFICADO</v>
      </c>
    </row>
    <row r="346" customFormat="false" ht="15" hidden="false" customHeight="false" outlineLevel="0" collapsed="false">
      <c r="A346" s="6" t="s">
        <v>361</v>
      </c>
      <c r="B346" s="7" t="s">
        <v>22</v>
      </c>
      <c r="C346" s="8" t="n">
        <f aca="false">L346</f>
        <v>46161</v>
      </c>
      <c r="D346" s="9" t="n">
        <v>45861</v>
      </c>
      <c r="E346" s="10" t="n">
        <v>46398</v>
      </c>
      <c r="F346" s="11" t="n">
        <f aca="false">(E346-D346)/7</f>
        <v>76.7142857142857</v>
      </c>
      <c r="G346" s="11" t="n">
        <f aca="true">(TODAY()-D346)/7</f>
        <v>44.2857142857143</v>
      </c>
      <c r="H346" s="12" t="n">
        <v>80</v>
      </c>
      <c r="I346" s="12" t="n">
        <v>45</v>
      </c>
      <c r="J346" s="13" t="n">
        <f aca="false">IFERROR(((G346*H346)/F346)-I346,"")</f>
        <v>1.18249534450653</v>
      </c>
      <c r="K346" s="12" t="str">
        <f aca="false">IF(J346&lt;-10,"MUITO ADIANTADO",IF(J346&lt;-6,"ADIANTADO",IF(J346&lt;6,"EM DIAS",IF(J346&lt;12,"ATRASADO","MUITO ATRASADO"))))</f>
        <v>EM DIAS</v>
      </c>
      <c r="L346" s="9" t="n">
        <v>46161</v>
      </c>
      <c r="M346" s="6" t="n">
        <f aca="true">TODAY()-L346</f>
        <v>10</v>
      </c>
      <c r="N346" s="1" t="str">
        <f aca="false">IF(M346&lt;8,"VERIFICADO",IF(M346&lt;15,"VERIFICAR","VERIFICAR URGENTE"))</f>
        <v>VERIFICAR</v>
      </c>
    </row>
    <row r="347" customFormat="false" ht="15" hidden="false" customHeight="false" outlineLevel="0" collapsed="false">
      <c r="A347" s="6" t="s">
        <v>362</v>
      </c>
      <c r="B347" s="7" t="s">
        <v>65</v>
      </c>
      <c r="C347" s="8" t="n">
        <f aca="false">L347</f>
        <v>46173</v>
      </c>
      <c r="D347" s="9" t="n">
        <v>45766</v>
      </c>
      <c r="E347" s="10" t="n">
        <v>46522</v>
      </c>
      <c r="F347" s="11" t="n">
        <f aca="false">(E347-D347)/7</f>
        <v>108</v>
      </c>
      <c r="G347" s="11" t="n">
        <f aca="true">(TODAY()-D347)/7</f>
        <v>57.8571428571429</v>
      </c>
      <c r="H347" s="12" t="n">
        <v>100</v>
      </c>
      <c r="I347" s="12" t="n">
        <v>10</v>
      </c>
      <c r="J347" s="13" t="n">
        <f aca="false">IFERROR(((G347*H347)/F347)-I347,"")</f>
        <v>43.5714285714286</v>
      </c>
      <c r="K347" s="12" t="str">
        <f aca="false">IF(J347&lt;-10,"MUITO ADIANTADO",IF(J347&lt;-6,"ADIANTADO",IF(J347&lt;6,"EM DIAS",IF(J347&lt;12,"ATRASADO","MUITO ATRASADO"))))</f>
        <v>MUITO ATRASADO</v>
      </c>
      <c r="L347" s="9" t="n">
        <v>46173</v>
      </c>
      <c r="M347" s="6" t="n">
        <f aca="true">TODAY()-L347</f>
        <v>-2</v>
      </c>
      <c r="N347" s="1" t="str">
        <f aca="false">IF(M347&lt;8,"VERIFICADO",IF(M347&lt;15,"VERIFICAR","VERIFICAR URGENTE"))</f>
        <v>VERIFICADO</v>
      </c>
    </row>
    <row r="348" customFormat="false" ht="15" hidden="false" customHeight="false" outlineLevel="0" collapsed="false">
      <c r="A348" s="6" t="s">
        <v>362</v>
      </c>
      <c r="B348" s="7" t="s">
        <v>24</v>
      </c>
      <c r="C348" s="8" t="n">
        <f aca="false">L348</f>
        <v>46158</v>
      </c>
      <c r="D348" s="9" t="n">
        <v>45570</v>
      </c>
      <c r="E348" s="10" t="n">
        <v>46172</v>
      </c>
      <c r="F348" s="11" t="n">
        <f aca="false">(E348-D348)/7</f>
        <v>86</v>
      </c>
      <c r="G348" s="11" t="n">
        <f aca="true">(TODAY()-D348)/7</f>
        <v>85.8571428571429</v>
      </c>
      <c r="H348" s="12" t="n">
        <v>80</v>
      </c>
      <c r="I348" s="12" t="n">
        <v>78</v>
      </c>
      <c r="J348" s="13" t="n">
        <f aca="false">IFERROR(((G348*H348)/F348)-I348,"")</f>
        <v>1.86710963455151</v>
      </c>
      <c r="K348" s="12" t="str">
        <f aca="false">IF(J348&lt;-10,"MUITO ADIANTADO",IF(J348&lt;-6,"ADIANTADO",IF(J348&lt;6,"EM DIAS",IF(J348&lt;12,"ATRASADO","MUITO ATRASADO"))))</f>
        <v>EM DIAS</v>
      </c>
      <c r="L348" s="9" t="n">
        <v>46158</v>
      </c>
      <c r="M348" s="6" t="n">
        <f aca="true">TODAY()-L348</f>
        <v>13</v>
      </c>
      <c r="N348" s="1" t="str">
        <f aca="false">IF(M348&lt;8,"VERIFICADO",IF(M348&lt;15,"VERIFICAR","VERIFICAR URGENTE"))</f>
        <v>VERIFICAR</v>
      </c>
    </row>
    <row r="349" customFormat="false" ht="15" hidden="false" customHeight="false" outlineLevel="0" collapsed="false">
      <c r="A349" s="6" t="s">
        <v>363</v>
      </c>
      <c r="B349" s="7" t="s">
        <v>22</v>
      </c>
      <c r="C349" s="8" t="n">
        <f aca="false">L349</f>
        <v>46162</v>
      </c>
      <c r="D349" s="9" t="n">
        <v>45637</v>
      </c>
      <c r="E349" s="10" t="n">
        <v>46198</v>
      </c>
      <c r="F349" s="11" t="n">
        <f aca="false">(E349-D349)/7</f>
        <v>80.1428571428571</v>
      </c>
      <c r="G349" s="11" t="n">
        <f aca="true">(TODAY()-D349)/7</f>
        <v>76.2857142857143</v>
      </c>
      <c r="H349" s="12" t="n">
        <v>80</v>
      </c>
      <c r="I349" s="12" t="n">
        <v>76</v>
      </c>
      <c r="J349" s="13" t="n">
        <f aca="false">IFERROR(((G349*H349)/F349)-I349,"")</f>
        <v>0.149732620320904</v>
      </c>
      <c r="K349" s="12" t="str">
        <f aca="false">IF(J349&lt;-10,"MUITO ADIANTADO",IF(J349&lt;-6,"ADIANTADO",IF(J349&lt;6,"EM DIAS",IF(J349&lt;12,"ATRASADO","MUITO ATRASADO"))))</f>
        <v>EM DIAS</v>
      </c>
      <c r="L349" s="9" t="n">
        <v>46162</v>
      </c>
      <c r="M349" s="6" t="n">
        <f aca="true">TODAY()-L349</f>
        <v>9</v>
      </c>
      <c r="N349" s="1" t="str">
        <f aca="false">IF(M349&lt;8,"VERIFICADO",IF(M349&lt;15,"VERIFICAR","VERIFICAR URGENTE"))</f>
        <v>VERIFICAR</v>
      </c>
    </row>
    <row r="350" customFormat="false" ht="15" hidden="false" customHeight="false" outlineLevel="0" collapsed="false">
      <c r="A350" s="6" t="s">
        <v>364</v>
      </c>
      <c r="B350" s="7" t="s">
        <v>15</v>
      </c>
      <c r="C350" s="8" t="n">
        <f aca="false">L350</f>
        <v>46161</v>
      </c>
      <c r="D350" s="9" t="n">
        <v>45888</v>
      </c>
      <c r="E350" s="10" t="n">
        <v>46433</v>
      </c>
      <c r="F350" s="11" t="n">
        <f aca="false">(E350-D350)/7</f>
        <v>77.8571428571429</v>
      </c>
      <c r="G350" s="11" t="n">
        <f aca="true">(TODAY()-D350)/7</f>
        <v>40.4285714285714</v>
      </c>
      <c r="H350" s="12" t="n">
        <v>80</v>
      </c>
      <c r="I350" s="12" t="n">
        <v>38</v>
      </c>
      <c r="J350" s="13" t="n">
        <f aca="false">IFERROR(((G350*H350)/F350)-I350,"")</f>
        <v>3.54128440366971</v>
      </c>
      <c r="K350" s="12" t="str">
        <f aca="false">IF(J350&lt;-10,"MUITO ADIANTADO",IF(J350&lt;-6,"ADIANTADO",IF(J350&lt;6,"EM DIAS",IF(J350&lt;12,"ATRASADO","MUITO ATRASADO"))))</f>
        <v>EM DIAS</v>
      </c>
      <c r="L350" s="9" t="n">
        <v>46161</v>
      </c>
      <c r="M350" s="6" t="n">
        <f aca="true">TODAY()-L350</f>
        <v>10</v>
      </c>
      <c r="N350" s="1" t="str">
        <f aca="false">IF(M350&lt;8,"VERIFICADO",IF(M350&lt;15,"VERIFICAR","VERIFICAR URGENTE"))</f>
        <v>VERIFICAR</v>
      </c>
    </row>
    <row r="351" customFormat="false" ht="15" hidden="false" customHeight="false" outlineLevel="0" collapsed="false">
      <c r="A351" s="6" t="s">
        <v>365</v>
      </c>
      <c r="B351" s="7" t="s">
        <v>15</v>
      </c>
      <c r="C351" s="8" t="n">
        <f aca="false">L351</f>
        <v>46163</v>
      </c>
      <c r="D351" s="9" t="n">
        <v>45365</v>
      </c>
      <c r="E351" s="10" t="n">
        <v>46202</v>
      </c>
      <c r="F351" s="11" t="n">
        <f aca="false">(E351-D351)/7</f>
        <v>119.571428571429</v>
      </c>
      <c r="G351" s="11" t="n">
        <f aca="true">(TODAY()-D351)/7</f>
        <v>115.142857142857</v>
      </c>
      <c r="H351" s="12" t="n">
        <v>176</v>
      </c>
      <c r="I351" s="12" t="n">
        <v>168</v>
      </c>
      <c r="J351" s="13" t="n">
        <f aca="false">IFERROR(((G351*H351)/F351)-I351,"")</f>
        <v>1.48148148148087</v>
      </c>
      <c r="K351" s="12" t="str">
        <f aca="false">IF(J351&lt;-10,"MUITO ADIANTADO",IF(J351&lt;-6,"ADIANTADO",IF(J351&lt;6,"EM DIAS",IF(J351&lt;12,"ATRASADO","MUITO ATRASADO"))))</f>
        <v>EM DIAS</v>
      </c>
      <c r="L351" s="9" t="n">
        <v>46163</v>
      </c>
      <c r="M351" s="6" t="n">
        <f aca="true">TODAY()-L351</f>
        <v>8</v>
      </c>
      <c r="N351" s="1" t="str">
        <f aca="false">IF(M351&lt;8,"VERIFICADO",IF(M351&lt;15,"VERIFICAR","VERIFICAR URGENTE"))</f>
        <v>VERIFICAR</v>
      </c>
    </row>
    <row r="352" customFormat="false" ht="15" hidden="false" customHeight="false" outlineLevel="0" collapsed="false">
      <c r="A352" s="6" t="s">
        <v>366</v>
      </c>
      <c r="B352" s="7" t="s">
        <v>22</v>
      </c>
      <c r="C352" s="8" t="n">
        <v>46032</v>
      </c>
      <c r="D352" s="9" t="n">
        <v>46005</v>
      </c>
      <c r="E352" s="10" t="n">
        <v>46471</v>
      </c>
      <c r="F352" s="11" t="n">
        <f aca="false">(E352-D352)/7</f>
        <v>66.5714285714286</v>
      </c>
      <c r="G352" s="11" t="n">
        <f aca="true">(TODAY()-D352)/7</f>
        <v>23.7142857142857</v>
      </c>
      <c r="H352" s="12" t="n">
        <v>80</v>
      </c>
      <c r="I352" s="12" t="n">
        <v>27</v>
      </c>
      <c r="J352" s="13" t="n">
        <f aca="false">IFERROR(((G352*H352)/F352)-I352,"")</f>
        <v>1.49785407725321</v>
      </c>
      <c r="K352" s="12" t="str">
        <f aca="false">IF(J352&lt;-10,"MUITO ADIANTADO",IF(J352&lt;-6,"ADIANTADO",IF(J352&lt;6,"EM DIAS",IF(J352&lt;12,"ATRASADO","MUITO ATRASADO"))))</f>
        <v>EM DIAS</v>
      </c>
      <c r="L352" s="9" t="n">
        <v>46165</v>
      </c>
      <c r="M352" s="6" t="n">
        <f aca="true">TODAY()-L352</f>
        <v>6</v>
      </c>
      <c r="N352" s="1" t="str">
        <f aca="false">IF(M352&lt;8,"VERIFICADO",IF(M352&lt;15,"VERIFICAR","VERIFICAR URGENTE"))</f>
        <v>VERIFICADO</v>
      </c>
    </row>
    <row r="353" customFormat="false" ht="15" hidden="false" customHeight="false" outlineLevel="0" collapsed="false">
      <c r="A353" s="6" t="s">
        <v>367</v>
      </c>
      <c r="B353" s="7" t="s">
        <v>15</v>
      </c>
      <c r="C353" s="8" t="n">
        <f aca="false">L353</f>
        <v>46165</v>
      </c>
      <c r="D353" s="9" t="n">
        <v>45619</v>
      </c>
      <c r="E353" s="10" t="n">
        <v>46753</v>
      </c>
      <c r="F353" s="11" t="n">
        <f aca="false">(E353-D353)/7</f>
        <v>162</v>
      </c>
      <c r="G353" s="11" t="n">
        <f aca="true">(TODAY()-D353)/7</f>
        <v>78.8571428571429</v>
      </c>
      <c r="H353" s="12" t="n">
        <v>224</v>
      </c>
      <c r="I353" s="12" t="n">
        <v>108</v>
      </c>
      <c r="J353" s="13" t="n">
        <f aca="false">IFERROR(((G353*H353)/F353)-I353,"")</f>
        <v>1.03703703703704</v>
      </c>
      <c r="K353" s="12" t="str">
        <f aca="false">IF(J353&lt;-10,"MUITO ADIANTADO",IF(J353&lt;-6,"ADIANTADO",IF(J353&lt;6,"EM DIAS",IF(J353&lt;12,"ATRASADO","MUITO ATRASADO"))))</f>
        <v>EM DIAS</v>
      </c>
      <c r="L353" s="9" t="n">
        <v>46165</v>
      </c>
      <c r="M353" s="6" t="n">
        <f aca="true">TODAY()-L353</f>
        <v>6</v>
      </c>
      <c r="N353" s="1" t="str">
        <f aca="false">IF(M353&lt;8,"VERIFICADO",IF(M353&lt;15,"VERIFICAR","VERIFICAR URGENTE"))</f>
        <v>VERIFICADO</v>
      </c>
    </row>
    <row r="354" customFormat="false" ht="15" hidden="false" customHeight="false" outlineLevel="0" collapsed="false">
      <c r="A354" s="6" t="s">
        <v>368</v>
      </c>
      <c r="B354" s="7" t="s">
        <v>22</v>
      </c>
      <c r="C354" s="7" t="s">
        <v>145</v>
      </c>
      <c r="D354" s="9" t="n">
        <v>45639</v>
      </c>
      <c r="E354" s="10" t="n">
        <v>46264</v>
      </c>
      <c r="F354" s="11" t="n">
        <f aca="false">(E354-D354)/7</f>
        <v>89.2857142857143</v>
      </c>
      <c r="G354" s="11" t="n">
        <f aca="true">(TODAY()-D354)/7</f>
        <v>76</v>
      </c>
      <c r="H354" s="12" t="n">
        <v>116</v>
      </c>
      <c r="I354" s="12" t="n">
        <v>74</v>
      </c>
      <c r="J354" s="13" t="n">
        <f aca="false">IFERROR(((G354*H354)/F354)-I354,"")</f>
        <v>24.7392</v>
      </c>
      <c r="K354" s="12" t="str">
        <f aca="false">IF(J354&lt;-10,"MUITO ADIANTADO",IF(J354&lt;-6,"ADIANTADO",IF(J354&lt;6,"EM DIAS",IF(J354&lt;12,"ATRASADO","MUITO ATRASADO"))))</f>
        <v>MUITO ATRASADO</v>
      </c>
      <c r="L354" s="9" t="n">
        <v>46164</v>
      </c>
      <c r="M354" s="6" t="n">
        <f aca="true">TODAY()-L354</f>
        <v>7</v>
      </c>
      <c r="N354" s="1" t="str">
        <f aca="false">IF(M354&lt;8,"VERIFICADO",IF(M354&lt;15,"VERIFICAR","VERIFICAR URGENTE"))</f>
        <v>VERIFICADO</v>
      </c>
    </row>
    <row r="355" customFormat="false" ht="15" hidden="false" customHeight="false" outlineLevel="0" collapsed="false">
      <c r="A355" s="6" t="s">
        <v>369</v>
      </c>
      <c r="B355" s="7" t="s">
        <v>22</v>
      </c>
      <c r="C355" s="8" t="n">
        <f aca="false">L355</f>
        <v>46160</v>
      </c>
      <c r="D355" s="9" t="n">
        <v>45636</v>
      </c>
      <c r="E355" s="10" t="n">
        <v>46233</v>
      </c>
      <c r="F355" s="11" t="n">
        <f aca="false">(E355-D355)/7</f>
        <v>85.2857142857143</v>
      </c>
      <c r="G355" s="11" t="n">
        <f aca="true">(TODAY()-D355)/7</f>
        <v>76.4285714285714</v>
      </c>
      <c r="H355" s="12" t="n">
        <v>113</v>
      </c>
      <c r="I355" s="12" t="n">
        <v>101</v>
      </c>
      <c r="J355" s="13" t="n">
        <f aca="false">IFERROR(((G355*H355)/F355)-I355,"")</f>
        <v>0.264656616415394</v>
      </c>
      <c r="K355" s="12" t="str">
        <f aca="false">IF(J355&lt;-10,"MUITO ADIANTADO",IF(J355&lt;-6,"ADIANTADO",IF(J355&lt;6,"EM DIAS",IF(J355&lt;12,"ATRASADO","MUITO ATRASADO"))))</f>
        <v>EM DIAS</v>
      </c>
      <c r="L355" s="9" t="n">
        <v>46160</v>
      </c>
      <c r="M355" s="6" t="n">
        <f aca="true">TODAY()-L355</f>
        <v>11</v>
      </c>
      <c r="N355" s="1" t="str">
        <f aca="false">IF(M355&lt;8,"VERIFICADO",IF(M355&lt;15,"VERIFICAR","VERIFICAR URGENTE"))</f>
        <v>VERIFICAR</v>
      </c>
    </row>
    <row r="356" customFormat="false" ht="15" hidden="false" customHeight="false" outlineLevel="0" collapsed="false">
      <c r="A356" s="6" t="s">
        <v>370</v>
      </c>
      <c r="B356" s="7" t="s">
        <v>17</v>
      </c>
      <c r="C356" s="8" t="n">
        <f aca="false">L356</f>
        <v>46160</v>
      </c>
      <c r="D356" s="9" t="n">
        <v>46055</v>
      </c>
      <c r="E356" s="10" t="n">
        <v>47058</v>
      </c>
      <c r="F356" s="11" t="n">
        <f aca="false">(E356-D356)/7</f>
        <v>143.285714285714</v>
      </c>
      <c r="G356" s="11" t="n">
        <f aca="true">(TODAY()-D356)/7</f>
        <v>16.5714285714286</v>
      </c>
      <c r="H356" s="12" t="n">
        <v>148</v>
      </c>
      <c r="I356" s="12" t="n">
        <v>104</v>
      </c>
      <c r="J356" s="13" t="n">
        <f aca="false">IFERROR(((G356*H356)/F356)-I356,"")</f>
        <v>-86.8833499501495</v>
      </c>
      <c r="K356" s="12" t="str">
        <f aca="false">IF(J356&lt;-10,"MUITO ADIANTADO",IF(J356&lt;-6,"ADIANTADO",IF(J356&lt;6,"EM DIAS",IF(J356&lt;12,"ATRASADO","MUITO ATRASADO"))))</f>
        <v>MUITO ADIANTADO</v>
      </c>
      <c r="L356" s="9" t="n">
        <v>46160</v>
      </c>
      <c r="M356" s="6" t="n">
        <f aca="true">TODAY()-L356</f>
        <v>11</v>
      </c>
      <c r="N356" s="1" t="str">
        <f aca="false">IF(M356&lt;8,"VERIFICADO",IF(M356&lt;15,"VERIFICAR","VERIFICAR URGENTE"))</f>
        <v>VERIFICAR</v>
      </c>
    </row>
    <row r="357" customFormat="false" ht="15" hidden="false" customHeight="false" outlineLevel="0" collapsed="false">
      <c r="A357" s="6" t="s">
        <v>371</v>
      </c>
      <c r="B357" s="7" t="s">
        <v>22</v>
      </c>
      <c r="C357" s="8" t="n">
        <f aca="false">L357</f>
        <v>46164</v>
      </c>
      <c r="D357" s="9" t="n">
        <v>45723</v>
      </c>
      <c r="E357" s="10" t="n">
        <v>46266</v>
      </c>
      <c r="F357" s="11" t="n">
        <f aca="false">(E357-D357)/7</f>
        <v>77.5714285714286</v>
      </c>
      <c r="G357" s="11" t="n">
        <f aca="true">(TODAY()-D357)/7</f>
        <v>64</v>
      </c>
      <c r="H357" s="12" t="n">
        <v>96</v>
      </c>
      <c r="I357" s="12" t="n">
        <v>76</v>
      </c>
      <c r="J357" s="13" t="n">
        <f aca="false">IFERROR(((G357*H357)/F357)-I357,"")</f>
        <v>3.20441988950273</v>
      </c>
      <c r="K357" s="12" t="str">
        <f aca="false">IF(J357&lt;-10,"MUITO ADIANTADO",IF(J357&lt;-6,"ADIANTADO",IF(J357&lt;6,"EM DIAS",IF(J357&lt;12,"ATRASADO","MUITO ATRASADO"))))</f>
        <v>EM DIAS</v>
      </c>
      <c r="L357" s="9" t="n">
        <v>46164</v>
      </c>
      <c r="M357" s="6" t="n">
        <f aca="true">TODAY()-L357</f>
        <v>7</v>
      </c>
      <c r="N357" s="1" t="str">
        <f aca="false">IF(M357&lt;8,"VERIFICADO",IF(M357&lt;15,"VERIFICAR","VERIFICAR URGENTE"))</f>
        <v>VERIFICADO</v>
      </c>
    </row>
    <row r="358" customFormat="false" ht="15" hidden="false" customHeight="false" outlineLevel="0" collapsed="false">
      <c r="A358" s="6" t="s">
        <v>372</v>
      </c>
      <c r="B358" s="6" t="s">
        <v>19</v>
      </c>
      <c r="C358" s="8" t="n">
        <f aca="false">L358</f>
        <v>46160</v>
      </c>
      <c r="D358" s="9" t="n">
        <v>45231</v>
      </c>
      <c r="E358" s="10" t="n">
        <v>46751</v>
      </c>
      <c r="F358" s="11" t="n">
        <f aca="false">(E358-D358)/7</f>
        <v>217.142857142857</v>
      </c>
      <c r="G358" s="11" t="n">
        <f aca="true">(TODAY()-D358)/7</f>
        <v>134.285714285714</v>
      </c>
      <c r="H358" s="12" t="n">
        <v>177</v>
      </c>
      <c r="I358" s="12" t="n">
        <v>103</v>
      </c>
      <c r="J358" s="13" t="n">
        <f aca="false">IFERROR(((G358*H358)/F358)-I358,"")</f>
        <v>6.46052631578954</v>
      </c>
      <c r="K358" s="12" t="str">
        <f aca="false">IF(J358&lt;-10,"MUITO ADIANTADO",IF(J358&lt;-6,"ADIANTADO",IF(J358&lt;6,"EM DIAS",IF(J358&lt;12,"ATRASADO","MUITO ATRASADO"))))</f>
        <v>ATRASADO</v>
      </c>
      <c r="L358" s="9" t="n">
        <v>46160</v>
      </c>
      <c r="M358" s="6" t="n">
        <f aca="true">TODAY()-L358</f>
        <v>11</v>
      </c>
      <c r="N358" s="1" t="str">
        <f aca="false">IF(M358&lt;8,"VERIFICADO",IF(M358&lt;15,"VERIFICAR","VERIFICAR URGENTE"))</f>
        <v>VERIFICAR</v>
      </c>
    </row>
    <row r="359" customFormat="false" ht="15" hidden="false" customHeight="false" outlineLevel="0" collapsed="false">
      <c r="A359" s="6" t="s">
        <v>373</v>
      </c>
      <c r="B359" s="7" t="s">
        <v>22</v>
      </c>
      <c r="C359" s="8" t="n">
        <f aca="false">L359</f>
        <v>46161</v>
      </c>
      <c r="D359" s="9" t="n">
        <v>46133</v>
      </c>
      <c r="E359" s="10" t="n">
        <v>47314</v>
      </c>
      <c r="F359" s="11" t="n">
        <f aca="false">(E359-D359)/7</f>
        <v>168.714285714286</v>
      </c>
      <c r="G359" s="11" t="n">
        <v>0</v>
      </c>
      <c r="H359" s="12" t="n">
        <v>160</v>
      </c>
      <c r="I359" s="12" t="n">
        <v>5</v>
      </c>
      <c r="J359" s="13" t="n">
        <v>0</v>
      </c>
      <c r="K359" s="12" t="str">
        <f aca="false">IF(J359&lt;-10,"MUITO ADIANTADO",IF(J359&lt;-6,"ADIANTADO",IF(J359&lt;6,"EM DIAS",IF(J359&lt;12,"ATRASADO","MUITO ATRASADO"))))</f>
        <v>EM DIAS</v>
      </c>
      <c r="L359" s="9" t="n">
        <v>46161</v>
      </c>
      <c r="M359" s="6" t="n">
        <f aca="true">TODAY()-L359</f>
        <v>10</v>
      </c>
      <c r="N359" s="1" t="str">
        <f aca="false">IF(M359&lt;8,"VERIFICADO",IF(M359&lt;15,"VERIFICAR","VERIFICAR URGENTE"))</f>
        <v>VERIFICAR</v>
      </c>
    </row>
    <row r="360" customFormat="false" ht="15" hidden="false" customHeight="false" outlineLevel="0" collapsed="false">
      <c r="A360" s="6" t="s">
        <v>374</v>
      </c>
      <c r="B360" s="7" t="s">
        <v>22</v>
      </c>
      <c r="C360" s="8" t="n">
        <f aca="false">L360</f>
        <v>46164</v>
      </c>
      <c r="D360" s="9" t="n">
        <v>46122</v>
      </c>
      <c r="E360" s="10" t="n">
        <v>46609</v>
      </c>
      <c r="F360" s="11" t="n">
        <f aca="false">(E360-D360)/7</f>
        <v>69.5714285714286</v>
      </c>
      <c r="G360" s="11" t="n">
        <f aca="true">(TODAY()-D360)/7</f>
        <v>7</v>
      </c>
      <c r="H360" s="12" t="n">
        <v>80</v>
      </c>
      <c r="I360" s="12" t="n">
        <v>5</v>
      </c>
      <c r="J360" s="13" t="n">
        <v>0</v>
      </c>
      <c r="K360" s="12" t="str">
        <f aca="false">IF(J360&lt;-10,"MUITO ADIANTADO",IF(J360&lt;-6,"ADIANTADO",IF(J360&lt;6,"EM DIAS",IF(J360&lt;12,"ATRASADO","MUITO ATRASADO"))))</f>
        <v>EM DIAS</v>
      </c>
      <c r="L360" s="9" t="n">
        <v>46164</v>
      </c>
      <c r="M360" s="6" t="n">
        <f aca="true">TODAY()-L360</f>
        <v>7</v>
      </c>
      <c r="N360" s="1" t="str">
        <f aca="false">IF(M360&lt;8,"VERIFICADO",IF(M360&lt;15,"VERIFICAR","VERIFICAR URGENTE"))</f>
        <v>VERIFICADO</v>
      </c>
    </row>
    <row r="361" customFormat="false" ht="15" hidden="false" customHeight="false" outlineLevel="0" collapsed="false">
      <c r="A361" s="6" t="s">
        <v>375</v>
      </c>
      <c r="B361" s="7" t="s">
        <v>22</v>
      </c>
      <c r="C361" s="8" t="n">
        <f aca="false">L361</f>
        <v>46161</v>
      </c>
      <c r="D361" s="9" t="n">
        <v>45881</v>
      </c>
      <c r="E361" s="10" t="n">
        <v>46581</v>
      </c>
      <c r="F361" s="11" t="n">
        <f aca="false">(E361-D361)/7</f>
        <v>100</v>
      </c>
      <c r="G361" s="11" t="n">
        <f aca="true">(TODAY()-D361)/7</f>
        <v>41.4285714285714</v>
      </c>
      <c r="H361" s="12" t="n">
        <v>112</v>
      </c>
      <c r="I361" s="12" t="n">
        <v>43</v>
      </c>
      <c r="J361" s="13" t="n">
        <f aca="false">IFERROR(((G361*H361)/F361)-I361,"")</f>
        <v>3.4</v>
      </c>
      <c r="K361" s="12" t="str">
        <f aca="false">IF(J361&lt;-10,"MUITO ADIANTADO",IF(J361&lt;-6,"ADIANTADO",IF(J361&lt;6,"EM DIAS",IF(J361&lt;12,"ATRASADO","MUITO ATRASADO"))))</f>
        <v>EM DIAS</v>
      </c>
      <c r="L361" s="9" t="n">
        <v>46161</v>
      </c>
      <c r="M361" s="6" t="n">
        <f aca="true">TODAY()-L361</f>
        <v>10</v>
      </c>
      <c r="N361" s="1" t="str">
        <f aca="false">IF(M361&lt;8,"VERIFICADO",IF(M361&lt;15,"VERIFICAR","VERIFICAR URGENTE"))</f>
        <v>VERIFICAR</v>
      </c>
    </row>
    <row r="362" customFormat="false" ht="15" hidden="false" customHeight="false" outlineLevel="0" collapsed="false">
      <c r="A362" s="6" t="s">
        <v>376</v>
      </c>
      <c r="B362" s="7" t="s">
        <v>15</v>
      </c>
      <c r="C362" s="8" t="n">
        <f aca="false">L359</f>
        <v>46161</v>
      </c>
      <c r="D362" s="9" t="n">
        <v>45896</v>
      </c>
      <c r="E362" s="10" t="n">
        <v>46357</v>
      </c>
      <c r="F362" s="11" t="n">
        <f aca="false">(E362-D362)/7</f>
        <v>65.8571428571429</v>
      </c>
      <c r="G362" s="11" t="n">
        <f aca="true">(TODAY()-D362)/7</f>
        <v>39.2857142857143</v>
      </c>
      <c r="H362" s="12" t="n">
        <v>64</v>
      </c>
      <c r="I362" s="12" t="n">
        <v>25</v>
      </c>
      <c r="J362" s="13" t="n">
        <f aca="false">IFERROR(((G362*H362)/F362)-I362,"")</f>
        <v>13.1778741865509</v>
      </c>
      <c r="K362" s="12" t="str">
        <f aca="false">IF(J362&lt;-10,"MUITO ADIANTADO",IF(J362&lt;-6,"ADIANTADO",IF(J362&lt;6,"EM DIAS",IF(J362&lt;12,"ATRASADO","MUITO ATRASADO"))))</f>
        <v>MUITO ATRASADO</v>
      </c>
      <c r="L362" s="9" t="n">
        <v>46162</v>
      </c>
      <c r="M362" s="6" t="n">
        <f aca="true">TODAY()-L362</f>
        <v>9</v>
      </c>
      <c r="N362" s="1" t="str">
        <f aca="false">IF(M362&lt;8,"VERIFICADO",IF(M362&lt;15,"VERIFICAR","VERIFICAR URGENTE"))</f>
        <v>VERIFICAR</v>
      </c>
    </row>
    <row r="363" customFormat="false" ht="15" hidden="false" customHeight="false" outlineLevel="0" collapsed="false">
      <c r="A363" s="6" t="s">
        <v>377</v>
      </c>
      <c r="B363" s="7" t="s">
        <v>19</v>
      </c>
      <c r="C363" s="8" t="n">
        <f aca="false">L363</f>
        <v>46160</v>
      </c>
      <c r="D363" s="9" t="n">
        <v>45866</v>
      </c>
      <c r="E363" s="10" t="n">
        <v>46692</v>
      </c>
      <c r="F363" s="11" t="n">
        <f aca="false">(E363-D363)/7</f>
        <v>118</v>
      </c>
      <c r="G363" s="11" t="n">
        <f aca="true">(TODAY()-D363)/7</f>
        <v>43.5714285714286</v>
      </c>
      <c r="H363" s="12" t="n">
        <v>148</v>
      </c>
      <c r="I363" s="12" t="n">
        <v>45</v>
      </c>
      <c r="J363" s="13" t="n">
        <f aca="false">IFERROR(((G363*H363)/F363)-I363,"")</f>
        <v>9.64891041162228</v>
      </c>
      <c r="K363" s="12" t="str">
        <f aca="false">IF(J363&lt;-10,"MUITO ADIANTADO",IF(J363&lt;-6,"ADIANTADO",IF(J363&lt;6,"EM DIAS",IF(J363&lt;12,"ATRASADO","MUITO ATRASADO"))))</f>
        <v>ATRASADO</v>
      </c>
      <c r="L363" s="9" t="n">
        <v>46160</v>
      </c>
      <c r="M363" s="6" t="n">
        <f aca="true">TODAY()-L363</f>
        <v>11</v>
      </c>
      <c r="N363" s="1" t="str">
        <f aca="false">IF(M363&lt;8,"VERIFICADO",IF(M363&lt;15,"VERIFICAR","VERIFICAR URGENTE"))</f>
        <v>VERIFICAR</v>
      </c>
    </row>
    <row r="364" customFormat="false" ht="15" hidden="false" customHeight="false" outlineLevel="0" collapsed="false">
      <c r="A364" s="6" t="s">
        <v>378</v>
      </c>
      <c r="B364" s="7" t="s">
        <v>24</v>
      </c>
      <c r="C364" s="8" t="n">
        <f aca="false">L364</f>
        <v>46158</v>
      </c>
      <c r="D364" s="9" t="n">
        <v>45843</v>
      </c>
      <c r="E364" s="10" t="n">
        <v>46417</v>
      </c>
      <c r="F364" s="11" t="n">
        <f aca="false">(E364-D364)/7</f>
        <v>82</v>
      </c>
      <c r="G364" s="11" t="n">
        <f aca="true">(TODAY()-D364)/7</f>
        <v>46.8571428571429</v>
      </c>
      <c r="H364" s="12" t="n">
        <v>80</v>
      </c>
      <c r="I364" s="12" t="n">
        <v>54</v>
      </c>
      <c r="J364" s="13" t="n">
        <f aca="false">IFERROR(((G364*H364)/F364)-I364,"")</f>
        <v>-8.28571428571429</v>
      </c>
      <c r="K364" s="12" t="str">
        <f aca="false">IF(J364&lt;-10,"MUITO ADIANTADO",IF(J364&lt;-6,"ADIANTADO",IF(J364&lt;6,"EM DIAS",IF(J364&lt;12,"ATRASADO","MUITO ATRASADO"))))</f>
        <v>ADIANTADO</v>
      </c>
      <c r="L364" s="9" t="n">
        <v>46158</v>
      </c>
      <c r="M364" s="6" t="n">
        <f aca="true">TODAY()-L364</f>
        <v>13</v>
      </c>
      <c r="N364" s="1" t="str">
        <f aca="false">IF(M364&lt;8,"VERIFICADO",IF(M364&lt;15,"VERIFICAR","VERIFICAR URGENTE"))</f>
        <v>VERIFICAR</v>
      </c>
    </row>
    <row r="365" customFormat="false" ht="15" hidden="false" customHeight="false" outlineLevel="0" collapsed="false">
      <c r="A365" s="6" t="s">
        <v>379</v>
      </c>
      <c r="B365" s="7" t="s">
        <v>15</v>
      </c>
      <c r="C365" s="8" t="n">
        <f aca="false">L365</f>
        <v>46160</v>
      </c>
      <c r="D365" s="9" t="n">
        <v>46125</v>
      </c>
      <c r="E365" s="10" t="n">
        <v>46680</v>
      </c>
      <c r="F365" s="11" t="n">
        <f aca="false">(E365-D365)/7</f>
        <v>79.2857142857143</v>
      </c>
      <c r="G365" s="11" t="n">
        <v>0</v>
      </c>
      <c r="H365" s="12" t="n">
        <v>80</v>
      </c>
      <c r="I365" s="12" t="n">
        <v>5</v>
      </c>
      <c r="J365" s="13" t="n">
        <v>0</v>
      </c>
      <c r="K365" s="12" t="str">
        <f aca="false">IF(J365&lt;-10,"MUITO ADIANTADO",IF(J365&lt;-6,"ADIANTADO",IF(J365&lt;6,"EM DIAS",IF(J365&lt;12,"ATRASADO","MUITO ATRASADO"))))</f>
        <v>EM DIAS</v>
      </c>
      <c r="L365" s="9" t="n">
        <v>46160</v>
      </c>
      <c r="M365" s="6" t="n">
        <f aca="true">TODAY()-L365</f>
        <v>11</v>
      </c>
      <c r="N365" s="1" t="str">
        <f aca="false">IF(M365&lt;8,"VERIFICADO",IF(M365&lt;15,"VERIFICAR","VERIFICAR URGENTE"))</f>
        <v>VERIFICAR</v>
      </c>
    </row>
    <row r="366" customFormat="false" ht="15" hidden="false" customHeight="false" outlineLevel="0" collapsed="false">
      <c r="A366" s="6" t="s">
        <v>380</v>
      </c>
      <c r="B366" s="7" t="s">
        <v>24</v>
      </c>
      <c r="C366" s="8" t="n">
        <f aca="false">L366</f>
        <v>46161</v>
      </c>
      <c r="D366" s="9" t="n">
        <v>45329</v>
      </c>
      <c r="E366" s="10" t="n">
        <v>46680</v>
      </c>
      <c r="F366" s="11" t="n">
        <f aca="false">(E355-D355)/7</f>
        <v>85.2857142857143</v>
      </c>
      <c r="G366" s="11" t="n">
        <v>0</v>
      </c>
      <c r="H366" s="12" t="n">
        <v>80</v>
      </c>
      <c r="I366" s="12" t="n">
        <v>6</v>
      </c>
      <c r="J366" s="13" t="n">
        <v>0</v>
      </c>
      <c r="K366" s="12" t="str">
        <f aca="false">IF(J366&lt;-10,"MUITO ADIANTADO",IF(J366&lt;-6,"ADIANTADO",IF(J366&lt;6,"EM DIAS",IF(J366&lt;12,"ATRASADO","MUITO ATRASADO"))))</f>
        <v>EM DIAS</v>
      </c>
      <c r="L366" s="9" t="n">
        <v>46161</v>
      </c>
      <c r="M366" s="6" t="n">
        <f aca="true">TODAY()-L366</f>
        <v>10</v>
      </c>
      <c r="N366" s="1" t="str">
        <f aca="false">IF(M366&lt;8,"VERIFICADO",IF(M366&lt;15,"VERIFICAR","VERIFICAR URGENTE"))</f>
        <v>VERIFICAR</v>
      </c>
    </row>
    <row r="367" customFormat="false" ht="15" hidden="false" customHeight="false" outlineLevel="0" collapsed="false">
      <c r="A367" s="6" t="s">
        <v>381</v>
      </c>
      <c r="B367" s="7" t="s">
        <v>65</v>
      </c>
      <c r="C367" s="8" t="n">
        <f aca="false">L367</f>
        <v>46157</v>
      </c>
      <c r="D367" s="9" t="n">
        <v>45909</v>
      </c>
      <c r="E367" s="10" t="n">
        <v>46331</v>
      </c>
      <c r="F367" s="11" t="n">
        <f aca="false">(E367-D367)/7</f>
        <v>60.2857142857143</v>
      </c>
      <c r="G367" s="11" t="n">
        <f aca="true">(TODAY()-D367)/7</f>
        <v>37.4285714285714</v>
      </c>
      <c r="H367" s="12" t="n">
        <v>100</v>
      </c>
      <c r="I367" s="12" t="n">
        <v>50</v>
      </c>
      <c r="J367" s="13" t="n">
        <f aca="false">IFERROR(((G367*H367)/F367)-I367,"")</f>
        <v>12.085308056872</v>
      </c>
      <c r="K367" s="12" t="str">
        <f aca="false">IF(J367&lt;-10,"MUITO ADIANTADO",IF(J367&lt;-6,"ADIANTADO",IF(J367&lt;6,"EM DIAS",IF(J367&lt;12,"ATRASADO","MUITO ATRASADO"))))</f>
        <v>MUITO ATRASADO</v>
      </c>
      <c r="L367" s="9" t="n">
        <v>46157</v>
      </c>
      <c r="M367" s="6" t="n">
        <f aca="true">TODAY()-L367</f>
        <v>14</v>
      </c>
      <c r="N367" s="1" t="str">
        <f aca="false">IF(M367&lt;8,"VERIFICADO",IF(M367&lt;15,"VERIFICAR","VERIFICAR URGENTE"))</f>
        <v>VERIFICAR</v>
      </c>
    </row>
    <row r="368" customFormat="false" ht="15" hidden="false" customHeight="false" outlineLevel="0" collapsed="false">
      <c r="A368" s="6" t="s">
        <v>382</v>
      </c>
      <c r="B368" s="7" t="s">
        <v>17</v>
      </c>
      <c r="C368" s="8" t="n">
        <f aca="false">L368</f>
        <v>46160</v>
      </c>
      <c r="D368" s="9" t="n">
        <v>45597</v>
      </c>
      <c r="E368" s="10" t="n">
        <v>46660</v>
      </c>
      <c r="F368" s="11" t="n">
        <f aca="false">(E368-D368)/7</f>
        <v>151.857142857143</v>
      </c>
      <c r="G368" s="11" t="n">
        <f aca="true">(TODAY()-D368)/7</f>
        <v>82</v>
      </c>
      <c r="H368" s="12" t="n">
        <v>112</v>
      </c>
      <c r="I368" s="12" t="n">
        <v>65</v>
      </c>
      <c r="J368" s="13" t="n">
        <f aca="false">IFERROR(((G368*H368)/F368)-I368,"")</f>
        <v>-4.52210724365011</v>
      </c>
      <c r="K368" s="12" t="str">
        <f aca="false">IF(J368&lt;-10,"MUITO ADIANTADO",IF(J368&lt;-6,"ADIANTADO",IF(J368&lt;6,"EM DIAS",IF(J368&lt;12,"ATRASADO","MUITO ATRASADO"))))</f>
        <v>EM DIAS</v>
      </c>
      <c r="L368" s="9" t="n">
        <v>46160</v>
      </c>
      <c r="M368" s="6" t="n">
        <f aca="true">TODAY()-L368</f>
        <v>11</v>
      </c>
      <c r="N368" s="1" t="str">
        <f aca="false">IF(M368&lt;8,"VERIFICADO",IF(M368&lt;15,"VERIFICAR","VERIFICAR URGENTE"))</f>
        <v>VERIFICAR</v>
      </c>
    </row>
    <row r="369" customFormat="false" ht="15" hidden="false" customHeight="false" outlineLevel="0" collapsed="false">
      <c r="A369" s="6" t="s">
        <v>383</v>
      </c>
      <c r="B369" s="7" t="s">
        <v>15</v>
      </c>
      <c r="C369" s="8" t="n">
        <f aca="false">L369</f>
        <v>46162</v>
      </c>
      <c r="D369" s="9" t="n">
        <v>45720</v>
      </c>
      <c r="E369" s="10" t="n">
        <v>47442</v>
      </c>
      <c r="F369" s="11" t="n">
        <f aca="false">(E369-D369)/7</f>
        <v>246</v>
      </c>
      <c r="G369" s="11" t="n">
        <f aca="true">(TODAY()-D369)/7</f>
        <v>64.4285714285714</v>
      </c>
      <c r="H369" s="12" t="n">
        <v>272</v>
      </c>
      <c r="I369" s="12" t="n">
        <v>72</v>
      </c>
      <c r="J369" s="13" t="n">
        <f aca="false">IFERROR(((G369*H369)/F369)-I369,"")</f>
        <v>-0.761904761904759</v>
      </c>
      <c r="K369" s="12" t="str">
        <f aca="false">IF(J369&lt;-10,"MUITO ADIANTADO",IF(J369&lt;-6,"ADIANTADO",IF(J369&lt;6,"EM DIAS",IF(J369&lt;12,"ATRASADO","MUITO ATRASADO"))))</f>
        <v>EM DIAS</v>
      </c>
      <c r="L369" s="9" t="n">
        <v>46162</v>
      </c>
      <c r="M369" s="6" t="n">
        <f aca="true">TODAY()-L369</f>
        <v>9</v>
      </c>
      <c r="N369" s="1" t="str">
        <f aca="false">IF(M369&lt;8,"VERIFICADO",IF(M369&lt;15,"VERIFICAR","VERIFICAR URGENTE"))</f>
        <v>VERIFICAR</v>
      </c>
    </row>
    <row r="370" customFormat="false" ht="15" hidden="false" customHeight="false" outlineLevel="0" collapsed="false">
      <c r="A370" s="6" t="s">
        <v>384</v>
      </c>
      <c r="B370" s="7" t="s">
        <v>24</v>
      </c>
      <c r="C370" s="8" t="n">
        <f aca="false">L370</f>
        <v>46158</v>
      </c>
      <c r="D370" s="9" t="n">
        <v>45969</v>
      </c>
      <c r="E370" s="10" t="n">
        <v>46578</v>
      </c>
      <c r="F370" s="11" t="n">
        <f aca="false">(E370-D370)/7</f>
        <v>87</v>
      </c>
      <c r="G370" s="11" t="n">
        <f aca="true">(TODAY()-D370)/7</f>
        <v>28.8571428571429</v>
      </c>
      <c r="H370" s="12" t="n">
        <v>80</v>
      </c>
      <c r="I370" s="12" t="n">
        <v>21</v>
      </c>
      <c r="J370" s="13" t="n">
        <f aca="false">IFERROR(((G370*H370)/F370)-I370,"")</f>
        <v>5.53530377668309</v>
      </c>
      <c r="K370" s="12" t="str">
        <f aca="false">IF(J370&lt;-10,"MUITO ADIANTADO",IF(J370&lt;-6,"ADIANTADO",IF(J370&lt;6,"EM DIAS",IF(J370&lt;12,"ATRASADO","MUITO ATRASADO"))))</f>
        <v>EM DIAS</v>
      </c>
      <c r="L370" s="9" t="n">
        <v>46158</v>
      </c>
      <c r="M370" s="6" t="n">
        <f aca="true">TODAY()-L370</f>
        <v>13</v>
      </c>
      <c r="N370" s="1" t="str">
        <f aca="false">IF(M370&lt;8,"VERIFICADO",IF(M370&lt;15,"VERIFICAR","VERIFICAR URGENTE"))</f>
        <v>VERIFICAR</v>
      </c>
    </row>
    <row r="371" customFormat="false" ht="15" hidden="false" customHeight="false" outlineLevel="0" collapsed="false">
      <c r="A371" s="6" t="s">
        <v>385</v>
      </c>
      <c r="B371" s="7" t="s">
        <v>22</v>
      </c>
      <c r="C371" s="8" t="n">
        <f aca="false">L371</f>
        <v>46160</v>
      </c>
      <c r="D371" s="9" t="n">
        <v>45922</v>
      </c>
      <c r="E371" s="10" t="n">
        <v>46287</v>
      </c>
      <c r="F371" s="11" t="n">
        <f aca="false">(E371-D371)/7</f>
        <v>52.1428571428571</v>
      </c>
      <c r="G371" s="11" t="n">
        <f aca="true">(TODAY()-D371)/7</f>
        <v>35.5714285714286</v>
      </c>
      <c r="H371" s="12" t="n">
        <v>48</v>
      </c>
      <c r="I371" s="12" t="n">
        <v>38</v>
      </c>
      <c r="J371" s="13" t="n">
        <f aca="false">IFERROR(((G371*H371)/F371)-I371,"")</f>
        <v>-5.25479452054793</v>
      </c>
      <c r="K371" s="12" t="str">
        <f aca="false">IF(J371&lt;-10,"MUITO ADIANTADO",IF(J371&lt;-6,"ADIANTADO",IF(J371&lt;6,"EM DIAS",IF(J371&lt;12,"ATRASADO","MUITO ATRASADO"))))</f>
        <v>EM DIAS</v>
      </c>
      <c r="L371" s="9" t="n">
        <v>46160</v>
      </c>
      <c r="M371" s="6" t="n">
        <f aca="true">TODAY()-L371</f>
        <v>11</v>
      </c>
      <c r="N371" s="1" t="str">
        <f aca="false">IF(M371&lt;8,"VERIFICADO",IF(M371&lt;15,"VERIFICAR","VERIFICAR URGENTE"))</f>
        <v>VERIFICAR</v>
      </c>
    </row>
    <row r="372" customFormat="false" ht="15" hidden="false" customHeight="false" outlineLevel="0" collapsed="false">
      <c r="A372" s="6" t="s">
        <v>386</v>
      </c>
      <c r="B372" s="7" t="s">
        <v>22</v>
      </c>
      <c r="C372" s="8" t="n">
        <f aca="false">L372</f>
        <v>46164</v>
      </c>
      <c r="D372" s="9" t="n">
        <v>45940</v>
      </c>
      <c r="E372" s="10" t="n">
        <v>47239</v>
      </c>
      <c r="F372" s="11" t="n">
        <f aca="false">(E372-D372)/7</f>
        <v>185.571428571429</v>
      </c>
      <c r="G372" s="11" t="n">
        <f aca="true">(TODAY()-D372)/7</f>
        <v>33</v>
      </c>
      <c r="H372" s="12" t="n">
        <v>272</v>
      </c>
      <c r="I372" s="12" t="n">
        <v>87</v>
      </c>
      <c r="J372" s="13" t="n">
        <f aca="false">IFERROR(((G372*H372)/F372)-I372,"")</f>
        <v>-38.6304849884528</v>
      </c>
      <c r="K372" s="12" t="str">
        <f aca="false">IF(J372&lt;-10,"MUITO ADIANTADO",IF(J372&lt;-6,"ADIANTADO",IF(J372&lt;6,"EM DIAS",IF(J372&lt;12,"ATRASADO","MUITO ATRASADO"))))</f>
        <v>MUITO ADIANTADO</v>
      </c>
      <c r="L372" s="9" t="n">
        <v>46164</v>
      </c>
      <c r="M372" s="6" t="n">
        <f aca="true">TODAY()-L372</f>
        <v>7</v>
      </c>
      <c r="N372" s="1" t="str">
        <f aca="false">IF(M372&lt;8,"VERIFICADO",IF(M372&lt;15,"VERIFICAR","VERIFICAR URGENTE"))</f>
        <v>VERIFICADO</v>
      </c>
    </row>
    <row r="373" customFormat="false" ht="15" hidden="false" customHeight="false" outlineLevel="0" collapsed="false">
      <c r="A373" s="6" t="s">
        <v>387</v>
      </c>
      <c r="B373" s="7" t="s">
        <v>22</v>
      </c>
      <c r="C373" s="8" t="n">
        <f aca="false">L373</f>
        <v>46162</v>
      </c>
      <c r="D373" s="9" t="n">
        <v>45630</v>
      </c>
      <c r="E373" s="10" t="n">
        <v>46233</v>
      </c>
      <c r="F373" s="11" t="n">
        <f aca="false">(E373-D373)/7</f>
        <v>86.1428571428571</v>
      </c>
      <c r="G373" s="11" t="n">
        <f aca="true">(TODAY()-D373)/7</f>
        <v>77.2857142857143</v>
      </c>
      <c r="H373" s="12" t="n">
        <v>96</v>
      </c>
      <c r="I373" s="12" t="n">
        <v>81</v>
      </c>
      <c r="J373" s="13" t="n">
        <f aca="false">IFERROR(((G373*H373)/F373)-I373,"")</f>
        <v>5.1293532338309</v>
      </c>
      <c r="K373" s="12" t="str">
        <f aca="false">IF(J373&lt;-10,"MUITO ADIANTADO",IF(J373&lt;-6,"ADIANTADO",IF(J373&lt;6,"EM DIAS",IF(J373&lt;12,"ATRASADO","MUITO ATRASADO"))))</f>
        <v>EM DIAS</v>
      </c>
      <c r="L373" s="9" t="n">
        <v>46162</v>
      </c>
      <c r="M373" s="6" t="n">
        <f aca="true">TODAY()-L373</f>
        <v>9</v>
      </c>
      <c r="N373" s="1" t="str">
        <f aca="false">IF(M373&lt;8,"VERIFICADO",IF(M373&lt;15,"VERIFICAR","VERIFICAR URGENTE"))</f>
        <v>VERIFICAR</v>
      </c>
    </row>
    <row r="374" customFormat="false" ht="15" hidden="false" customHeight="false" outlineLevel="0" collapsed="false">
      <c r="A374" s="6" t="s">
        <v>388</v>
      </c>
      <c r="B374" s="7" t="s">
        <v>22</v>
      </c>
      <c r="C374" s="8" t="n">
        <f aca="false">L374</f>
        <v>46165</v>
      </c>
      <c r="D374" s="9" t="n">
        <v>45756</v>
      </c>
      <c r="E374" s="10" t="n">
        <v>46335</v>
      </c>
      <c r="F374" s="11" t="n">
        <f aca="false">(E374-D374)/7</f>
        <v>82.7142857142857</v>
      </c>
      <c r="G374" s="11" t="n">
        <f aca="true">(TODAY()-D374)/7</f>
        <v>59.2857142857143</v>
      </c>
      <c r="H374" s="12" t="n">
        <v>80</v>
      </c>
      <c r="I374" s="12" t="n">
        <v>62</v>
      </c>
      <c r="J374" s="13" t="n">
        <f aca="false">IFERROR(((G374*H374)/F374)-I374,"")</f>
        <v>-4.65975820379964</v>
      </c>
      <c r="K374" s="12" t="str">
        <f aca="false">IF(J374&lt;-10,"MUITO ADIANTADO",IF(J374&lt;-6,"ADIANTADO",IF(J374&lt;6,"EM DIAS",IF(J374&lt;12,"ATRASADO","MUITO ATRASADO"))))</f>
        <v>EM DIAS</v>
      </c>
      <c r="L374" s="9" t="n">
        <v>46165</v>
      </c>
      <c r="M374" s="6" t="n">
        <f aca="true">TODAY()-L374</f>
        <v>6</v>
      </c>
      <c r="N374" s="1" t="str">
        <f aca="false">IF(M374&lt;8,"VERIFICADO",IF(M374&lt;15,"VERIFICAR","VERIFICAR URGENTE"))</f>
        <v>VERIFICADO</v>
      </c>
    </row>
    <row r="375" customFormat="false" ht="15" hidden="false" customHeight="false" outlineLevel="0" collapsed="false">
      <c r="A375" s="6" t="s">
        <v>389</v>
      </c>
      <c r="B375" s="7" t="s">
        <v>15</v>
      </c>
      <c r="C375" s="8" t="n">
        <f aca="false">L375</f>
        <v>46165</v>
      </c>
      <c r="D375" s="9" t="n">
        <v>45903</v>
      </c>
      <c r="E375" s="10" t="n">
        <v>47381</v>
      </c>
      <c r="F375" s="11" t="n">
        <f aca="false">(E375-D375)/7</f>
        <v>211.142857142857</v>
      </c>
      <c r="G375" s="11" t="n">
        <f aca="true">(TODAY()-D375)/7</f>
        <v>38.2857142857143</v>
      </c>
      <c r="H375" s="12" t="n">
        <v>220</v>
      </c>
      <c r="I375" s="12" t="n">
        <v>44</v>
      </c>
      <c r="J375" s="13" t="n">
        <f aca="false">IFERROR(((G375*H375)/F375)-I375,"")</f>
        <v>-4.10825439783488</v>
      </c>
      <c r="K375" s="12" t="str">
        <f aca="false">IF(J375&lt;-10,"MUITO ADIANTADO",IF(J375&lt;-6,"ADIANTADO",IF(J375&lt;6,"EM DIAS",IF(J375&lt;12,"ATRASADO","MUITO ATRASADO"))))</f>
        <v>EM DIAS</v>
      </c>
      <c r="L375" s="9" t="n">
        <v>46165</v>
      </c>
      <c r="M375" s="6" t="n">
        <f aca="true">TODAY()-L375</f>
        <v>6</v>
      </c>
      <c r="N375" s="1" t="str">
        <f aca="false">IF(M375&lt;8,"VERIFICADO",IF(M375&lt;15,"VERIFICAR","VERIFICAR URGENTE"))</f>
        <v>VERIFICADO</v>
      </c>
    </row>
    <row r="376" customFormat="false" ht="15" hidden="false" customHeight="false" outlineLevel="0" collapsed="false">
      <c r="A376" s="6" t="s">
        <v>390</v>
      </c>
      <c r="B376" s="7" t="s">
        <v>19</v>
      </c>
      <c r="C376" s="8" t="n">
        <f aca="false">L376</f>
        <v>46160</v>
      </c>
      <c r="D376" s="9" t="n">
        <v>45581</v>
      </c>
      <c r="E376" s="10" t="n">
        <v>46172</v>
      </c>
      <c r="F376" s="11" t="n">
        <f aca="false">(E376-D376)/7</f>
        <v>84.4285714285714</v>
      </c>
      <c r="G376" s="11" t="n">
        <f aca="true">(TODAY()-D376)/7</f>
        <v>84.2857142857143</v>
      </c>
      <c r="H376" s="12" t="n">
        <v>80</v>
      </c>
      <c r="I376" s="12" t="n">
        <v>73</v>
      </c>
      <c r="J376" s="13" t="n">
        <f aca="false">IFERROR(((G376*H376)/F376)-I376,"")</f>
        <v>6.86463620981391</v>
      </c>
      <c r="K376" s="12" t="str">
        <f aca="false">IF(J376&lt;-10,"MUITO ADIANTADO",IF(J376&lt;-6,"ADIANTADO",IF(J376&lt;6,"EM DIAS",IF(J376&lt;12,"ATRASADO","MUITO ATRASADO"))))</f>
        <v>ATRASADO</v>
      </c>
      <c r="L376" s="9" t="n">
        <v>46160</v>
      </c>
      <c r="M376" s="6" t="n">
        <f aca="true">TODAY()-L376</f>
        <v>11</v>
      </c>
      <c r="N376" s="1" t="str">
        <f aca="false">IF(M376&lt;8,"VERIFICADO",IF(M376&lt;15,"VERIFICAR","VERIFICAR URGENTE"))</f>
        <v>VERIFICAR</v>
      </c>
    </row>
    <row r="377" customFormat="false" ht="15" hidden="false" customHeight="false" outlineLevel="0" collapsed="false">
      <c r="A377" s="6" t="s">
        <v>391</v>
      </c>
      <c r="B377" s="7" t="s">
        <v>22</v>
      </c>
      <c r="C377" s="8" t="n">
        <f aca="false">L377</f>
        <v>46160</v>
      </c>
      <c r="D377" s="9" t="n">
        <v>45873</v>
      </c>
      <c r="E377" s="10" t="n">
        <v>46497</v>
      </c>
      <c r="F377" s="11" t="n">
        <f aca="false">(E377-D377)/7</f>
        <v>89.1428571428571</v>
      </c>
      <c r="G377" s="11" t="n">
        <f aca="true">(TODAY()-D377)/7</f>
        <v>42.5714285714286</v>
      </c>
      <c r="H377" s="12" t="n">
        <v>96</v>
      </c>
      <c r="I377" s="12" t="n">
        <v>34</v>
      </c>
      <c r="J377" s="13" t="n">
        <f aca="false">IFERROR(((G377*H377)/F377)-I377,"")</f>
        <v>11.8461538461539</v>
      </c>
      <c r="K377" s="12" t="str">
        <f aca="false">IF(J377&lt;-10,"MUITO ADIANTADO",IF(J377&lt;-6,"ADIANTADO",IF(J377&lt;6,"EM DIAS",IF(J377&lt;12,"ATRASADO","MUITO ATRASADO"))))</f>
        <v>ATRASADO</v>
      </c>
      <c r="L377" s="9" t="n">
        <v>46160</v>
      </c>
      <c r="M377" s="6" t="n">
        <f aca="true">TODAY()-L377</f>
        <v>11</v>
      </c>
      <c r="N377" s="1" t="str">
        <f aca="false">IF(M377&lt;8,"VERIFICADO",IF(M377&lt;15,"VERIFICAR","VERIFICAR URGENTE"))</f>
        <v>VERIFICAR</v>
      </c>
    </row>
    <row r="378" customFormat="false" ht="15" hidden="false" customHeight="false" outlineLevel="0" collapsed="false">
      <c r="A378" s="6" t="s">
        <v>392</v>
      </c>
      <c r="B378" s="6" t="s">
        <v>19</v>
      </c>
      <c r="C378" s="8" t="n">
        <f aca="false">L378</f>
        <v>46160</v>
      </c>
      <c r="D378" s="9" t="n">
        <v>45815</v>
      </c>
      <c r="E378" s="10" t="n">
        <v>47572</v>
      </c>
      <c r="F378" s="11" t="n">
        <f aca="false">(E378-D378)/7</f>
        <v>251</v>
      </c>
      <c r="G378" s="11" t="n">
        <f aca="true">(TODAY()-D378)/7</f>
        <v>50.8571428571429</v>
      </c>
      <c r="H378" s="12" t="n">
        <v>286</v>
      </c>
      <c r="I378" s="12" t="n">
        <v>46</v>
      </c>
      <c r="J378" s="13" t="n">
        <f aca="false">IFERROR(((G378*H378)/F378)-I378,"")</f>
        <v>11.9487763232783</v>
      </c>
      <c r="K378" s="12" t="str">
        <f aca="false">IF(J378&lt;-10,"MUITO ADIANTADO",IF(J378&lt;-6,"ADIANTADO",IF(J378&lt;6,"EM DIAS",IF(J378&lt;12,"ATRASADO","MUITO ATRASADO"))))</f>
        <v>ATRASADO</v>
      </c>
      <c r="L378" s="9" t="n">
        <v>46160</v>
      </c>
      <c r="M378" s="6" t="n">
        <f aca="true">TODAY()-L378</f>
        <v>11</v>
      </c>
      <c r="N378" s="1" t="str">
        <f aca="false">IF(M378&lt;8,"VERIFICADO",IF(M378&lt;15,"VERIFICAR","VERIFICAR URGENTE"))</f>
        <v>VERIFICAR</v>
      </c>
    </row>
    <row r="379" customFormat="false" ht="15" hidden="false" customHeight="false" outlineLevel="0" collapsed="false">
      <c r="A379" s="6" t="s">
        <v>393</v>
      </c>
      <c r="B379" s="7" t="s">
        <v>15</v>
      </c>
      <c r="C379" s="8" t="n">
        <f aca="false">L379</f>
        <v>46165</v>
      </c>
      <c r="D379" s="9" t="n">
        <v>46001</v>
      </c>
      <c r="E379" s="10" t="n">
        <v>47202</v>
      </c>
      <c r="F379" s="11" t="n">
        <f aca="false">(E379-D379)/7</f>
        <v>171.571428571429</v>
      </c>
      <c r="G379" s="11" t="n">
        <f aca="true">(TODAY()-D379)/7</f>
        <v>24.2857142857143</v>
      </c>
      <c r="H379" s="12" t="n">
        <v>160</v>
      </c>
      <c r="I379" s="12" t="n">
        <v>33</v>
      </c>
      <c r="J379" s="13" t="n">
        <f aca="false">IFERROR(((G379*H379)/F379)-I379,"")</f>
        <v>-10.3522064945879</v>
      </c>
      <c r="K379" s="12" t="str">
        <f aca="false">IF(J379&lt;-10,"MUITO ADIANTADO",IF(J379&lt;-6,"ADIANTADO",IF(J379&lt;6,"EM DIAS",IF(J379&lt;12,"ATRASADO","MUITO ATRASADO"))))</f>
        <v>MUITO ADIANTADO</v>
      </c>
      <c r="L379" s="9" t="n">
        <v>46165</v>
      </c>
      <c r="M379" s="6" t="n">
        <f aca="true">TODAY()-L379</f>
        <v>6</v>
      </c>
      <c r="N379" s="1" t="str">
        <f aca="false">IF(M379&lt;8,"VERIFICADO",IF(M379&lt;15,"VERIFICAR","VERIFICAR URGENTE"))</f>
        <v>VERIFICADO</v>
      </c>
    </row>
    <row r="380" customFormat="false" ht="15" hidden="false" customHeight="false" outlineLevel="0" collapsed="false">
      <c r="A380" s="6" t="s">
        <v>394</v>
      </c>
      <c r="B380" s="7" t="s">
        <v>19</v>
      </c>
      <c r="C380" s="8" t="n">
        <f aca="false">L380</f>
        <v>46160</v>
      </c>
      <c r="D380" s="9" t="n">
        <v>46032</v>
      </c>
      <c r="E380" s="10" t="n">
        <v>46296</v>
      </c>
      <c r="F380" s="11" t="n">
        <f aca="false">(E380-D380)/7</f>
        <v>37.7142857142857</v>
      </c>
      <c r="G380" s="11" t="n">
        <f aca="true">(TODAY()-D380)/7</f>
        <v>19.8571428571429</v>
      </c>
      <c r="H380" s="12" t="n">
        <v>80</v>
      </c>
      <c r="I380" s="12" t="n">
        <v>16</v>
      </c>
      <c r="J380" s="13" t="n">
        <f aca="false">IFERROR(((G380*H380)/F380)-I380,"")</f>
        <v>26.1212121212121</v>
      </c>
      <c r="K380" s="12" t="str">
        <f aca="false">IF(J380&lt;-10,"MUITO ADIANTADO",IF(J380&lt;-6,"ADIANTADO",IF(J380&lt;6,"EM DIAS",IF(J380&lt;12,"ATRASADO","MUITO ATRASADO"))))</f>
        <v>MUITO ATRASADO</v>
      </c>
      <c r="L380" s="9" t="n">
        <v>46160</v>
      </c>
      <c r="M380" s="6" t="n">
        <f aca="true">TODAY()-L380</f>
        <v>11</v>
      </c>
      <c r="N380" s="1" t="str">
        <f aca="false">IF(M380&lt;8,"VERIFICADO",IF(M380&lt;15,"VERIFICAR","VERIFICAR URGENTE"))</f>
        <v>VERIFICAR</v>
      </c>
    </row>
    <row r="381" customFormat="false" ht="15" hidden="false" customHeight="false" outlineLevel="0" collapsed="false">
      <c r="A381" s="6" t="s">
        <v>395</v>
      </c>
      <c r="B381" s="7" t="s">
        <v>24</v>
      </c>
      <c r="C381" s="8" t="n">
        <f aca="false">L381</f>
        <v>46162</v>
      </c>
      <c r="D381" s="9" t="n">
        <v>45852</v>
      </c>
      <c r="E381" s="10" t="n">
        <v>46800</v>
      </c>
      <c r="F381" s="11" t="n">
        <f aca="false">(E381-D381)/7</f>
        <v>135.428571428571</v>
      </c>
      <c r="G381" s="11" t="n">
        <f aca="true">(TODAY()-D381)/7</f>
        <v>45.5714285714286</v>
      </c>
      <c r="H381" s="12" t="n">
        <v>128</v>
      </c>
      <c r="I381" s="12" t="n">
        <v>44</v>
      </c>
      <c r="J381" s="13" t="n">
        <f aca="false">IFERROR(((G381*H381)/F381)-I381,"")</f>
        <v>-0.928270042193958</v>
      </c>
      <c r="K381" s="12" t="str">
        <f aca="false">IF(J381&lt;-10,"MUITO ADIANTADO",IF(J381&lt;-6,"ADIANTADO",IF(J381&lt;6,"EM DIAS",IF(J381&lt;12,"ATRASADO","MUITO ATRASADO"))))</f>
        <v>EM DIAS</v>
      </c>
      <c r="L381" s="9" t="n">
        <v>46162</v>
      </c>
      <c r="M381" s="6" t="n">
        <f aca="true">TODAY()-L381</f>
        <v>9</v>
      </c>
      <c r="N381" s="1" t="str">
        <f aca="false">IF(M381&lt;8,"VERIFICADO",IF(M381&lt;15,"VERIFICAR","VERIFICAR URGENTE"))</f>
        <v>VERIFICAR</v>
      </c>
    </row>
    <row r="382" customFormat="false" ht="15" hidden="false" customHeight="false" outlineLevel="0" collapsed="false">
      <c r="A382" s="6" t="s">
        <v>396</v>
      </c>
      <c r="B382" s="7" t="s">
        <v>24</v>
      </c>
      <c r="C382" s="8" t="n">
        <f aca="false">L382</f>
        <v>46163</v>
      </c>
      <c r="D382" s="9" t="n">
        <v>45678</v>
      </c>
      <c r="E382" s="10" t="n">
        <v>46663</v>
      </c>
      <c r="F382" s="11" t="n">
        <f aca="false">(E382-D382)/7</f>
        <v>140.714285714286</v>
      </c>
      <c r="G382" s="11" t="n">
        <f aca="true">(TODAY()-D382)/7</f>
        <v>70.4285714285714</v>
      </c>
      <c r="H382" s="12" t="n">
        <v>224</v>
      </c>
      <c r="I382" s="12" t="n">
        <v>113</v>
      </c>
      <c r="J382" s="13" t="n">
        <f aca="false">IFERROR(((G382*H382)/F382)-I382,"")</f>
        <v>-0.886294416243885</v>
      </c>
      <c r="K382" s="12" t="str">
        <f aca="false">IF(J382&lt;-10,"MUITO ADIANTADO",IF(J382&lt;-6,"ADIANTADO",IF(J382&lt;6,"EM DIAS",IF(J382&lt;12,"ATRASADO","MUITO ATRASADO"))))</f>
        <v>EM DIAS</v>
      </c>
      <c r="L382" s="9" t="n">
        <v>46163</v>
      </c>
      <c r="M382" s="6" t="n">
        <f aca="true">TODAY()-L382</f>
        <v>8</v>
      </c>
      <c r="N382" s="1" t="str">
        <f aca="false">IF(M382&lt;8,"VERIFICADO",IF(M382&lt;15,"VERIFICAR","VERIFICAR URGENTE"))</f>
        <v>VERIFICAR</v>
      </c>
    </row>
    <row r="383" customFormat="false" ht="15" hidden="false" customHeight="false" outlineLevel="0" collapsed="false">
      <c r="A383" s="6" t="s">
        <v>397</v>
      </c>
      <c r="B383" s="7" t="s">
        <v>15</v>
      </c>
      <c r="C383" s="8" t="n">
        <f aca="false">L383</f>
        <v>46160</v>
      </c>
      <c r="D383" s="9" t="n">
        <v>46090</v>
      </c>
      <c r="E383" s="10" t="n">
        <v>47889</v>
      </c>
      <c r="F383" s="11" t="n">
        <f aca="false">(E383-D383)/7</f>
        <v>257</v>
      </c>
      <c r="G383" s="11" t="n">
        <f aca="true">(TODAY()-D383)/7</f>
        <v>11.5714285714286</v>
      </c>
      <c r="H383" s="12" t="n">
        <v>252</v>
      </c>
      <c r="I383" s="12" t="n">
        <v>3</v>
      </c>
      <c r="J383" s="13" t="n">
        <f aca="false">IFERROR(((G383*H383)/F383)-I383,"")</f>
        <v>8.34630350194553</v>
      </c>
      <c r="K383" s="12" t="str">
        <f aca="false">IF(J383&lt;-10,"MUITO ADIANTADO",IF(J383&lt;-6,"ADIANTADO",IF(J383&lt;6,"EM DIAS",IF(J383&lt;12,"ATRASADO","MUITO ATRASADO"))))</f>
        <v>ATRASADO</v>
      </c>
      <c r="L383" s="9" t="n">
        <v>46160</v>
      </c>
      <c r="M383" s="6" t="n">
        <f aca="true">TODAY()-L383</f>
        <v>11</v>
      </c>
      <c r="N383" s="1" t="str">
        <f aca="false">IF(M383&lt;8,"VERIFICADO",IF(M383&lt;15,"VERIFICAR","VERIFICAR URGENTE"))</f>
        <v>VERIFICAR</v>
      </c>
    </row>
    <row r="384" customFormat="false" ht="15" hidden="false" customHeight="false" outlineLevel="0" collapsed="false">
      <c r="A384" s="6" t="s">
        <v>398</v>
      </c>
      <c r="B384" s="7" t="s">
        <v>24</v>
      </c>
      <c r="C384" s="8" t="n">
        <f aca="false">L384</f>
        <v>46161</v>
      </c>
      <c r="D384" s="9" t="n">
        <v>45960</v>
      </c>
      <c r="E384" s="10" t="n">
        <v>46599</v>
      </c>
      <c r="F384" s="11" t="n">
        <f aca="false">(E384-D384)/7</f>
        <v>91.2857142857143</v>
      </c>
      <c r="G384" s="11" t="n">
        <f aca="true">(TODAY()-D384)/7</f>
        <v>30.1428571428571</v>
      </c>
      <c r="H384" s="12" t="n">
        <v>96</v>
      </c>
      <c r="I384" s="12" t="n">
        <v>26</v>
      </c>
      <c r="J384" s="13" t="n">
        <f aca="false">IFERROR(((G384*H384)/F384)-I384,"")</f>
        <v>5.69953051643192</v>
      </c>
      <c r="K384" s="12" t="str">
        <f aca="false">IF(J384&lt;-10,"MUITO ADIANTADO",IF(J384&lt;-6,"ADIANTADO",IF(J384&lt;6,"EM DIAS",IF(J384&lt;12,"ATRASADO","MUITO ATRASADO"))))</f>
        <v>EM DIAS</v>
      </c>
      <c r="L384" s="9" t="n">
        <v>46161</v>
      </c>
      <c r="M384" s="6" t="n">
        <f aca="true">TODAY()-L384</f>
        <v>10</v>
      </c>
      <c r="N384" s="1" t="str">
        <f aca="false">IF(M384&lt;8,"VERIFICADO",IF(M384&lt;15,"VERIFICAR","VERIFICAR URGENTE"))</f>
        <v>VERIFICAR</v>
      </c>
    </row>
    <row r="385" customFormat="false" ht="15" hidden="false" customHeight="false" outlineLevel="0" collapsed="false">
      <c r="A385" s="6" t="s">
        <v>399</v>
      </c>
      <c r="B385" s="7" t="s">
        <v>22</v>
      </c>
      <c r="C385" s="8" t="n">
        <f aca="false">L385</f>
        <v>46165</v>
      </c>
      <c r="D385" s="9" t="n">
        <v>45794</v>
      </c>
      <c r="E385" s="10" t="n">
        <v>46660</v>
      </c>
      <c r="F385" s="11" t="n">
        <f aca="false">(E385-D385)/7</f>
        <v>123.714285714286</v>
      </c>
      <c r="G385" s="11" t="n">
        <f aca="true">(TODAY()-D385)/7</f>
        <v>53.8571428571429</v>
      </c>
      <c r="H385" s="12" t="n">
        <v>148</v>
      </c>
      <c r="I385" s="12" t="n">
        <v>52</v>
      </c>
      <c r="J385" s="13" t="n">
        <f aca="false">IFERROR(((G385*H385)/F385)-I385,"")</f>
        <v>12.4295612009236</v>
      </c>
      <c r="K385" s="12" t="str">
        <f aca="false">IF(J385&lt;-10,"MUITO ADIANTADO",IF(J385&lt;-6,"ADIANTADO",IF(J385&lt;6,"EM DIAS",IF(J385&lt;12,"ATRASADO","MUITO ATRASADO"))))</f>
        <v>MUITO ATRASADO</v>
      </c>
      <c r="L385" s="9" t="n">
        <v>46165</v>
      </c>
      <c r="M385" s="6" t="n">
        <f aca="true">TODAY()-L385</f>
        <v>6</v>
      </c>
      <c r="N385" s="1" t="str">
        <f aca="false">IF(M385&lt;8,"VERIFICADO",IF(M385&lt;15,"VERIFICAR","VERIFICAR URGENTE"))</f>
        <v>VERIFICADO</v>
      </c>
    </row>
    <row r="386" customFormat="false" ht="15" hidden="false" customHeight="false" outlineLevel="0" collapsed="false">
      <c r="A386" s="6" t="s">
        <v>400</v>
      </c>
      <c r="B386" s="7" t="s">
        <v>24</v>
      </c>
      <c r="C386" s="8" t="n">
        <f aca="false">L386</f>
        <v>46158</v>
      </c>
      <c r="D386" s="9" t="n">
        <v>45943</v>
      </c>
      <c r="E386" s="10" t="n">
        <v>47138</v>
      </c>
      <c r="F386" s="11" t="n">
        <f aca="false">(E386-D386)/7</f>
        <v>170.714285714286</v>
      </c>
      <c r="G386" s="11" t="n">
        <f aca="true">(TODAY()-D386)/7</f>
        <v>32.5714285714286</v>
      </c>
      <c r="H386" s="12" t="n">
        <v>177</v>
      </c>
      <c r="I386" s="12" t="n">
        <v>34</v>
      </c>
      <c r="J386" s="13" t="n">
        <f aca="false">IFERROR(((G386*H386)/F386)-I386,"")</f>
        <v>-0.229288702928926</v>
      </c>
      <c r="K386" s="12" t="str">
        <f aca="false">IF(J386&lt;-10,"MUITO ADIANTADO",IF(J386&lt;-6,"ADIANTADO",IF(J386&lt;6,"EM DIAS",IF(J386&lt;12,"ATRASADO","MUITO ATRASADO"))))</f>
        <v>EM DIAS</v>
      </c>
      <c r="L386" s="9" t="n">
        <v>46158</v>
      </c>
      <c r="M386" s="6" t="n">
        <f aca="true">TODAY()-L386</f>
        <v>13</v>
      </c>
      <c r="N386" s="1" t="str">
        <f aca="false">IF(M386&lt;8,"VERIFICADO",IF(M386&lt;15,"VERIFICAR","VERIFICAR URGENTE"))</f>
        <v>VERIFICAR</v>
      </c>
    </row>
    <row r="387" customFormat="false" ht="15" hidden="false" customHeight="false" outlineLevel="0" collapsed="false">
      <c r="A387" s="6" t="s">
        <v>401</v>
      </c>
      <c r="B387" s="7" t="s">
        <v>22</v>
      </c>
      <c r="C387" s="8" t="n">
        <f aca="false">L387</f>
        <v>46164</v>
      </c>
      <c r="D387" s="9" t="n">
        <v>46052</v>
      </c>
      <c r="E387" s="10" t="n">
        <v>46366</v>
      </c>
      <c r="F387" s="11" t="n">
        <f aca="false">(E387-D387)/7</f>
        <v>44.8571428571429</v>
      </c>
      <c r="G387" s="11" t="n">
        <f aca="true">(TODAY()-D387)/7</f>
        <v>17</v>
      </c>
      <c r="H387" s="12" t="n">
        <v>48</v>
      </c>
      <c r="I387" s="12" t="n">
        <v>16</v>
      </c>
      <c r="J387" s="13" t="n">
        <f aca="false">IFERROR(((G387*H387)/F387)-I387,"")</f>
        <v>2.19108280254775</v>
      </c>
      <c r="K387" s="12" t="str">
        <f aca="false">IF(J387&lt;-10,"MUITO ADIANTADO",IF(J387&lt;-6,"ADIANTADO",IF(J387&lt;6,"EM DIAS",IF(J387&lt;12,"ATRASADO","MUITO ATRASADO"))))</f>
        <v>EM DIAS</v>
      </c>
      <c r="L387" s="9" t="n">
        <v>46164</v>
      </c>
      <c r="M387" s="6" t="n">
        <f aca="true">TODAY()-L387</f>
        <v>7</v>
      </c>
      <c r="N387" s="1" t="str">
        <f aca="false">IF(M387&lt;8,"VERIFICADO",IF(M387&lt;15,"VERIFICAR","VERIFICAR URGENTE"))</f>
        <v>VERIFICADO</v>
      </c>
    </row>
    <row r="388" customFormat="false" ht="15" hidden="false" customHeight="false" outlineLevel="0" collapsed="false">
      <c r="A388" s="6" t="s">
        <v>402</v>
      </c>
      <c r="B388" s="7" t="s">
        <v>22</v>
      </c>
      <c r="C388" s="8" t="n">
        <f aca="false">L388</f>
        <v>46164</v>
      </c>
      <c r="D388" s="9" t="n">
        <v>45702</v>
      </c>
      <c r="E388" s="10" t="n">
        <v>46262</v>
      </c>
      <c r="F388" s="11" t="n">
        <f aca="false">(E388-D388)/7</f>
        <v>80</v>
      </c>
      <c r="G388" s="11" t="n">
        <f aca="true">(TODAY()-D388)/7</f>
        <v>67</v>
      </c>
      <c r="H388" s="12" t="n">
        <v>80</v>
      </c>
      <c r="I388" s="12" t="n">
        <v>59</v>
      </c>
      <c r="J388" s="13" t="n">
        <f aca="false">IFERROR(((G388*H388)/F388)-I388,"")</f>
        <v>8</v>
      </c>
      <c r="K388" s="12" t="str">
        <f aca="false">IF(J388&lt;-10,"MUITO ADIANTADO",IF(J388&lt;-6,"ADIANTADO",IF(J388&lt;6,"EM DIAS",IF(J388&lt;12,"ATRASADO","MUITO ATRASADO"))))</f>
        <v>ATRASADO</v>
      </c>
      <c r="L388" s="9" t="n">
        <v>46164</v>
      </c>
      <c r="M388" s="6" t="n">
        <f aca="true">TODAY()-L388</f>
        <v>7</v>
      </c>
      <c r="N388" s="1" t="str">
        <f aca="false">IF(M388&lt;8,"VERIFICADO",IF(M388&lt;15,"VERIFICAR","VERIFICAR URGENTE"))</f>
        <v>VERIFICADO</v>
      </c>
    </row>
    <row r="389" customFormat="false" ht="15" hidden="false" customHeight="false" outlineLevel="0" collapsed="false">
      <c r="A389" s="6" t="s">
        <v>403</v>
      </c>
      <c r="B389" s="7" t="s">
        <v>22</v>
      </c>
      <c r="C389" s="8" t="n">
        <f aca="false">L389</f>
        <v>46160</v>
      </c>
      <c r="D389" s="9" t="n">
        <v>46048</v>
      </c>
      <c r="E389" s="10" t="n">
        <v>46555</v>
      </c>
      <c r="F389" s="11" t="n">
        <f aca="false">(E389-D389)/7</f>
        <v>72.4285714285714</v>
      </c>
      <c r="G389" s="11" t="n">
        <f aca="true">(TODAY()-D389)/7</f>
        <v>17.5714285714286</v>
      </c>
      <c r="H389" s="12" t="n">
        <v>122</v>
      </c>
      <c r="I389" s="12" t="n">
        <v>17</v>
      </c>
      <c r="J389" s="13" t="n">
        <f aca="false">IFERROR(((G389*H389)/F389)-I389,"")</f>
        <v>12.5976331360947</v>
      </c>
      <c r="K389" s="12" t="str">
        <f aca="false">IF(J389&lt;-10,"MUITO ADIANTADO",IF(J389&lt;-6,"ADIANTADO",IF(J389&lt;6,"EM DIAS",IF(J389&lt;12,"ATRASADO","MUITO ATRASADO"))))</f>
        <v>MUITO ATRASADO</v>
      </c>
      <c r="L389" s="9" t="n">
        <v>46160</v>
      </c>
      <c r="M389" s="6" t="n">
        <f aca="true">TODAY()-L389</f>
        <v>11</v>
      </c>
      <c r="N389" s="1" t="str">
        <f aca="false">IF(M389&lt;8,"VERIFICADO",IF(M389&lt;15,"VERIFICAR","VERIFICAR URGENTE"))</f>
        <v>VERIFICAR</v>
      </c>
    </row>
    <row r="390" customFormat="false" ht="15" hidden="false" customHeight="false" outlineLevel="0" collapsed="false">
      <c r="A390" s="6" t="s">
        <v>404</v>
      </c>
      <c r="B390" s="7" t="s">
        <v>19</v>
      </c>
      <c r="C390" s="8" t="n">
        <f aca="false">L390</f>
        <v>46160</v>
      </c>
      <c r="D390" s="9" t="n">
        <v>45440</v>
      </c>
      <c r="E390" s="10" t="n">
        <v>46174</v>
      </c>
      <c r="F390" s="11" t="n">
        <f aca="false">(E390-D390)/7</f>
        <v>104.857142857143</v>
      </c>
      <c r="G390" s="11" t="n">
        <f aca="true">(TODAY()-D390)/7</f>
        <v>104.428571428571</v>
      </c>
      <c r="H390" s="12" t="n">
        <v>160</v>
      </c>
      <c r="I390" s="12" t="n">
        <v>160</v>
      </c>
      <c r="J390" s="13" t="n">
        <f aca="false">IFERROR(((G390*H390)/F390)-I390,"")</f>
        <v>-0.653950953678702</v>
      </c>
      <c r="K390" s="12" t="str">
        <f aca="false">IF(J390&lt;-10,"MUITO ADIANTADO",IF(J390&lt;-6,"ADIANTADO",IF(J390&lt;6,"EM DIAS",IF(J390&lt;12,"ATRASADO","MUITO ATRASADO"))))</f>
        <v>EM DIAS</v>
      </c>
      <c r="L390" s="9" t="n">
        <v>46160</v>
      </c>
      <c r="M390" s="6" t="n">
        <f aca="true">TODAY()-L390</f>
        <v>11</v>
      </c>
      <c r="N390" s="1" t="str">
        <f aca="false">IF(M390&lt;8,"VERIFICADO",IF(M390&lt;15,"VERIFICAR","VERIFICAR URGENTE"))</f>
        <v>VERIFICAR</v>
      </c>
    </row>
    <row r="391" customFormat="false" ht="15" hidden="false" customHeight="false" outlineLevel="0" collapsed="false">
      <c r="A391" s="6" t="s">
        <v>405</v>
      </c>
      <c r="B391" s="7" t="s">
        <v>19</v>
      </c>
      <c r="C391" s="8" t="n">
        <f aca="false">L391</f>
        <v>46158</v>
      </c>
      <c r="D391" s="9" t="n">
        <v>45804</v>
      </c>
      <c r="E391" s="10" t="n">
        <v>47088</v>
      </c>
      <c r="F391" s="11" t="n">
        <f aca="false">(E391-D391)/7</f>
        <v>183.428571428571</v>
      </c>
      <c r="G391" s="11" t="n">
        <f aca="true">(TODAY()-D391)/7</f>
        <v>52.4285714285714</v>
      </c>
      <c r="H391" s="12" t="n">
        <v>192</v>
      </c>
      <c r="I391" s="12" t="n">
        <v>58</v>
      </c>
      <c r="J391" s="13" t="n">
        <f aca="false">IFERROR(((G391*H391)/F391)-I391,"")</f>
        <v>-3.12149532710268</v>
      </c>
      <c r="K391" s="12" t="str">
        <f aca="false">IF(J391&lt;-10,"MUITO ADIANTADO",IF(J391&lt;-6,"ADIANTADO",IF(J391&lt;6,"EM DIAS",IF(J391&lt;12,"ATRASADO","MUITO ATRASADO"))))</f>
        <v>EM DIAS</v>
      </c>
      <c r="L391" s="9" t="n">
        <v>46158</v>
      </c>
      <c r="M391" s="6" t="n">
        <f aca="true">TODAY()-L391</f>
        <v>13</v>
      </c>
      <c r="N391" s="1" t="str">
        <f aca="false">IF(M391&lt;8,"VERIFICADO",IF(M391&lt;15,"VERIFICAR","VERIFICAR URGENTE"))</f>
        <v>VERIFICAR</v>
      </c>
    </row>
    <row r="392" customFormat="false" ht="15" hidden="false" customHeight="false" outlineLevel="0" collapsed="false">
      <c r="A392" s="6" t="s">
        <v>404</v>
      </c>
      <c r="B392" s="7" t="s">
        <v>19</v>
      </c>
      <c r="C392" s="8" t="n">
        <f aca="false">L392</f>
        <v>46165</v>
      </c>
      <c r="D392" s="9" t="n">
        <v>45566</v>
      </c>
      <c r="E392" s="10" t="n">
        <v>46661</v>
      </c>
      <c r="F392" s="11" t="n">
        <f aca="false">(E392-D392)/7</f>
        <v>156.428571428571</v>
      </c>
      <c r="G392" s="11" t="n">
        <f aca="true">(TODAY()-D392)/7</f>
        <v>86.4285714285714</v>
      </c>
      <c r="H392" s="12" t="n">
        <v>212</v>
      </c>
      <c r="I392" s="12" t="n">
        <v>112</v>
      </c>
      <c r="J392" s="13" t="n">
        <f aca="false">IFERROR(((G392*H392)/F392)-I392,"")</f>
        <v>5.13242009132455</v>
      </c>
      <c r="K392" s="12" t="str">
        <f aca="false">IF(J392&lt;-10,"MUITO ADIANTADO",IF(J392&lt;-6,"ADIANTADO",IF(J392&lt;6,"EM DIAS",IF(J392&lt;12,"ATRASADO","MUITO ATRASADO"))))</f>
        <v>EM DIAS</v>
      </c>
      <c r="L392" s="9" t="n">
        <v>46165</v>
      </c>
      <c r="M392" s="6" t="n">
        <f aca="true">TODAY()-L392</f>
        <v>6</v>
      </c>
      <c r="N392" s="1" t="str">
        <f aca="false">IF(M392&lt;8,"VERIFICADO",IF(M392&lt;15,"VERIFICAR","VERIFICAR URGENTE"))</f>
        <v>VERIFICADO</v>
      </c>
    </row>
    <row r="393" customFormat="false" ht="15" hidden="false" customHeight="false" outlineLevel="0" collapsed="false">
      <c r="A393" s="6" t="s">
        <v>406</v>
      </c>
      <c r="B393" s="7" t="s">
        <v>22</v>
      </c>
      <c r="C393" s="8" t="n">
        <f aca="false">L393</f>
        <v>46161</v>
      </c>
      <c r="D393" s="9" t="n">
        <v>45740</v>
      </c>
      <c r="E393" s="10" t="n">
        <v>46296</v>
      </c>
      <c r="F393" s="11" t="n">
        <f aca="false">(E393-D393)/7</f>
        <v>79.4285714285714</v>
      </c>
      <c r="G393" s="11" t="n">
        <f aca="true">(TODAY()-D393)/7</f>
        <v>61.5714285714286</v>
      </c>
      <c r="H393" s="12" t="n">
        <v>96</v>
      </c>
      <c r="I393" s="12" t="n">
        <v>68</v>
      </c>
      <c r="J393" s="13" t="n">
        <f aca="false">IFERROR(((G393*H393)/F393)-I393,"")</f>
        <v>6.41726618705039</v>
      </c>
      <c r="K393" s="12" t="str">
        <f aca="false">IF(J393&lt;-10,"MUITO ADIANTADO",IF(J393&lt;-6,"ADIANTADO",IF(J393&lt;6,"EM DIAS",IF(J393&lt;12,"ATRASADO","MUITO ATRASADO"))))</f>
        <v>ATRASADO</v>
      </c>
      <c r="L393" s="9" t="n">
        <v>46161</v>
      </c>
      <c r="M393" s="6" t="n">
        <f aca="true">TODAY()-L393</f>
        <v>10</v>
      </c>
      <c r="N393" s="1" t="str">
        <f aca="false">IF(M393&lt;8,"VERIFICADO",IF(M393&lt;15,"VERIFICAR","VERIFICAR URGENTE"))</f>
        <v>VERIFICAR</v>
      </c>
    </row>
    <row r="394" customFormat="false" ht="15" hidden="false" customHeight="false" outlineLevel="0" collapsed="false">
      <c r="A394" s="6" t="s">
        <v>407</v>
      </c>
      <c r="B394" s="7" t="s">
        <v>22</v>
      </c>
      <c r="C394" s="8" t="n">
        <f aca="false">L394</f>
        <v>46161</v>
      </c>
      <c r="D394" s="9" t="n">
        <v>45915</v>
      </c>
      <c r="E394" s="10" t="n">
        <v>46456</v>
      </c>
      <c r="F394" s="11" t="n">
        <f aca="false">(E394-D394)/7</f>
        <v>77.2857142857143</v>
      </c>
      <c r="G394" s="11" t="n">
        <f aca="true">(TODAY()-D394)/7</f>
        <v>36.5714285714286</v>
      </c>
      <c r="H394" s="12" t="n">
        <v>80</v>
      </c>
      <c r="I394" s="12" t="n">
        <v>42</v>
      </c>
      <c r="J394" s="13" t="n">
        <f aca="false">IFERROR(((G394*H394)/F394)-I394,"")</f>
        <v>-4.14417744916823</v>
      </c>
      <c r="K394" s="12" t="str">
        <f aca="false">IF(J394&lt;-10,"MUITO ADIANTADO",IF(J394&lt;-6,"ADIANTADO",IF(J394&lt;6,"EM DIAS",IF(J394&lt;12,"ATRASADO","MUITO ATRASADO"))))</f>
        <v>EM DIAS</v>
      </c>
      <c r="L394" s="9" t="n">
        <v>46161</v>
      </c>
      <c r="M394" s="6" t="n">
        <f aca="true">TODAY()-L394</f>
        <v>10</v>
      </c>
      <c r="N394" s="1" t="str">
        <f aca="false">IF(M394&lt;8,"VERIFICADO",IF(M394&lt;15,"VERIFICAR","VERIFICAR URGENTE"))</f>
        <v>VERIFICAR</v>
      </c>
    </row>
    <row r="395" customFormat="false" ht="15" hidden="false" customHeight="false" outlineLevel="0" collapsed="false">
      <c r="A395" s="6" t="s">
        <v>408</v>
      </c>
      <c r="B395" s="7" t="s">
        <v>22</v>
      </c>
      <c r="C395" s="8" t="n">
        <f aca="false">L395</f>
        <v>46162</v>
      </c>
      <c r="D395" s="9" t="n">
        <v>45755</v>
      </c>
      <c r="E395" s="10" t="n">
        <v>47058</v>
      </c>
      <c r="F395" s="11" t="n">
        <f aca="false">(E395-D395)/7</f>
        <v>186.142857142857</v>
      </c>
      <c r="G395" s="11" t="n">
        <f aca="true">(TODAY()-D395)/7</f>
        <v>59.4285714285714</v>
      </c>
      <c r="H395" s="12" t="n">
        <v>176</v>
      </c>
      <c r="I395" s="12" t="n">
        <v>77</v>
      </c>
      <c r="J395" s="13" t="n">
        <f aca="false">IFERROR(((G395*H395)/F395)-I395,"")</f>
        <v>-20.8096699923254</v>
      </c>
      <c r="K395" s="12" t="str">
        <f aca="false">IF(J395&lt;-10,"MUITO ADIANTADO",IF(J395&lt;-6,"ADIANTADO",IF(J395&lt;6,"EM DIAS",IF(J395&lt;12,"ATRASADO","MUITO ATRASADO"))))</f>
        <v>MUITO ADIANTADO</v>
      </c>
      <c r="L395" s="9" t="n">
        <v>46162</v>
      </c>
      <c r="M395" s="6" t="n">
        <f aca="true">TODAY()-L395</f>
        <v>9</v>
      </c>
      <c r="N395" s="1" t="str">
        <f aca="false">IF(M395&lt;8,"VERIFICADO",IF(M395&lt;15,"VERIFICAR","VERIFICAR URGENTE"))</f>
        <v>VERIFICAR</v>
      </c>
    </row>
    <row r="396" customFormat="false" ht="15" hidden="false" customHeight="false" outlineLevel="0" collapsed="false">
      <c r="A396" s="6" t="s">
        <v>409</v>
      </c>
      <c r="B396" s="7" t="s">
        <v>24</v>
      </c>
      <c r="C396" s="8" t="n">
        <f aca="false">L396</f>
        <v>46163</v>
      </c>
      <c r="D396" s="9" t="n">
        <v>45911</v>
      </c>
      <c r="E396" s="10" t="n">
        <v>46817</v>
      </c>
      <c r="F396" s="11" t="n">
        <f aca="false">(E396-D396)/7</f>
        <v>129.428571428571</v>
      </c>
      <c r="G396" s="11" t="n">
        <f aca="true">(TODAY()-D396)/7</f>
        <v>37.1428571428571</v>
      </c>
      <c r="H396" s="12" t="n">
        <v>128</v>
      </c>
      <c r="I396" s="12" t="n">
        <v>41</v>
      </c>
      <c r="J396" s="13" t="n">
        <f aca="false">IFERROR(((G396*H396)/F396)-I396,"")</f>
        <v>-4.26710816777029</v>
      </c>
      <c r="K396" s="12" t="str">
        <f aca="false">IF(J396&lt;-10,"MUITO ADIANTADO",IF(J396&lt;-6,"ADIANTADO",IF(J396&lt;6,"EM DIAS",IF(J396&lt;12,"ATRASADO","MUITO ATRASADO"))))</f>
        <v>EM DIAS</v>
      </c>
      <c r="L396" s="9" t="n">
        <v>46163</v>
      </c>
      <c r="M396" s="6" t="n">
        <f aca="true">TODAY()-L396</f>
        <v>8</v>
      </c>
      <c r="N396" s="1" t="str">
        <f aca="false">IF(M396&lt;8,"VERIFICADO",IF(M396&lt;15,"VERIFICAR","VERIFICAR URGENTE"))</f>
        <v>VERIFICAR</v>
      </c>
    </row>
    <row r="397" customFormat="false" ht="15" hidden="false" customHeight="false" outlineLevel="0" collapsed="false">
      <c r="A397" s="6" t="s">
        <v>410</v>
      </c>
      <c r="B397" s="7" t="s">
        <v>19</v>
      </c>
      <c r="C397" s="8" t="n">
        <f aca="false">L397</f>
        <v>46161</v>
      </c>
      <c r="D397" s="9" t="n">
        <v>45756</v>
      </c>
      <c r="E397" s="10" t="n">
        <v>46346</v>
      </c>
      <c r="F397" s="11" t="n">
        <f aca="false">(E397-D397)/7</f>
        <v>84.2857142857143</v>
      </c>
      <c r="G397" s="11" t="n">
        <f aca="true">(TODAY()-D397)/7</f>
        <v>59.2857142857143</v>
      </c>
      <c r="H397" s="12" t="n">
        <v>80</v>
      </c>
      <c r="I397" s="12" t="n">
        <v>58</v>
      </c>
      <c r="J397" s="13" t="n">
        <f aca="false">IFERROR(((G397*H397)/F397)-I397,"")</f>
        <v>-1.72881355932204</v>
      </c>
      <c r="K397" s="12" t="str">
        <f aca="false">IF(J397&lt;-10,"MUITO ADIANTADO",IF(J397&lt;-6,"ADIANTADO",IF(J397&lt;6,"EM DIAS",IF(J397&lt;12,"ATRASADO","MUITO ATRASADO"))))</f>
        <v>EM DIAS</v>
      </c>
      <c r="L397" s="9" t="n">
        <v>46161</v>
      </c>
      <c r="M397" s="6" t="n">
        <f aca="true">TODAY()-L397</f>
        <v>10</v>
      </c>
      <c r="N397" s="1" t="str">
        <f aca="false">IF(M397&lt;8,"VERIFICADO",IF(M397&lt;15,"VERIFICAR","VERIFICAR URGENTE"))</f>
        <v>VERIFICAR</v>
      </c>
    </row>
    <row r="398" customFormat="false" ht="15" hidden="false" customHeight="false" outlineLevel="0" collapsed="false">
      <c r="A398" s="6" t="s">
        <v>411</v>
      </c>
      <c r="B398" s="7" t="s">
        <v>65</v>
      </c>
      <c r="C398" s="8" t="n">
        <f aca="false">L398</f>
        <v>46174</v>
      </c>
      <c r="D398" s="9" t="n">
        <v>46094</v>
      </c>
      <c r="E398" s="10" t="n">
        <v>46535</v>
      </c>
      <c r="F398" s="11" t="n">
        <f aca="false">(E398-D398)/7</f>
        <v>63</v>
      </c>
      <c r="G398" s="11" t="n">
        <f aca="true">(TODAY()-D398)/7</f>
        <v>11</v>
      </c>
      <c r="H398" s="12" t="n">
        <v>100</v>
      </c>
      <c r="I398" s="12" t="n">
        <v>6</v>
      </c>
      <c r="J398" s="12" t="n">
        <v>0</v>
      </c>
      <c r="K398" s="12" t="str">
        <f aca="false">IF(J397&lt;-10,"MUITO ADIANTADO",IF(J397&lt;-6,"ADIANTADO",IF(J397&lt;6,"EM DIAS",IF(J397&lt;12,"ATRASADO","MUITO ATRASADO"))))</f>
        <v>EM DIAS</v>
      </c>
      <c r="L398" s="9" t="n">
        <v>46174</v>
      </c>
      <c r="M398" s="6" t="n">
        <f aca="true">TODAY()-L398</f>
        <v>-3</v>
      </c>
      <c r="N398" s="1" t="str">
        <f aca="false">IF(M398&lt;8,"VERIFICADO",IF(M398&lt;15,"VERIFICAR","VERIFICAR URGENTE"))</f>
        <v>VERIFICADO</v>
      </c>
    </row>
    <row r="399" customFormat="false" ht="15" hidden="false" customHeight="false" outlineLevel="0" collapsed="false">
      <c r="A399" s="7" t="s">
        <v>412</v>
      </c>
      <c r="B399" s="7" t="s">
        <v>22</v>
      </c>
      <c r="C399" s="8" t="n">
        <f aca="false">L399</f>
        <v>46161</v>
      </c>
      <c r="D399" s="9" t="n">
        <v>45553</v>
      </c>
      <c r="E399" s="10" t="n">
        <v>46231</v>
      </c>
      <c r="F399" s="11" t="n">
        <f aca="false">(E399-D399)/7</f>
        <v>96.8571428571429</v>
      </c>
      <c r="G399" s="11" t="n">
        <f aca="true">(TODAY()-D399)/7</f>
        <v>88.2857142857143</v>
      </c>
      <c r="H399" s="12" t="n">
        <v>80</v>
      </c>
      <c r="I399" s="12" t="n">
        <v>70</v>
      </c>
      <c r="J399" s="13" t="n">
        <f aca="false">IFERROR(((G399*H399)/F399)-I399,"")</f>
        <v>2.92035398230085</v>
      </c>
      <c r="K399" s="12" t="str">
        <f aca="false">IF(J399&lt;-10,"MUITO ADIANTADO",IF(J399&lt;-6,"ADIANTADO",IF(J399&lt;6,"EM DIAS",IF(J399&lt;12,"ATRASADO","MUITO ATRASADO"))))</f>
        <v>EM DIAS</v>
      </c>
      <c r="L399" s="9" t="n">
        <v>46161</v>
      </c>
      <c r="M399" s="6" t="n">
        <f aca="true">TODAY()-L399</f>
        <v>10</v>
      </c>
      <c r="N399" s="1" t="str">
        <f aca="false">IF(M399&lt;8,"VERIFICADO",IF(M399&lt;15,"VERIFICAR","VERIFICAR URGENTE"))</f>
        <v>VERIFICAR</v>
      </c>
    </row>
    <row r="400" customFormat="false" ht="15" hidden="false" customHeight="false" outlineLevel="0" collapsed="false">
      <c r="A400" s="6" t="s">
        <v>413</v>
      </c>
      <c r="B400" s="7" t="s">
        <v>22</v>
      </c>
      <c r="C400" s="8" t="n">
        <f aca="false">L400</f>
        <v>46164</v>
      </c>
      <c r="D400" s="9" t="n">
        <v>45889</v>
      </c>
      <c r="E400" s="20" t="n">
        <v>47117</v>
      </c>
      <c r="F400" s="11" t="n">
        <f aca="false">(E400-D400)/7</f>
        <v>175.428571428571</v>
      </c>
      <c r="G400" s="11" t="n">
        <f aca="true">(TODAY()-D400)/7</f>
        <v>40.2857142857143</v>
      </c>
      <c r="H400" s="12" t="n">
        <v>64</v>
      </c>
      <c r="I400" s="12" t="n">
        <v>16</v>
      </c>
      <c r="J400" s="13" t="n">
        <f aca="false">IFERROR(((G400*H400)/F400)-I400,"")</f>
        <v>-1.30293159609117</v>
      </c>
      <c r="K400" s="12" t="str">
        <f aca="false">IF(J400&lt;-10,"MUITO ADIANTADO",IF(J400&lt;-6,"ADIANTADO",IF(J400&lt;6,"EM DIAS",IF(J400&lt;12,"ATRASADO","MUITO ATRASADO"))))</f>
        <v>EM DIAS</v>
      </c>
      <c r="L400" s="9" t="n">
        <v>46164</v>
      </c>
      <c r="M400" s="6" t="n">
        <f aca="true">TODAY()-L400</f>
        <v>7</v>
      </c>
      <c r="N400" s="1" t="str">
        <f aca="false">IF(M400&lt;8,"VERIFICADO",IF(M400&lt;15,"VERIFICAR","VERIFICAR URGENTE"))</f>
        <v>VERIFICADO</v>
      </c>
    </row>
    <row r="401" customFormat="false" ht="15" hidden="false" customHeight="false" outlineLevel="0" collapsed="false">
      <c r="A401" s="6" t="s">
        <v>414</v>
      </c>
      <c r="B401" s="7" t="s">
        <v>24</v>
      </c>
      <c r="C401" s="8" t="n">
        <f aca="false">L401</f>
        <v>46164</v>
      </c>
      <c r="D401" s="9" t="n">
        <v>46066</v>
      </c>
      <c r="E401" s="10" t="n">
        <v>46428</v>
      </c>
      <c r="F401" s="11" t="n">
        <f aca="false">(E401-D401)/7</f>
        <v>51.7142857142857</v>
      </c>
      <c r="G401" s="11" t="n">
        <f aca="true">(TODAY()-D401)/7</f>
        <v>15</v>
      </c>
      <c r="H401" s="12" t="n">
        <v>48</v>
      </c>
      <c r="I401" s="12" t="n">
        <v>13</v>
      </c>
      <c r="J401" s="13" t="n">
        <f aca="false">IFERROR(((G401*H401)/F401)-I401,"")</f>
        <v>0.922651933701662</v>
      </c>
      <c r="K401" s="12" t="str">
        <f aca="false">IF(J401&lt;-10,"MUITO ADIANTADO",IF(J401&lt;-6,"ADIANTADO",IF(J401&lt;6,"EM DIAS",IF(J401&lt;12,"ATRASADO","MUITO ATRASADO"))))</f>
        <v>EM DIAS</v>
      </c>
      <c r="L401" s="9" t="n">
        <v>46164</v>
      </c>
      <c r="M401" s="6" t="n">
        <f aca="true">TODAY()-L401</f>
        <v>7</v>
      </c>
      <c r="N401" s="1" t="str">
        <f aca="false">IF(M401&lt;8,"VERIFICADO",IF(M401&lt;15,"VERIFICAR","VERIFICAR URGENTE"))</f>
        <v>VERIFICADO</v>
      </c>
    </row>
    <row r="402" customFormat="false" ht="15" hidden="false" customHeight="false" outlineLevel="0" collapsed="false">
      <c r="A402" s="6" t="s">
        <v>415</v>
      </c>
      <c r="B402" s="7" t="s">
        <v>17</v>
      </c>
      <c r="C402" s="8" t="n">
        <f aca="false">L402</f>
        <v>46161</v>
      </c>
      <c r="D402" s="9" t="n">
        <v>46063</v>
      </c>
      <c r="E402" s="10" t="n">
        <v>46413</v>
      </c>
      <c r="F402" s="11" t="n">
        <f aca="false">(E402-D402)/7</f>
        <v>50</v>
      </c>
      <c r="G402" s="11" t="n">
        <f aca="true">(TODAY()-D402)/7</f>
        <v>15.4285714285714</v>
      </c>
      <c r="H402" s="12" t="n">
        <v>112</v>
      </c>
      <c r="I402" s="12" t="n">
        <v>38</v>
      </c>
      <c r="J402" s="13" t="n">
        <f aca="false">IFERROR(((G402*H402)/F402)-I402,"")</f>
        <v>-3.44</v>
      </c>
      <c r="K402" s="12" t="str">
        <f aca="false">IF(J402&lt;-10,"MUITO ADIANTADO",IF(J402&lt;-6,"ADIANTADO",IF(J402&lt;6,"EM DIAS",IF(J402&lt;12,"ATRASADO","MUITO ATRASADO"))))</f>
        <v>EM DIAS</v>
      </c>
      <c r="L402" s="9" t="n">
        <v>46161</v>
      </c>
      <c r="M402" s="6" t="n">
        <f aca="true">TODAY()-L402</f>
        <v>10</v>
      </c>
      <c r="N402" s="1" t="str">
        <f aca="false">IF(M402&lt;8,"VERIFICADO",IF(M402&lt;15,"VERIFICAR","VERIFICAR URGENTE"))</f>
        <v>VERIFICAR</v>
      </c>
    </row>
    <row r="403" customFormat="false" ht="15" hidden="false" customHeight="false" outlineLevel="0" collapsed="false">
      <c r="A403" s="6" t="s">
        <v>416</v>
      </c>
      <c r="B403" s="7" t="s">
        <v>15</v>
      </c>
      <c r="C403" s="8" t="n">
        <f aca="false">L403</f>
        <v>46160</v>
      </c>
      <c r="D403" s="9" t="n">
        <v>45386</v>
      </c>
      <c r="E403" s="10" t="n">
        <v>46391</v>
      </c>
      <c r="F403" s="11" t="n">
        <f aca="false">(E403-D403)/7</f>
        <v>143.571428571429</v>
      </c>
      <c r="G403" s="11" t="n">
        <f aca="true">(TODAY()-D403)/7</f>
        <v>112.142857142857</v>
      </c>
      <c r="H403" s="12" t="n">
        <v>64</v>
      </c>
      <c r="I403" s="12" t="n">
        <v>58</v>
      </c>
      <c r="J403" s="13" t="n">
        <f aca="false">IFERROR(((G403*H403)/F403)-I403,"")</f>
        <v>-8.00995024875638</v>
      </c>
      <c r="K403" s="12" t="str">
        <f aca="false">IF(J403&lt;-10,"MUITO ADIANTADO",IF(J403&lt;-6,"ADIANTADO",IF(J403&lt;6,"EM DIAS",IF(J403&lt;12,"ATRASADO","MUITO ATRASADO"))))</f>
        <v>ADIANTADO</v>
      </c>
      <c r="L403" s="9" t="n">
        <v>46160</v>
      </c>
      <c r="M403" s="6" t="n">
        <f aca="true">TODAY()-L403</f>
        <v>11</v>
      </c>
      <c r="N403" s="1" t="str">
        <f aca="false">IF(M403&lt;8,"VERIFICADO",IF(M403&lt;15,"VERIFICAR","VERIFICAR URGENTE"))</f>
        <v>VERIFICAR</v>
      </c>
    </row>
    <row r="404" customFormat="false" ht="15" hidden="false" customHeight="false" outlineLevel="0" collapsed="false">
      <c r="A404" s="6" t="s">
        <v>417</v>
      </c>
      <c r="B404" s="7" t="s">
        <v>15</v>
      </c>
      <c r="C404" s="8" t="n">
        <f aca="false">L404</f>
        <v>46161</v>
      </c>
      <c r="D404" s="9" t="n">
        <v>45902</v>
      </c>
      <c r="E404" s="10" t="n">
        <v>46609</v>
      </c>
      <c r="F404" s="11" t="n">
        <f aca="false">(E404-D404)/7</f>
        <v>101</v>
      </c>
      <c r="G404" s="11" t="n">
        <f aca="true">(TODAY()-D404)/7</f>
        <v>38.4285714285714</v>
      </c>
      <c r="H404" s="12" t="n">
        <v>112</v>
      </c>
      <c r="I404" s="12" t="n">
        <v>24</v>
      </c>
      <c r="J404" s="13" t="n">
        <f aca="false">IFERROR(((G404*H404)/F404)-I404,"")</f>
        <v>18.6138613861386</v>
      </c>
      <c r="K404" s="12" t="str">
        <f aca="false">IF(J404&lt;-10,"MUITO ADIANTADO",IF(J404&lt;-6,"ADIANTADO",IF(J404&lt;6,"EM DIAS",IF(J404&lt;12,"ATRASADO","MUITO ATRASADO"))))</f>
        <v>MUITO ATRASADO</v>
      </c>
      <c r="L404" s="9" t="n">
        <v>46161</v>
      </c>
      <c r="M404" s="6" t="n">
        <f aca="true">TODAY()-L404</f>
        <v>10</v>
      </c>
      <c r="N404" s="1" t="str">
        <f aca="false">IF(M404&lt;8,"VERIFICADO",IF(M404&lt;15,"VERIFICAR","VERIFICAR URGENTE"))</f>
        <v>VERIFICAR</v>
      </c>
    </row>
    <row r="405" customFormat="false" ht="15" hidden="false" customHeight="false" outlineLevel="0" collapsed="false">
      <c r="A405" s="6" t="s">
        <v>418</v>
      </c>
      <c r="B405" s="7" t="s">
        <v>17</v>
      </c>
      <c r="C405" s="8" t="n">
        <f aca="false">L405</f>
        <v>46161</v>
      </c>
      <c r="D405" s="9" t="n">
        <v>45818</v>
      </c>
      <c r="E405" s="10" t="n">
        <v>47090</v>
      </c>
      <c r="F405" s="11" t="n">
        <f aca="false">(E405-D405)/7</f>
        <v>181.714285714286</v>
      </c>
      <c r="G405" s="11" t="n">
        <f aca="true">(TODAY()-D405)/7</f>
        <v>50.4285714285714</v>
      </c>
      <c r="H405" s="12" t="n">
        <v>192</v>
      </c>
      <c r="I405" s="12" t="n">
        <v>56</v>
      </c>
      <c r="J405" s="13" t="n">
        <f aca="false">IFERROR(((G405*H405)/F405)-I405,"")</f>
        <v>-2.71698113207556</v>
      </c>
      <c r="K405" s="12" t="str">
        <f aca="false">IF(J405&lt;-10,"MUITO ADIANTADO",IF(J405&lt;-6,"ADIANTADO",IF(J405&lt;6,"EM DIAS",IF(J405&lt;12,"ATRASADO","MUITO ATRASADO"))))</f>
        <v>EM DIAS</v>
      </c>
      <c r="L405" s="9" t="n">
        <v>46161</v>
      </c>
      <c r="M405" s="6" t="n">
        <f aca="true">TODAY()-L405</f>
        <v>10</v>
      </c>
      <c r="N405" s="1" t="str">
        <f aca="false">IF(M405&lt;8,"VERIFICADO",IF(M405&lt;15,"VERIFICAR","VERIFICAR URGENTE"))</f>
        <v>VERIFICAR</v>
      </c>
    </row>
    <row r="406" customFormat="false" ht="15" hidden="false" customHeight="false" outlineLevel="0" collapsed="false">
      <c r="A406" s="6" t="s">
        <v>419</v>
      </c>
      <c r="B406" s="7" t="s">
        <v>22</v>
      </c>
      <c r="C406" s="8" t="n">
        <f aca="false">L406</f>
        <v>46161</v>
      </c>
      <c r="D406" s="9" t="n">
        <v>46067</v>
      </c>
      <c r="E406" s="10" t="n">
        <v>46573</v>
      </c>
      <c r="F406" s="11" t="n">
        <f aca="false">(E406-D406)/7</f>
        <v>72.2857142857143</v>
      </c>
      <c r="G406" s="11" t="n">
        <f aca="true">(TODAY()-D406)/7</f>
        <v>14.8571428571429</v>
      </c>
      <c r="H406" s="12" t="n">
        <v>80</v>
      </c>
      <c r="I406" s="12" t="n">
        <v>18</v>
      </c>
      <c r="J406" s="13" t="n">
        <f aca="false">IFERROR(((G406*H406)/F406)-I406,"")</f>
        <v>-1.55731225296443</v>
      </c>
      <c r="K406" s="12" t="str">
        <f aca="false">IF(J406&lt;-10,"MUITO ADIANTADO",IF(J406&lt;-6,"ADIANTADO",IF(J406&lt;6,"EM DIAS",IF(J406&lt;12,"ATRASADO","MUITO ATRASADO"))))</f>
        <v>EM DIAS</v>
      </c>
      <c r="L406" s="9" t="n">
        <v>46161</v>
      </c>
      <c r="M406" s="6" t="n">
        <f aca="true">TODAY()-L406</f>
        <v>10</v>
      </c>
      <c r="N406" s="1" t="str">
        <f aca="false">IF(M406&lt;8,"VERIFICADO",IF(M406&lt;15,"VERIFICAR","VERIFICAR URGENTE"))</f>
        <v>VERIFICAR</v>
      </c>
    </row>
    <row r="407" customFormat="false" ht="15" hidden="false" customHeight="false" outlineLevel="0" collapsed="false">
      <c r="A407" s="6" t="s">
        <v>420</v>
      </c>
      <c r="B407" s="7" t="s">
        <v>19</v>
      </c>
      <c r="C407" s="8" t="n">
        <f aca="false">L407</f>
        <v>46161</v>
      </c>
      <c r="D407" s="9" t="n">
        <v>46084</v>
      </c>
      <c r="E407" s="10" t="n">
        <v>46753</v>
      </c>
      <c r="F407" s="11" t="n">
        <f aca="false">(E407-D407)/7</f>
        <v>95.5714285714286</v>
      </c>
      <c r="G407" s="11" t="n">
        <f aca="true">(TODAY()-D407)/7</f>
        <v>12.4285714285714</v>
      </c>
      <c r="H407" s="12" t="n">
        <v>80</v>
      </c>
      <c r="I407" s="12" t="n">
        <v>10</v>
      </c>
      <c r="J407" s="12" t="n">
        <v>0</v>
      </c>
      <c r="K407" s="12" t="str">
        <f aca="false">IF(J407&lt;-10,"MUITO ADIANTADO",IF(J407&lt;-6,"ADIANTADO",IF(J407&lt;6,"EM DIAS",IF(J407&lt;12,"ATRASADO","MUITO ATRASADO"))))</f>
        <v>EM DIAS</v>
      </c>
      <c r="L407" s="9" t="n">
        <v>46161</v>
      </c>
      <c r="M407" s="6" t="n">
        <f aca="true">TODAY()-L407</f>
        <v>10</v>
      </c>
      <c r="N407" s="1" t="str">
        <f aca="false">IF(M407&lt;8,"VERIFICADO",IF(M407&lt;15,"VERIFICAR","VERIFICAR URGENTE"))</f>
        <v>VERIFICAR</v>
      </c>
    </row>
    <row r="408" customFormat="false" ht="15" hidden="false" customHeight="false" outlineLevel="0" collapsed="false">
      <c r="A408" s="6" t="s">
        <v>421</v>
      </c>
      <c r="B408" s="7" t="s">
        <v>22</v>
      </c>
      <c r="C408" s="8" t="n">
        <f aca="false">L408</f>
        <v>46165</v>
      </c>
      <c r="D408" s="9" t="n">
        <v>45892</v>
      </c>
      <c r="E408" s="10" t="n">
        <v>46569</v>
      </c>
      <c r="F408" s="11" t="n">
        <f aca="false">(E408-D408)/7</f>
        <v>96.7142857142857</v>
      </c>
      <c r="G408" s="11" t="n">
        <f aca="true">(TODAY()-D408)/7</f>
        <v>39.8571428571429</v>
      </c>
      <c r="H408" s="12" t="n">
        <v>112</v>
      </c>
      <c r="I408" s="12" t="n">
        <v>38</v>
      </c>
      <c r="J408" s="13" t="n">
        <f aca="false">IFERROR(((G408*H408)/F408)-I408,"")</f>
        <v>8.1565731166913</v>
      </c>
      <c r="K408" s="12" t="str">
        <f aca="false">IF(J408&lt;-10,"MUITO ADIANTADO",IF(J408&lt;-6,"ADIANTADO",IF(J408&lt;6,"EM DIAS",IF(J408&lt;12,"ATRASADO","MUITO ATRASADO"))))</f>
        <v>ATRASADO</v>
      </c>
      <c r="L408" s="9" t="n">
        <v>46165</v>
      </c>
      <c r="M408" s="6" t="n">
        <f aca="true">TODAY()-L408</f>
        <v>6</v>
      </c>
      <c r="N408" s="1" t="str">
        <f aca="false">IF(M408&lt;8,"VERIFICADO",IF(M408&lt;15,"VERIFICAR","VERIFICAR URGENTE"))</f>
        <v>VERIFICADO</v>
      </c>
    </row>
    <row r="409" customFormat="false" ht="15" hidden="false" customHeight="false" outlineLevel="0" collapsed="false">
      <c r="A409" s="6" t="s">
        <v>422</v>
      </c>
      <c r="B409" s="7" t="s">
        <v>22</v>
      </c>
      <c r="C409" s="8" t="n">
        <f aca="false">L409</f>
        <v>46160</v>
      </c>
      <c r="D409" s="9" t="n">
        <v>45642</v>
      </c>
      <c r="E409" s="10" t="n">
        <v>46310</v>
      </c>
      <c r="F409" s="11" t="n">
        <f aca="false">(E409-D409)/7</f>
        <v>95.4285714285714</v>
      </c>
      <c r="G409" s="11" t="n">
        <f aca="true">(TODAY()-D409)/7</f>
        <v>75.5714285714286</v>
      </c>
      <c r="H409" s="12" t="n">
        <v>96</v>
      </c>
      <c r="I409" s="12" t="n">
        <v>48</v>
      </c>
      <c r="J409" s="13" t="n">
        <f aca="false">IFERROR(((G409*H409)/F409)-I409,"")</f>
        <v>28.0239520958084</v>
      </c>
      <c r="K409" s="12" t="str">
        <f aca="false">IF(J409&lt;-10,"MUITO ADIANTADO",IF(J409&lt;-6,"ADIANTADO",IF(J409&lt;6,"EM DIAS",IF(J409&lt;12,"ATRASADO","MUITO ATRASADO"))))</f>
        <v>MUITO ATRASADO</v>
      </c>
      <c r="L409" s="9" t="n">
        <v>46160</v>
      </c>
      <c r="M409" s="6" t="n">
        <f aca="true">TODAY()-L409</f>
        <v>11</v>
      </c>
      <c r="N409" s="1" t="str">
        <f aca="false">IF(M409&lt;8,"VERIFICADO",IF(M409&lt;15,"VERIFICAR","VERIFICAR URGENTE"))</f>
        <v>VERIFICAR</v>
      </c>
    </row>
    <row r="410" customFormat="false" ht="15" hidden="false" customHeight="false" outlineLevel="0" collapsed="false">
      <c r="A410" s="6" t="s">
        <v>423</v>
      </c>
      <c r="B410" s="7" t="s">
        <v>15</v>
      </c>
      <c r="C410" s="8" t="n">
        <f aca="false">L410</f>
        <v>46160</v>
      </c>
      <c r="D410" s="9" t="n">
        <v>45888</v>
      </c>
      <c r="E410" s="10" t="n">
        <v>46598</v>
      </c>
      <c r="F410" s="11" t="n">
        <f aca="false">(E410-D410)/7</f>
        <v>101.428571428571</v>
      </c>
      <c r="G410" s="11" t="n">
        <f aca="true">(TODAY()-D410)/7</f>
        <v>40.4285714285714</v>
      </c>
      <c r="H410" s="12" t="n">
        <v>96</v>
      </c>
      <c r="I410" s="12" t="n">
        <v>33</v>
      </c>
      <c r="J410" s="13" t="n">
        <f aca="false">IFERROR(((G410*H410)/F410)-I410,"")</f>
        <v>5.26478873239453</v>
      </c>
      <c r="K410" s="12" t="str">
        <f aca="false">IF(J410&lt;-10,"MUITO ADIANTADO",IF(J410&lt;-6,"ADIANTADO",IF(J410&lt;6,"EM DIAS",IF(J410&lt;12,"ATRASADO","MUITO ATRASADO"))))</f>
        <v>EM DIAS</v>
      </c>
      <c r="L410" s="9" t="n">
        <v>46160</v>
      </c>
      <c r="M410" s="6" t="n">
        <f aca="true">TODAY()-L410</f>
        <v>11</v>
      </c>
      <c r="N410" s="1" t="str">
        <f aca="false">IF(M410&lt;8,"VERIFICADO",IF(M410&lt;15,"VERIFICAR","VERIFICAR URGENTE"))</f>
        <v>VERIFICAR</v>
      </c>
    </row>
    <row r="411" customFormat="false" ht="15" hidden="false" customHeight="false" outlineLevel="0" collapsed="false">
      <c r="A411" s="6" t="s">
        <v>424</v>
      </c>
      <c r="B411" s="7" t="s">
        <v>22</v>
      </c>
      <c r="C411" s="8" t="n">
        <f aca="false">L411</f>
        <v>46161</v>
      </c>
      <c r="D411" s="9" t="n">
        <v>45853</v>
      </c>
      <c r="E411" s="10" t="n">
        <v>47141</v>
      </c>
      <c r="F411" s="11" t="n">
        <f aca="false">(E411-D411)/7</f>
        <v>184</v>
      </c>
      <c r="G411" s="11" t="n">
        <f aca="true">(TODAY()-D411)/7</f>
        <v>45.4285714285714</v>
      </c>
      <c r="H411" s="12" t="n">
        <v>176</v>
      </c>
      <c r="I411" s="12" t="n">
        <v>34</v>
      </c>
      <c r="J411" s="13" t="n">
        <f aca="false">IFERROR(((G411*H411)/F411)-I411,"")</f>
        <v>9.45341614906833</v>
      </c>
      <c r="K411" s="12" t="str">
        <f aca="false">IF(J411&lt;-10,"MUITO ADIANTADO",IF(J411&lt;-6,"ADIANTADO",IF(J411&lt;6,"EM DIAS",IF(J411&lt;12,"ATRASADO","MUITO ATRASADO"))))</f>
        <v>ATRASADO</v>
      </c>
      <c r="L411" s="9" t="n">
        <v>46161</v>
      </c>
      <c r="M411" s="6" t="n">
        <f aca="true">TODAY()-L411</f>
        <v>10</v>
      </c>
      <c r="N411" s="1" t="str">
        <f aca="false">IF(M411&lt;8,"VERIFICADO",IF(M411&lt;15,"VERIFICAR","VERIFICAR URGENTE"))</f>
        <v>VERIFICAR</v>
      </c>
    </row>
    <row r="412" customFormat="false" ht="15" hidden="false" customHeight="false" outlineLevel="0" collapsed="false">
      <c r="A412" s="6" t="s">
        <v>425</v>
      </c>
      <c r="B412" s="7" t="s">
        <v>24</v>
      </c>
      <c r="C412" s="8" t="n">
        <f aca="false">L412</f>
        <v>46161</v>
      </c>
      <c r="D412" s="9" t="n">
        <v>46043</v>
      </c>
      <c r="E412" s="10" t="n">
        <v>46731</v>
      </c>
      <c r="F412" s="11" t="n">
        <f aca="false">(E412-D412)/7</f>
        <v>98.2857142857143</v>
      </c>
      <c r="G412" s="11" t="n">
        <f aca="true">(TODAY()-D412)/7</f>
        <v>18.2857142857143</v>
      </c>
      <c r="H412" s="12" t="n">
        <v>112</v>
      </c>
      <c r="I412" s="12" t="n">
        <v>18</v>
      </c>
      <c r="J412" s="13" t="n">
        <f aca="false">IFERROR(((G423*H412)/F412)-I412,"")</f>
        <v>-2.86046511627907</v>
      </c>
      <c r="K412" s="12" t="str">
        <f aca="false">IF(J412&lt;-10,"MUITO ADIANTADO",IF(J412&lt;-6,"ADIANTADO",IF(J412&lt;6,"EM DIAS",IF(J412&lt;12,"ATRASADO","MUITO ATRASADO"))))</f>
        <v>EM DIAS</v>
      </c>
      <c r="L412" s="9" t="n">
        <v>46161</v>
      </c>
      <c r="M412" s="6" t="n">
        <f aca="true">TODAY()-L412</f>
        <v>10</v>
      </c>
      <c r="N412" s="1" t="str">
        <f aca="false">IF(M412&lt;8,"VERIFICADO",IF(M412&lt;15,"VERIFICAR","VERIFICAR URGENTE"))</f>
        <v>VERIFICAR</v>
      </c>
    </row>
    <row r="413" customFormat="false" ht="15" hidden="false" customHeight="false" outlineLevel="0" collapsed="false">
      <c r="A413" s="6" t="s">
        <v>425</v>
      </c>
      <c r="B413" s="7" t="s">
        <v>22</v>
      </c>
      <c r="C413" s="8" t="n">
        <f aca="false">L413</f>
        <v>46161</v>
      </c>
      <c r="D413" s="9" t="n">
        <v>46038</v>
      </c>
      <c r="E413" s="10" t="n">
        <v>46736</v>
      </c>
      <c r="F413" s="11" t="n">
        <f aca="false">(E413-D413)/7</f>
        <v>99.7142857142857</v>
      </c>
      <c r="G413" s="11" t="n">
        <f aca="true">(TODAY()-D413)/7</f>
        <v>19</v>
      </c>
      <c r="H413" s="12" t="n">
        <v>112</v>
      </c>
      <c r="I413" s="12" t="n">
        <v>19</v>
      </c>
      <c r="J413" s="13" t="n">
        <f aca="false">IFERROR(((G413*H413)/F413)-I413,"")</f>
        <v>2.34097421203439</v>
      </c>
      <c r="K413" s="12" t="str">
        <f aca="false">IF(J413&lt;-10,"MUITO ADIANTADO",IF(J413&lt;-6,"ADIANTADO",IF(J413&lt;6,"EM DIAS",IF(J413&lt;12,"ATRASADO","MUITO ATRASADO"))))</f>
        <v>EM DIAS</v>
      </c>
      <c r="L413" s="9" t="n">
        <v>46161</v>
      </c>
      <c r="M413" s="6" t="n">
        <f aca="true">TODAY()-L413</f>
        <v>10</v>
      </c>
      <c r="N413" s="1" t="str">
        <f aca="false">IF(M413&lt;8,"VERIFICADO",IF(M413&lt;15,"VERIFICAR","VERIFICAR URGENTE"))</f>
        <v>VERIFICAR</v>
      </c>
    </row>
    <row r="414" customFormat="false" ht="15" hidden="false" customHeight="false" outlineLevel="0" collapsed="false">
      <c r="A414" s="6" t="s">
        <v>426</v>
      </c>
      <c r="B414" s="7" t="s">
        <v>19</v>
      </c>
      <c r="C414" s="8" t="n">
        <f aca="false">L414</f>
        <v>46161</v>
      </c>
      <c r="D414" s="9" t="n">
        <v>46147</v>
      </c>
      <c r="E414" s="10" t="n">
        <v>46604</v>
      </c>
      <c r="F414" s="11" t="n">
        <f aca="false">(E414-D414)/7</f>
        <v>65.2857142857143</v>
      </c>
      <c r="G414" s="11" t="n">
        <v>0</v>
      </c>
      <c r="H414" s="12" t="n">
        <v>64</v>
      </c>
      <c r="I414" s="12" t="n">
        <v>0</v>
      </c>
      <c r="J414" s="13" t="n">
        <v>0</v>
      </c>
      <c r="K414" s="12" t="str">
        <f aca="false">IF(J414&lt;-10,"MUITO ADIANTADO",IF(J414&lt;-6,"ADIANTADO",IF(J414&lt;6,"EM DIAS",IF(J414&lt;12,"ATRASADO","MUITO ATRASADO"))))</f>
        <v>EM DIAS</v>
      </c>
      <c r="L414" s="9" t="n">
        <v>46161</v>
      </c>
      <c r="M414" s="6" t="n">
        <f aca="true">TODAY()-L414</f>
        <v>10</v>
      </c>
      <c r="N414" s="1" t="str">
        <f aca="false">IF(M414&lt;8,"VERIFICADO",IF(M414&lt;15,"VERIFICAR","VERIFICAR URGENTE"))</f>
        <v>VERIFICAR</v>
      </c>
    </row>
    <row r="415" customFormat="false" ht="15" hidden="false" customHeight="false" outlineLevel="0" collapsed="false">
      <c r="A415" s="6" t="s">
        <v>427</v>
      </c>
      <c r="B415" s="7" t="s">
        <v>17</v>
      </c>
      <c r="C415" s="8" t="n">
        <f aca="false">L415</f>
        <v>46161</v>
      </c>
      <c r="D415" s="9" t="n">
        <v>45727</v>
      </c>
      <c r="E415" s="10" t="n">
        <v>47027</v>
      </c>
      <c r="F415" s="11" t="n">
        <f aca="false">(E415-D415)/7</f>
        <v>185.714285714286</v>
      </c>
      <c r="G415" s="11" t="n">
        <f aca="true">(TODAY()-D415)/7</f>
        <v>63.4285714285714</v>
      </c>
      <c r="H415" s="12" t="n">
        <v>209</v>
      </c>
      <c r="I415" s="12" t="n">
        <v>61</v>
      </c>
      <c r="J415" s="13" t="n">
        <f aca="false">IFERROR(((G415*H415)/F415)-I415,"")</f>
        <v>10.3815384615384</v>
      </c>
      <c r="K415" s="12" t="str">
        <f aca="false">IF(J415&lt;-10,"MUITO ADIANTADO",IF(J415&lt;-6,"ADIANTADO",IF(J415&lt;6,"EM DIAS",IF(J415&lt;12,"ATRASADO","MUITO ATRASADO"))))</f>
        <v>ATRASADO</v>
      </c>
      <c r="L415" s="9" t="n">
        <v>46161</v>
      </c>
      <c r="M415" s="6" t="n">
        <f aca="true">TODAY()-L415</f>
        <v>10</v>
      </c>
      <c r="N415" s="1" t="str">
        <f aca="false">IF(M415&lt;8,"VERIFICADO",IF(M415&lt;15,"VERIFICAR","VERIFICAR URGENTE"))</f>
        <v>VERIFICAR</v>
      </c>
    </row>
    <row r="416" customFormat="false" ht="15" hidden="false" customHeight="false" outlineLevel="0" collapsed="false">
      <c r="A416" s="6" t="s">
        <v>428</v>
      </c>
      <c r="B416" s="7" t="s">
        <v>17</v>
      </c>
      <c r="C416" s="8" t="n">
        <f aca="false">L416</f>
        <v>46162</v>
      </c>
      <c r="D416" s="9" t="n">
        <v>46118</v>
      </c>
      <c r="E416" s="10" t="n">
        <v>46129</v>
      </c>
      <c r="F416" s="11" t="n">
        <f aca="false">(E416-D416)/7</f>
        <v>1.57142857142857</v>
      </c>
      <c r="G416" s="11" t="n">
        <f aca="true">(TODAY()-D416)/7</f>
        <v>7.57142857142857</v>
      </c>
      <c r="H416" s="12" t="n">
        <v>176</v>
      </c>
      <c r="I416" s="12" t="n">
        <v>82</v>
      </c>
      <c r="J416" s="13" t="n">
        <f aca="false">IFERROR(((G416*H416)/F416)-I416,"")</f>
        <v>766.000000000001</v>
      </c>
      <c r="K416" s="12" t="str">
        <f aca="false">IF(J416&lt;-10,"MUITO ADIANTADO",IF(J416&lt;-6,"ADIANTADO",IF(J416&lt;6,"EM DIAS",IF(J416&lt;12,"ATRASADO","MUITO ATRASADO"))))</f>
        <v>MUITO ATRASADO</v>
      </c>
      <c r="L416" s="9" t="n">
        <v>46162</v>
      </c>
      <c r="M416" s="6" t="n">
        <f aca="true">TODAY()-L416</f>
        <v>9</v>
      </c>
      <c r="N416" s="1" t="str">
        <f aca="false">IF(M416&lt;8,"VERIFICADO",IF(M416&lt;15,"VERIFICAR","VERIFICAR URGENTE"))</f>
        <v>VERIFICAR</v>
      </c>
    </row>
    <row r="417" customFormat="false" ht="15" hidden="false" customHeight="false" outlineLevel="0" collapsed="false">
      <c r="A417" s="6" t="s">
        <v>429</v>
      </c>
      <c r="B417" s="7" t="s">
        <v>15</v>
      </c>
      <c r="C417" s="8" t="n">
        <f aca="false">L417</f>
        <v>46160</v>
      </c>
      <c r="D417" s="9" t="n">
        <v>46062</v>
      </c>
      <c r="E417" s="10" t="n">
        <v>46724</v>
      </c>
      <c r="F417" s="11" t="n">
        <f aca="false">(E417-D417)/7</f>
        <v>94.5714285714286</v>
      </c>
      <c r="G417" s="11" t="n">
        <f aca="true">(TODAY()-D417)/7</f>
        <v>15.5714285714286</v>
      </c>
      <c r="H417" s="12" t="n">
        <v>112</v>
      </c>
      <c r="I417" s="12" t="n">
        <v>9</v>
      </c>
      <c r="J417" s="13" t="n">
        <v>0</v>
      </c>
      <c r="K417" s="12" t="str">
        <f aca="false">IF(J417&lt;-10,"MUITO ADIANTADO",IF(J417&lt;-6,"ADIANTADO",IF(J417&lt;6,"EM DIAS",IF(J417&lt;12,"ATRASADO","MUITO ATRASADO"))))</f>
        <v>EM DIAS</v>
      </c>
      <c r="L417" s="9" t="n">
        <v>46160</v>
      </c>
      <c r="M417" s="6" t="n">
        <f aca="true">TODAY()-L417</f>
        <v>11</v>
      </c>
      <c r="N417" s="1" t="str">
        <f aca="false">IF(M417&lt;8,"VERIFICADO",IF(M417&lt;15,"VERIFICAR","VERIFICAR URGENTE"))</f>
        <v>VERIFICAR</v>
      </c>
    </row>
    <row r="418" customFormat="false" ht="15" hidden="false" customHeight="false" outlineLevel="0" collapsed="false">
      <c r="A418" s="6" t="s">
        <v>430</v>
      </c>
      <c r="B418" s="7" t="s">
        <v>15</v>
      </c>
      <c r="C418" s="8" t="n">
        <f aca="false">L418</f>
        <v>46160</v>
      </c>
      <c r="D418" s="9" t="n">
        <v>46125</v>
      </c>
      <c r="E418" s="10" t="n">
        <v>46707</v>
      </c>
      <c r="F418" s="11" t="n">
        <f aca="false">(E418-D418)/7</f>
        <v>83.1428571428571</v>
      </c>
      <c r="G418" s="11" t="n">
        <v>0</v>
      </c>
      <c r="H418" s="12" t="n">
        <v>80</v>
      </c>
      <c r="I418" s="12" t="n">
        <v>6</v>
      </c>
      <c r="J418" s="13" t="n">
        <f aca="false">IFERROR(((G418*H418)/F418)-I418,"")</f>
        <v>-6</v>
      </c>
      <c r="K418" s="12" t="str">
        <f aca="false">IF(J418&lt;-10,"MUITO ADIANTADO",IF(J418&lt;-6,"ADIANTADO",IF(J418&lt;6,"EM DIAS",IF(J418&lt;12,"ATRASADO","MUITO ATRASADO"))))</f>
        <v>EM DIAS</v>
      </c>
      <c r="L418" s="9" t="n">
        <v>46160</v>
      </c>
      <c r="M418" s="6" t="n">
        <f aca="true">TODAY()-L418</f>
        <v>11</v>
      </c>
      <c r="N418" s="1" t="str">
        <f aca="false">IF(M418&lt;8,"VERIFICADO",IF(M418&lt;15,"VERIFICAR","VERIFICAR URGENTE"))</f>
        <v>VERIFICAR</v>
      </c>
    </row>
    <row r="419" customFormat="false" ht="15" hidden="false" customHeight="false" outlineLevel="0" collapsed="false">
      <c r="A419" s="6" t="s">
        <v>431</v>
      </c>
      <c r="B419" s="7" t="s">
        <v>17</v>
      </c>
      <c r="C419" s="8" t="n">
        <f aca="false">L419</f>
        <v>46161</v>
      </c>
      <c r="D419" s="9" t="n">
        <v>45447</v>
      </c>
      <c r="E419" s="10" t="n">
        <v>46723</v>
      </c>
      <c r="F419" s="11" t="n">
        <f aca="false">(E419-D419)/7</f>
        <v>182.285714285714</v>
      </c>
      <c r="G419" s="11" t="n">
        <f aca="true">(TODAY()-D419)/7</f>
        <v>103.428571428571</v>
      </c>
      <c r="H419" s="12" t="n">
        <v>112</v>
      </c>
      <c r="I419" s="12" t="n">
        <v>68</v>
      </c>
      <c r="J419" s="13" t="n">
        <f aca="false">IFERROR(((G419*H419)/F419)-I419,"")</f>
        <v>-4.45141065830711</v>
      </c>
      <c r="K419" s="12" t="str">
        <f aca="false">IF(J419&lt;-10,"MUITO ADIANTADO",IF(J419&lt;-6,"ADIANTADO",IF(J419&lt;6,"EM DIAS",IF(J419&lt;12,"ATRASADO","MUITO ATRASADO"))))</f>
        <v>EM DIAS</v>
      </c>
      <c r="L419" s="9" t="n">
        <v>46161</v>
      </c>
      <c r="M419" s="6" t="n">
        <f aca="true">TODAY()-L419</f>
        <v>10</v>
      </c>
      <c r="N419" s="1" t="str">
        <f aca="false">IF(M419&lt;8,"VERIFICADO",IF(M419&lt;15,"VERIFICAR","VERIFICAR URGENTE"))</f>
        <v>VERIFICAR</v>
      </c>
    </row>
    <row r="420" customFormat="false" ht="15" hidden="false" customHeight="false" outlineLevel="0" collapsed="false">
      <c r="A420" s="6" t="s">
        <v>432</v>
      </c>
      <c r="B420" s="7" t="s">
        <v>24</v>
      </c>
      <c r="C420" s="8" t="n">
        <f aca="false">L420</f>
        <v>46162</v>
      </c>
      <c r="D420" s="9" t="n">
        <v>45858</v>
      </c>
      <c r="E420" s="10" t="n">
        <v>47067</v>
      </c>
      <c r="F420" s="11" t="n">
        <f aca="false">(E420-D420)/7</f>
        <v>172.714285714286</v>
      </c>
      <c r="G420" s="11" t="n">
        <f aca="true">(TODAY()-D420)/7</f>
        <v>44.7142857142857</v>
      </c>
      <c r="H420" s="12" t="n">
        <v>192</v>
      </c>
      <c r="I420" s="12" t="n">
        <v>20</v>
      </c>
      <c r="J420" s="13" t="n">
        <f aca="false">IFERROR(((G420*H420)/F420)-I420,"")</f>
        <v>29.7071960297766</v>
      </c>
      <c r="K420" s="12" t="str">
        <f aca="false">IF(J420&lt;-10,"MUITO ADIANTADO",IF(J420&lt;-6,"ADIANTADO",IF(J420&lt;6,"EM DIAS",IF(J420&lt;12,"ATRASADO","MUITO ATRASADO"))))</f>
        <v>MUITO ATRASADO</v>
      </c>
      <c r="L420" s="9" t="n">
        <v>46162</v>
      </c>
      <c r="M420" s="6" t="n">
        <f aca="true">TODAY()-L420</f>
        <v>9</v>
      </c>
      <c r="N420" s="1" t="str">
        <f aca="false">IF(M420&lt;8,"VERIFICADO",IF(M420&lt;15,"VERIFICAR","VERIFICAR URGENTE"))</f>
        <v>VERIFICAR</v>
      </c>
    </row>
    <row r="421" customFormat="false" ht="15" hidden="false" customHeight="false" outlineLevel="0" collapsed="false">
      <c r="A421" s="6" t="s">
        <v>433</v>
      </c>
      <c r="B421" s="7" t="s">
        <v>17</v>
      </c>
      <c r="C421" s="8" t="n">
        <f aca="false">L421</f>
        <v>46162</v>
      </c>
      <c r="D421" s="9" t="n">
        <v>45889</v>
      </c>
      <c r="E421" s="10" t="n">
        <v>47649</v>
      </c>
      <c r="F421" s="11" t="n">
        <f aca="false">(E421-D421)/7</f>
        <v>251.428571428571</v>
      </c>
      <c r="G421" s="11" t="n">
        <f aca="true">(TODAY()-D421)/7</f>
        <v>40.2857142857143</v>
      </c>
      <c r="H421" s="12" t="n">
        <v>272</v>
      </c>
      <c r="I421" s="12" t="n">
        <v>42</v>
      </c>
      <c r="J421" s="13" t="n">
        <f aca="false">IFERROR(((G421*H421)/F421)-I421,"")</f>
        <v>1.58181818181826</v>
      </c>
      <c r="K421" s="12" t="str">
        <f aca="false">IF(J421&lt;-10,"MUITO ADIANTADO",IF(J421&lt;-6,"ADIANTADO",IF(J421&lt;6,"EM DIAS",IF(J421&lt;12,"ATRASADO","MUITO ATRASADO"))))</f>
        <v>EM DIAS</v>
      </c>
      <c r="L421" s="9" t="n">
        <v>46162</v>
      </c>
      <c r="M421" s="6" t="n">
        <f aca="true">TODAY()-L421</f>
        <v>9</v>
      </c>
      <c r="N421" s="1" t="str">
        <f aca="false">IF(M421&lt;8,"VERIFICADO",IF(M421&lt;15,"VERIFICAR","VERIFICAR URGENTE"))</f>
        <v>VERIFICAR</v>
      </c>
    </row>
    <row r="422" customFormat="false" ht="15" hidden="false" customHeight="false" outlineLevel="0" collapsed="false">
      <c r="A422" s="6" t="s">
        <v>434</v>
      </c>
      <c r="B422" s="7" t="s">
        <v>15</v>
      </c>
      <c r="C422" s="8" t="n">
        <f aca="false">L422</f>
        <v>46164</v>
      </c>
      <c r="D422" s="9" t="n">
        <v>45377</v>
      </c>
      <c r="E422" s="10" t="n">
        <v>46174</v>
      </c>
      <c r="F422" s="11" t="n">
        <f aca="false">(E422-D422)/7</f>
        <v>113.857142857143</v>
      </c>
      <c r="G422" s="11" t="n">
        <f aca="true">(TODAY()-D422)/7</f>
        <v>113.428571428571</v>
      </c>
      <c r="H422" s="12" t="n">
        <v>176</v>
      </c>
      <c r="I422" s="12" t="n">
        <v>176</v>
      </c>
      <c r="J422" s="13" t="n">
        <f aca="false">IFERROR(((G422*H422)/F422)-I422,"")</f>
        <v>-0.662484316185925</v>
      </c>
      <c r="K422" s="12" t="str">
        <f aca="false">IF(J422&lt;-10,"MUITO ADIANTADO",IF(J422&lt;-6,"ADIANTADO",IF(J422&lt;6,"EM DIAS",IF(J422&lt;12,"ATRASADO","MUITO ATRASADO"))))</f>
        <v>EM DIAS</v>
      </c>
      <c r="L422" s="9" t="n">
        <v>46164</v>
      </c>
      <c r="M422" s="6" t="n">
        <f aca="true">TODAY()-L422</f>
        <v>7</v>
      </c>
      <c r="N422" s="1" t="str">
        <f aca="false">IF(M422&lt;8,"VERIFICADO",IF(M422&lt;15,"VERIFICAR","VERIFICAR URGENTE"))</f>
        <v>VERIFICADO</v>
      </c>
    </row>
    <row r="423" customFormat="false" ht="15" hidden="false" customHeight="false" outlineLevel="0" collapsed="false">
      <c r="A423" s="6" t="s">
        <v>435</v>
      </c>
      <c r="B423" s="7" t="s">
        <v>22</v>
      </c>
      <c r="C423" s="8" t="n">
        <f aca="false">L423</f>
        <v>46164</v>
      </c>
      <c r="D423" s="9" t="n">
        <v>46078</v>
      </c>
      <c r="E423" s="21" t="n">
        <v>46398</v>
      </c>
      <c r="F423" s="11" t="n">
        <f aca="false">(E425-D423)/7</f>
        <v>187.285714285714</v>
      </c>
      <c r="G423" s="11" t="n">
        <f aca="true">(TODAY()-D423)/7</f>
        <v>13.2857142857143</v>
      </c>
      <c r="H423" s="12" t="n">
        <v>112</v>
      </c>
      <c r="I423" s="12" t="n">
        <v>22</v>
      </c>
      <c r="J423" s="13" t="n">
        <v>0</v>
      </c>
      <c r="K423" s="12" t="str">
        <f aca="false">IF(J423&lt;-10,"MUITO ADIANTADO",IF(J423&lt;-6,"ADIANTADO",IF(J423&lt;6,"EM DIAS",IF(J423&lt;12,"ATRASADO","MUITO ATRASADO"))))</f>
        <v>EM DIAS</v>
      </c>
      <c r="L423" s="9" t="n">
        <v>46164</v>
      </c>
      <c r="M423" s="6" t="n">
        <f aca="true">TODAY()-L423</f>
        <v>7</v>
      </c>
      <c r="N423" s="1" t="str">
        <f aca="false">IF(M423&lt;8,"VERIFICADO",IF(M423&lt;15,"VERIFICAR","VERIFICAR URGENTE"))</f>
        <v>VERIFICADO</v>
      </c>
    </row>
    <row r="424" customFormat="false" ht="15" hidden="false" customHeight="false" outlineLevel="0" collapsed="false">
      <c r="A424" s="6" t="s">
        <v>436</v>
      </c>
      <c r="B424" s="7" t="s">
        <v>22</v>
      </c>
      <c r="C424" s="8" t="n">
        <f aca="false">L424</f>
        <v>46165</v>
      </c>
      <c r="D424" s="9" t="n">
        <v>45874</v>
      </c>
      <c r="E424" s="10" t="n">
        <v>46706</v>
      </c>
      <c r="F424" s="11" t="n">
        <f aca="false">(E424-D424)/7</f>
        <v>118.857142857143</v>
      </c>
      <c r="G424" s="11" t="n">
        <f aca="true">(TODAY()-D424)/7</f>
        <v>42.4285714285714</v>
      </c>
      <c r="H424" s="12" t="n">
        <v>112</v>
      </c>
      <c r="I424" s="12" t="n">
        <v>40</v>
      </c>
      <c r="J424" s="13" t="n">
        <f aca="false">IFERROR(((G424*H424)/F424)-I424,"")</f>
        <v>-0.0192307692308162</v>
      </c>
      <c r="K424" s="12" t="str">
        <f aca="false">IF(J424&lt;-10,"MUITO ADIANTADO",IF(J424&lt;-6,"ADIANTADO",IF(J424&lt;6,"EM DIAS",IF(J424&lt;12,"ATRASADO","MUITO ATRASADO"))))</f>
        <v>EM DIAS</v>
      </c>
      <c r="L424" s="9" t="n">
        <v>46165</v>
      </c>
      <c r="M424" s="6" t="n">
        <f aca="true">TODAY()-L424</f>
        <v>6</v>
      </c>
      <c r="N424" s="1" t="str">
        <f aca="false">IF(M424&lt;8,"VERIFICADO",IF(M424&lt;15,"VERIFICAR","VERIFICAR URGENTE"))</f>
        <v>VERIFICADO</v>
      </c>
    </row>
    <row r="425" customFormat="false" ht="15" hidden="false" customHeight="false" outlineLevel="0" collapsed="false">
      <c r="A425" s="6" t="s">
        <v>437</v>
      </c>
      <c r="B425" s="7" t="s">
        <v>24</v>
      </c>
      <c r="C425" s="8" t="n">
        <f aca="false">L425</f>
        <v>46161</v>
      </c>
      <c r="D425" s="9" t="n">
        <v>46036</v>
      </c>
      <c r="E425" s="10" t="n">
        <v>47389</v>
      </c>
      <c r="F425" s="11" t="n">
        <f aca="false">(E425-D425)/7</f>
        <v>193.285714285714</v>
      </c>
      <c r="G425" s="11" t="n">
        <f aca="true">(TODAY()-D425)/7</f>
        <v>19.2857142857143</v>
      </c>
      <c r="H425" s="12" t="n">
        <v>192</v>
      </c>
      <c r="I425" s="12" t="n">
        <v>26</v>
      </c>
      <c r="J425" s="13" t="n">
        <f aca="false">IFERROR(((G425*H425)/F425)-I425,"")</f>
        <v>-6.84257206208423</v>
      </c>
      <c r="K425" s="12" t="str">
        <f aca="false">IF(J425&lt;-10,"MUITO ADIANTADO",IF(J425&lt;-6,"ADIANTADO",IF(J425&lt;6,"EM DIAS",IF(J425&lt;12,"ATRASADO","MUITO ATRASADO"))))</f>
        <v>ADIANTADO</v>
      </c>
      <c r="L425" s="9" t="n">
        <v>46161</v>
      </c>
      <c r="M425" s="6" t="n">
        <f aca="true">TODAY()-L425</f>
        <v>10</v>
      </c>
      <c r="N425" s="1" t="str">
        <f aca="false">IF(M425&lt;8,"VERIFICADO",IF(M425&lt;15,"VERIFICAR","VERIFICAR URGENTE"))</f>
        <v>VERIFICAR</v>
      </c>
    </row>
    <row r="426" customFormat="false" ht="15" hidden="false" customHeight="false" outlineLevel="0" collapsed="false">
      <c r="A426" s="6" t="s">
        <v>438</v>
      </c>
      <c r="B426" s="7" t="s">
        <v>24</v>
      </c>
      <c r="C426" s="8" t="n">
        <f aca="false">L426</f>
        <v>46162</v>
      </c>
      <c r="D426" s="9" t="n">
        <v>45448</v>
      </c>
      <c r="E426" s="10" t="n">
        <v>46203</v>
      </c>
      <c r="F426" s="11" t="n">
        <f aca="false">(E426-D426)/7</f>
        <v>107.857142857143</v>
      </c>
      <c r="G426" s="11" t="n">
        <f aca="true">(TODAY()-D426)/7</f>
        <v>103.285714285714</v>
      </c>
      <c r="H426" s="12" t="n">
        <v>80</v>
      </c>
      <c r="I426" s="12" t="n">
        <v>65</v>
      </c>
      <c r="J426" s="13" t="n">
        <f aca="false">IFERROR(((G426*H426)/F426)-I426,"")</f>
        <v>11.6092715231787</v>
      </c>
      <c r="K426" s="12" t="str">
        <f aca="false">IF(J426&lt;-10,"MUITO ADIANTADO",IF(J426&lt;-6,"ADIANTADO",IF(J426&lt;6,"EM DIAS",IF(J426&lt;12,"ATRASADO","MUITO ATRASADO"))))</f>
        <v>ATRASADO</v>
      </c>
      <c r="L426" s="9" t="n">
        <v>46162</v>
      </c>
      <c r="M426" s="6" t="n">
        <f aca="true">TODAY()-L426</f>
        <v>9</v>
      </c>
      <c r="N426" s="1" t="str">
        <f aca="false">IF(M426&lt;8,"VERIFICADO",IF(M426&lt;15,"VERIFICAR","VERIFICAR URGENTE"))</f>
        <v>VERIFICAR</v>
      </c>
    </row>
    <row r="427" customFormat="false" ht="15" hidden="false" customHeight="false" outlineLevel="0" collapsed="false">
      <c r="A427" s="6" t="s">
        <v>439</v>
      </c>
      <c r="B427" s="7" t="s">
        <v>19</v>
      </c>
      <c r="C427" s="8" t="n">
        <f aca="false">L427</f>
        <v>46161</v>
      </c>
      <c r="D427" s="9" t="n">
        <v>45936</v>
      </c>
      <c r="E427" s="10" t="n">
        <v>46294</v>
      </c>
      <c r="F427" s="11" t="n">
        <f aca="false">(E427-D427)/7</f>
        <v>51.1428571428571</v>
      </c>
      <c r="G427" s="11" t="n">
        <f aca="true">(TODAY()-D427)/7</f>
        <v>33.5714285714286</v>
      </c>
      <c r="H427" s="12" t="n">
        <v>48</v>
      </c>
      <c r="I427" s="12" t="n">
        <v>30</v>
      </c>
      <c r="J427" s="13" t="n">
        <f aca="false">IFERROR(((G427*H427)/F427)-I427,"")</f>
        <v>1.50837988826818</v>
      </c>
      <c r="K427" s="12" t="str">
        <f aca="false">IF(J427&lt;-10,"MUITO ADIANTADO",IF(J427&lt;-6,"ADIANTADO",IF(J427&lt;6,"EM DIAS",IF(J427&lt;12,"ATRASADO","MUITO ATRASADO"))))</f>
        <v>EM DIAS</v>
      </c>
      <c r="L427" s="9" t="n">
        <v>46161</v>
      </c>
      <c r="M427" s="6" t="n">
        <f aca="true">TODAY()-L427</f>
        <v>10</v>
      </c>
      <c r="N427" s="1" t="str">
        <f aca="false">IF(M427&lt;8,"VERIFICADO",IF(M427&lt;15,"VERIFICAR","VERIFICAR URGENTE"))</f>
        <v>VERIFICAR</v>
      </c>
    </row>
    <row r="428" customFormat="false" ht="15" hidden="false" customHeight="false" outlineLevel="0" collapsed="false">
      <c r="A428" s="6" t="s">
        <v>440</v>
      </c>
      <c r="B428" s="7" t="s">
        <v>17</v>
      </c>
      <c r="C428" s="8" t="n">
        <f aca="false">L428</f>
        <v>46160</v>
      </c>
      <c r="D428" s="9" t="n">
        <v>45138</v>
      </c>
      <c r="E428" s="10" t="n">
        <v>46172</v>
      </c>
      <c r="F428" s="11" t="n">
        <f aca="false">(E428-D428)/7</f>
        <v>147.714285714286</v>
      </c>
      <c r="G428" s="11" t="n">
        <f aca="true">(TODAY()-D428)/7</f>
        <v>147.571428571429</v>
      </c>
      <c r="H428" s="12" t="n">
        <v>176</v>
      </c>
      <c r="I428" s="12" t="n">
        <v>176</v>
      </c>
      <c r="J428" s="13" t="n">
        <f aca="false">IFERROR(((G428*H428)/F428)-I428,"")</f>
        <v>-0.170212765957785</v>
      </c>
      <c r="K428" s="12" t="str">
        <f aca="false">IF(J428&lt;-10,"MUITO ADIANTADO",IF(J428&lt;-6,"ADIANTADO",IF(J428&lt;6,"EM DIAS",IF(J428&lt;12,"ATRASADO","MUITO ATRASADO"))))</f>
        <v>EM DIAS</v>
      </c>
      <c r="L428" s="9" t="n">
        <v>46160</v>
      </c>
      <c r="M428" s="6" t="n">
        <f aca="true">TODAY()-L428</f>
        <v>11</v>
      </c>
      <c r="N428" s="1" t="str">
        <f aca="false">IF(M428&lt;8,"VERIFICADO",IF(M428&lt;15,"VERIFICAR","VERIFICAR URGENTE"))</f>
        <v>VERIFICAR</v>
      </c>
    </row>
    <row r="429" customFormat="false" ht="15" hidden="false" customHeight="false" outlineLevel="0" collapsed="false">
      <c r="A429" s="6" t="s">
        <v>441</v>
      </c>
      <c r="B429" s="7" t="s">
        <v>15</v>
      </c>
      <c r="C429" s="8" t="n">
        <f aca="false">L429</f>
        <v>46165</v>
      </c>
      <c r="D429" s="9" t="n">
        <v>45663</v>
      </c>
      <c r="E429" s="10" t="n">
        <v>46204</v>
      </c>
      <c r="F429" s="11" t="n">
        <f aca="false">(E429-D429)/7</f>
        <v>77.2857142857143</v>
      </c>
      <c r="G429" s="11" t="n">
        <f aca="true">(TODAY()-D429)/7</f>
        <v>72.5714285714286</v>
      </c>
      <c r="H429" s="12" t="n">
        <v>112</v>
      </c>
      <c r="I429" s="12" t="n">
        <v>103</v>
      </c>
      <c r="J429" s="13" t="n">
        <f aca="false">IFERROR(((G429*H429)/F429)-I429,"")</f>
        <v>2.16820702402954</v>
      </c>
      <c r="K429" s="12" t="str">
        <f aca="false">IF(J429&lt;-10,"MUITO ADIANTADO",IF(J429&lt;-6,"ADIANTADO",IF(J429&lt;6,"EM DIAS",IF(J429&lt;12,"ATRASADO","MUITO ATRASADO"))))</f>
        <v>EM DIAS</v>
      </c>
      <c r="L429" s="9" t="n">
        <v>46165</v>
      </c>
      <c r="M429" s="6" t="n">
        <f aca="true">TODAY()-L429</f>
        <v>6</v>
      </c>
      <c r="N429" s="1" t="str">
        <f aca="false">IF(M429&lt;8,"VERIFICADO",IF(M429&lt;15,"VERIFICAR","VERIFICAR URGENTE"))</f>
        <v>VERIFICADO</v>
      </c>
    </row>
    <row r="430" customFormat="false" ht="15" hidden="false" customHeight="false" outlineLevel="0" collapsed="false">
      <c r="A430" s="6" t="s">
        <v>442</v>
      </c>
      <c r="B430" s="7" t="s">
        <v>15</v>
      </c>
      <c r="C430" s="8" t="n">
        <f aca="false">L430</f>
        <v>46162</v>
      </c>
      <c r="D430" s="9" t="n">
        <v>46082</v>
      </c>
      <c r="E430" s="10" t="n">
        <v>46261</v>
      </c>
      <c r="F430" s="11" t="n">
        <f aca="false">(E430-D430)/7</f>
        <v>25.5714285714286</v>
      </c>
      <c r="G430" s="11" t="n">
        <f aca="true">(TODAY()-D430)/7</f>
        <v>12.7142857142857</v>
      </c>
      <c r="H430" s="12" t="n">
        <v>32</v>
      </c>
      <c r="I430" s="12" t="n">
        <v>23</v>
      </c>
      <c r="J430" s="13" t="n">
        <f aca="false">IFERROR(((G430*H430)/F430)-I430,"")</f>
        <v>-7.08938547486036</v>
      </c>
      <c r="K430" s="12" t="str">
        <f aca="false">IF(J430&lt;-10,"MUITO ADIANTADO",IF(J430&lt;-6,"ADIANTADO",IF(J430&lt;6,"EM DIAS",IF(J430&lt;12,"ATRASADO","MUITO ATRASADO"))))</f>
        <v>ADIANTADO</v>
      </c>
      <c r="L430" s="9" t="n">
        <v>46162</v>
      </c>
      <c r="M430" s="6" t="n">
        <f aca="true">TODAY()-L430</f>
        <v>9</v>
      </c>
      <c r="N430" s="1" t="str">
        <f aca="false">IF(M430&lt;8,"VERIFICADO",IF(M430&lt;15,"VERIFICAR","VERIFICAR URGENTE"))</f>
        <v>VERIFICAR</v>
      </c>
    </row>
    <row r="431" customFormat="false" ht="15" hidden="false" customHeight="false" outlineLevel="0" collapsed="false">
      <c r="A431" s="6" t="s">
        <v>443</v>
      </c>
      <c r="B431" s="7" t="s">
        <v>15</v>
      </c>
      <c r="C431" s="8" t="n">
        <f aca="false">L431</f>
        <v>46161</v>
      </c>
      <c r="D431" s="9" t="n">
        <v>46026</v>
      </c>
      <c r="E431" s="10" t="n">
        <v>46741</v>
      </c>
      <c r="F431" s="11" t="n">
        <f aca="false">(E431-D431)/7</f>
        <v>102.142857142857</v>
      </c>
      <c r="G431" s="11" t="n">
        <f aca="true">(TODAY()-D431)/7</f>
        <v>20.7142857142857</v>
      </c>
      <c r="H431" s="12" t="n">
        <v>112</v>
      </c>
      <c r="I431" s="12" t="n">
        <v>19</v>
      </c>
      <c r="J431" s="13" t="n">
        <f aca="false">IFERROR(((G431*H431)/F431)-I431,"")</f>
        <v>3.71328671328675</v>
      </c>
      <c r="K431" s="12" t="str">
        <f aca="false">IF(J431&lt;-10,"MUITO ADIANTADO",IF(J431&lt;-6,"ADIANTADO",IF(J431&lt;6,"EM DIAS",IF(J431&lt;12,"ATRASADO","MUITO ATRASADO"))))</f>
        <v>EM DIAS</v>
      </c>
      <c r="L431" s="9" t="n">
        <v>46161</v>
      </c>
      <c r="M431" s="6" t="n">
        <f aca="true">TODAY()-L431</f>
        <v>10</v>
      </c>
      <c r="N431" s="1" t="str">
        <f aca="false">IF(M431&lt;8,"VERIFICADO",IF(M431&lt;15,"VERIFICAR","VERIFICAR URGENTE"))</f>
        <v>VERIFICAR</v>
      </c>
    </row>
    <row r="432" customFormat="false" ht="15" hidden="false" customHeight="false" outlineLevel="0" collapsed="false">
      <c r="A432" s="6" t="s">
        <v>444</v>
      </c>
      <c r="B432" s="7" t="s">
        <v>17</v>
      </c>
      <c r="C432" s="8" t="n">
        <f aca="false">L432</f>
        <v>46160</v>
      </c>
      <c r="D432" s="9" t="n">
        <v>45789</v>
      </c>
      <c r="E432" s="10" t="n">
        <v>46154</v>
      </c>
      <c r="F432" s="11" t="n">
        <f aca="false">(E432-D432)/7</f>
        <v>52.1428571428571</v>
      </c>
      <c r="G432" s="11" t="n">
        <f aca="true">(TODAY()-D432)/7</f>
        <v>54.5714285714286</v>
      </c>
      <c r="H432" s="12" t="n">
        <v>48</v>
      </c>
      <c r="I432" s="12" t="n">
        <v>38</v>
      </c>
      <c r="J432" s="13" t="n">
        <f aca="false">IFERROR(((G432*H432)/F432)-I432,"")</f>
        <v>12.2356164383562</v>
      </c>
      <c r="K432" s="12" t="str">
        <f aca="false">IF(J432&lt;-10,"MUITO ADIANTADO",IF(J432&lt;-6,"ADIANTADO",IF(J432&lt;6,"EM DIAS",IF(J432&lt;12,"ATRASADO","MUITO ATRASADO"))))</f>
        <v>MUITO ATRASADO</v>
      </c>
      <c r="L432" s="9" t="n">
        <v>46160</v>
      </c>
      <c r="M432" s="6" t="n">
        <f aca="true">TODAY()-L432</f>
        <v>11</v>
      </c>
      <c r="N432" s="1" t="str">
        <f aca="false">IF(M432&lt;8,"VERIFICADO",IF(M432&lt;15,"VERIFICAR","VERIFICAR URGENTE"))</f>
        <v>VERIFICAR</v>
      </c>
    </row>
    <row r="433" customFormat="false" ht="15" hidden="false" customHeight="false" outlineLevel="0" collapsed="false">
      <c r="A433" s="6" t="s">
        <v>445</v>
      </c>
      <c r="B433" s="7" t="s">
        <v>24</v>
      </c>
      <c r="C433" s="8" t="n">
        <f aca="false">L433</f>
        <v>46158</v>
      </c>
      <c r="D433" s="9" t="n">
        <v>45773</v>
      </c>
      <c r="E433" s="10" t="n">
        <v>46903</v>
      </c>
      <c r="F433" s="11" t="n">
        <f aca="false">(E433-D433)/7</f>
        <v>161.428571428571</v>
      </c>
      <c r="G433" s="11" t="n">
        <f aca="true">(TODAY()-D433)/7</f>
        <v>56.8571428571429</v>
      </c>
      <c r="H433" s="12" t="n">
        <v>192</v>
      </c>
      <c r="I433" s="12" t="n">
        <v>61</v>
      </c>
      <c r="J433" s="13" t="n">
        <f aca="false">IFERROR(((G433*H433)/F433)-I433,"")</f>
        <v>6.62477876106212</v>
      </c>
      <c r="K433" s="12" t="str">
        <f aca="false">IF(J433&lt;-10,"MUITO ADIANTADO",IF(J433&lt;-6,"ADIANTADO",IF(J433&lt;6,"EM DIAS",IF(J433&lt;12,"ATRASADO","MUITO ATRASADO"))))</f>
        <v>ATRASADO</v>
      </c>
      <c r="L433" s="9" t="n">
        <v>46158</v>
      </c>
      <c r="M433" s="6" t="n">
        <f aca="true">TODAY()-L433</f>
        <v>13</v>
      </c>
      <c r="N433" s="1" t="str">
        <f aca="false">IF(M433&lt;8,"VERIFICADO",IF(M433&lt;15,"VERIFICAR","VERIFICAR URGENTE"))</f>
        <v>VERIFICAR</v>
      </c>
    </row>
    <row r="434" customFormat="false" ht="15" hidden="false" customHeight="false" outlineLevel="0" collapsed="false">
      <c r="A434" s="6" t="s">
        <v>446</v>
      </c>
      <c r="B434" s="7" t="s">
        <v>447</v>
      </c>
      <c r="C434" s="8" t="n">
        <f aca="false">L434</f>
        <v>46158</v>
      </c>
      <c r="D434" s="9" t="n">
        <v>45724</v>
      </c>
      <c r="E434" s="10" t="n">
        <v>46386</v>
      </c>
      <c r="F434" s="11" t="n">
        <f aca="false">(E434-D434)/7</f>
        <v>94.5714285714286</v>
      </c>
      <c r="G434" s="11" t="n">
        <f aca="true">(TODAY()-D434)/7</f>
        <v>63.8571428571429</v>
      </c>
      <c r="H434" s="12" t="n">
        <v>144</v>
      </c>
      <c r="I434" s="12" t="n">
        <v>88</v>
      </c>
      <c r="J434" s="13" t="n">
        <f aca="false">IFERROR(((G434*H434)/F434)-I434,"")</f>
        <v>9.23262839879151</v>
      </c>
      <c r="K434" s="12" t="str">
        <f aca="false">IF(J434&lt;-10,"MUITO ADIANTADO",IF(J434&lt;-6,"ADIANTADO",IF(J434&lt;6,"EM DIAS",IF(J434&lt;12,"ATRASADO","MUITO ATRASADO"))))</f>
        <v>ATRASADO</v>
      </c>
      <c r="L434" s="9" t="n">
        <v>46158</v>
      </c>
      <c r="M434" s="6" t="n">
        <f aca="true">TODAY()-L434</f>
        <v>13</v>
      </c>
      <c r="N434" s="1" t="str">
        <f aca="false">IF(M434&lt;8,"VERIFICADO",IF(M434&lt;15,"VERIFICAR","VERIFICAR URGENTE"))</f>
        <v>VERIFICAR</v>
      </c>
    </row>
    <row r="435" customFormat="false" ht="15" hidden="false" customHeight="false" outlineLevel="0" collapsed="false">
      <c r="A435" s="6" t="s">
        <v>448</v>
      </c>
      <c r="B435" s="7" t="s">
        <v>24</v>
      </c>
      <c r="C435" s="8" t="n">
        <f aca="false">L435</f>
        <v>46160</v>
      </c>
      <c r="D435" s="9" t="n">
        <v>45453</v>
      </c>
      <c r="E435" s="10" t="n">
        <v>46386</v>
      </c>
      <c r="F435" s="11" t="n">
        <f aca="false">(E435-D435)/7</f>
        <v>133.285714285714</v>
      </c>
      <c r="G435" s="11" t="n">
        <f aca="true">(TODAY()-D435)/7</f>
        <v>102.571428571429</v>
      </c>
      <c r="H435" s="12" t="n">
        <v>128</v>
      </c>
      <c r="I435" s="12" t="n">
        <v>91</v>
      </c>
      <c r="J435" s="13" t="n">
        <f aca="false">IFERROR(((G435*H435)/F435)-I435,"")</f>
        <v>7.50375133976442</v>
      </c>
      <c r="K435" s="12" t="str">
        <f aca="false">IF(J435&lt;-10,"MUITO ADIANTADO",IF(J435&lt;-6,"ADIANTADO",IF(J435&lt;6,"EM DIAS",IF(J435&lt;12,"ATRASADO","MUITO ATRASADO"))))</f>
        <v>ATRASADO</v>
      </c>
      <c r="L435" s="9" t="n">
        <v>46160</v>
      </c>
      <c r="M435" s="6" t="n">
        <f aca="true">TODAY()-L435</f>
        <v>11</v>
      </c>
      <c r="N435" s="1" t="str">
        <f aca="false">IF(M435&lt;8,"VERIFICADO",IF(M435&lt;15,"VERIFICAR","VERIFICAR URGENTE"))</f>
        <v>VERIFICAR</v>
      </c>
    </row>
    <row r="436" customFormat="false" ht="15" hidden="false" customHeight="false" outlineLevel="0" collapsed="false">
      <c r="A436" s="6" t="s">
        <v>449</v>
      </c>
      <c r="B436" s="7" t="s">
        <v>15</v>
      </c>
      <c r="C436" s="8" t="n">
        <f aca="false">L436</f>
        <v>46165</v>
      </c>
      <c r="D436" s="9" t="n">
        <v>45695</v>
      </c>
      <c r="E436" s="10" t="n">
        <v>46233</v>
      </c>
      <c r="F436" s="11" t="n">
        <f aca="false">(E436-D436)/7</f>
        <v>76.8571428571429</v>
      </c>
      <c r="G436" s="11" t="n">
        <f aca="true">(TODAY()-D436)/7</f>
        <v>68</v>
      </c>
      <c r="H436" s="12" t="n">
        <v>80</v>
      </c>
      <c r="I436" s="12" t="n">
        <v>52</v>
      </c>
      <c r="J436" s="13" t="n">
        <f aca="false">IFERROR(((G436*H436)/F436)-I436,"")</f>
        <v>18.7806691449814</v>
      </c>
      <c r="K436" s="12" t="str">
        <f aca="false">IF(J436&lt;-10,"MUITO ADIANTADO",IF(J436&lt;-6,"ADIANTADO",IF(J436&lt;6,"EM DIAS",IF(J436&lt;12,"ATRASADO","MUITO ATRASADO"))))</f>
        <v>MUITO ATRASADO</v>
      </c>
      <c r="L436" s="9" t="n">
        <v>46165</v>
      </c>
      <c r="M436" s="6" t="n">
        <f aca="true">TODAY()-L436</f>
        <v>6</v>
      </c>
      <c r="N436" s="1" t="str">
        <f aca="false">IF(M436&lt;8,"VERIFICADO",IF(M436&lt;15,"VERIFICAR","VERIFICAR URGENTE"))</f>
        <v>VERIFICADO</v>
      </c>
    </row>
    <row r="437" customFormat="false" ht="15" hidden="false" customHeight="false" outlineLevel="0" collapsed="false">
      <c r="A437" s="6" t="s">
        <v>450</v>
      </c>
      <c r="B437" s="7" t="s">
        <v>22</v>
      </c>
      <c r="C437" s="8" t="n">
        <f aca="false">L437</f>
        <v>46162</v>
      </c>
      <c r="D437" s="9" t="n">
        <v>46120</v>
      </c>
      <c r="E437" s="10" t="n">
        <v>46341</v>
      </c>
      <c r="F437" s="11" t="n">
        <f aca="false">(E437-D437)/7</f>
        <v>31.5714285714286</v>
      </c>
      <c r="G437" s="11" t="n">
        <f aca="true">(TODAY()-D437)/7</f>
        <v>7.28571428571429</v>
      </c>
      <c r="H437" s="12" t="n">
        <v>32</v>
      </c>
      <c r="I437" s="12" t="n">
        <v>11</v>
      </c>
      <c r="J437" s="13" t="n">
        <f aca="false">IFERROR(((G437*H437)/F437)-I437,"")</f>
        <v>-3.61538461538462</v>
      </c>
      <c r="K437" s="12" t="str">
        <f aca="false">IF(J437&lt;-10,"MUITO ADIANTADO",IF(J437&lt;-6,"ADIANTADO",IF(J437&lt;6,"EM DIAS",IF(J437&lt;12,"ATRASADO","MUITO ATRASADO"))))</f>
        <v>EM DIAS</v>
      </c>
      <c r="L437" s="9" t="n">
        <v>46162</v>
      </c>
      <c r="M437" s="6" t="n">
        <f aca="true">TODAY()-L437</f>
        <v>9</v>
      </c>
      <c r="N437" s="1" t="str">
        <f aca="false">IF(M437&lt;8,"VERIFICADO",IF(M437&lt;15,"VERIFICAR","VERIFICAR URGENTE"))</f>
        <v>VERIFICAR</v>
      </c>
    </row>
    <row r="438" customFormat="false" ht="15" hidden="false" customHeight="false" outlineLevel="0" collapsed="false">
      <c r="A438" s="6" t="s">
        <v>451</v>
      </c>
      <c r="B438" s="7" t="s">
        <v>22</v>
      </c>
      <c r="C438" s="8" t="n">
        <f aca="false">L438</f>
        <v>46161</v>
      </c>
      <c r="D438" s="9" t="n">
        <v>46068</v>
      </c>
      <c r="E438" s="10" t="n">
        <v>46934</v>
      </c>
      <c r="F438" s="11" t="n">
        <f aca="false">(E438-D438)/7</f>
        <v>123.714285714286</v>
      </c>
      <c r="G438" s="11" t="n">
        <f aca="true">(TODAY()-D438)/7</f>
        <v>14.7142857142857</v>
      </c>
      <c r="H438" s="12" t="n">
        <v>192</v>
      </c>
      <c r="I438" s="12" t="n">
        <v>14</v>
      </c>
      <c r="J438" s="13" t="n">
        <f aca="false">IFERROR(((G438*H438)/F438)-I438,"")</f>
        <v>8.83602771362581</v>
      </c>
      <c r="K438" s="12" t="str">
        <f aca="false">IF(J438&lt;-10,"MUITO ADIANTADO",IF(J438&lt;-6,"ADIANTADO",IF(J438&lt;6,"EM DIAS",IF(J438&lt;12,"ATRASADO","MUITO ATRASADO"))))</f>
        <v>ATRASADO</v>
      </c>
      <c r="L438" s="9" t="n">
        <v>46161</v>
      </c>
      <c r="M438" s="6" t="n">
        <f aca="true">TODAY()-L438</f>
        <v>10</v>
      </c>
      <c r="N438" s="1" t="str">
        <f aca="false">IF(M438&lt;8,"VERIFICADO",IF(M438&lt;15,"VERIFICAR","VERIFICAR URGENTE"))</f>
        <v>VERIFICAR</v>
      </c>
    </row>
    <row r="439" customFormat="false" ht="15" hidden="false" customHeight="false" outlineLevel="0" collapsed="false">
      <c r="A439" s="6" t="s">
        <v>452</v>
      </c>
      <c r="B439" s="6" t="s">
        <v>19</v>
      </c>
      <c r="C439" s="8" t="n">
        <f aca="false">L439</f>
        <v>46161</v>
      </c>
      <c r="D439" s="9" t="n">
        <v>45821</v>
      </c>
      <c r="E439" s="10" t="n">
        <v>47588</v>
      </c>
      <c r="F439" s="11" t="n">
        <f aca="false">(E439-D439)/7</f>
        <v>252.428571428571</v>
      </c>
      <c r="G439" s="11" t="n">
        <f aca="true">(TODAY()-D439)/7</f>
        <v>50</v>
      </c>
      <c r="H439" s="12" t="n">
        <v>304</v>
      </c>
      <c r="I439" s="12" t="n">
        <v>57</v>
      </c>
      <c r="J439" s="13" t="n">
        <f aca="false">IFERROR(((G439*H439)/F439)-I439,"")</f>
        <v>3.21505376344096</v>
      </c>
      <c r="K439" s="12" t="str">
        <f aca="false">IF(J439&lt;-10,"MUITO ADIANTADO",IF(J439&lt;-6,"ADIANTADO",IF(J439&lt;6,"EM DIAS",IF(J439&lt;12,"ATRASADO","MUITO ATRASADO"))))</f>
        <v>EM DIAS</v>
      </c>
      <c r="L439" s="9" t="n">
        <v>46161</v>
      </c>
      <c r="M439" s="6" t="n">
        <f aca="true">TODAY()-L439</f>
        <v>10</v>
      </c>
      <c r="N439" s="1" t="str">
        <f aca="false">IF(M439&lt;8,"VERIFICADO",IF(M439&lt;15,"VERIFICAR","VERIFICAR URGENTE"))</f>
        <v>VERIFICAR</v>
      </c>
    </row>
    <row r="440" customFormat="false" ht="15" hidden="false" customHeight="false" outlineLevel="0" collapsed="false">
      <c r="A440" s="6" t="s">
        <v>453</v>
      </c>
      <c r="B440" s="7" t="s">
        <v>19</v>
      </c>
      <c r="C440" s="8" t="n">
        <f aca="false">L440</f>
        <v>46161</v>
      </c>
      <c r="D440" s="9" t="n">
        <v>45958</v>
      </c>
      <c r="E440" s="10" t="n">
        <v>46539</v>
      </c>
      <c r="F440" s="11" t="n">
        <f aca="false">(E440-D440)/7</f>
        <v>83</v>
      </c>
      <c r="G440" s="11" t="n">
        <f aca="true">(TODAY()-D440)/7</f>
        <v>30.4285714285714</v>
      </c>
      <c r="H440" s="12" t="n">
        <v>64</v>
      </c>
      <c r="I440" s="12" t="n">
        <v>20</v>
      </c>
      <c r="J440" s="13" t="n">
        <f aca="false">IFERROR(((G440*H440)/F440)-I440,"")</f>
        <v>3.46299483648881</v>
      </c>
      <c r="K440" s="12" t="str">
        <f aca="false">IF(J440&lt;-10,"MUITO ADIANTADO",IF(J440&lt;-6,"ADIANTADO",IF(J440&lt;6,"EM DIAS",IF(J440&lt;12,"ATRASADO","MUITO ATRASADO"))))</f>
        <v>EM DIAS</v>
      </c>
      <c r="L440" s="9" t="n">
        <v>46161</v>
      </c>
      <c r="M440" s="6" t="n">
        <f aca="true">TODAY()-L440</f>
        <v>10</v>
      </c>
      <c r="N440" s="1" t="str">
        <f aca="false">IF(M440&lt;8,"VERIFICADO",IF(M440&lt;15,"VERIFICAR","VERIFICAR URGENTE"))</f>
        <v>VERIFICAR</v>
      </c>
    </row>
    <row r="441" customFormat="false" ht="15" hidden="false" customHeight="false" outlineLevel="0" collapsed="false">
      <c r="A441" s="6" t="s">
        <v>454</v>
      </c>
      <c r="B441" s="7" t="s">
        <v>22</v>
      </c>
      <c r="C441" s="8" t="n">
        <f aca="false">L441</f>
        <v>46160</v>
      </c>
      <c r="D441" s="9" t="n">
        <v>45810</v>
      </c>
      <c r="E441" s="10" t="n">
        <v>46235</v>
      </c>
      <c r="F441" s="11" t="n">
        <f aca="false">(E441-D441)/7</f>
        <v>60.7142857142857</v>
      </c>
      <c r="G441" s="11" t="n">
        <f aca="true">(TODAY()-D441)/7</f>
        <v>51.5714285714286</v>
      </c>
      <c r="H441" s="12" t="n">
        <v>64</v>
      </c>
      <c r="I441" s="12" t="n">
        <v>45</v>
      </c>
      <c r="J441" s="13" t="n">
        <f aca="false">IFERROR(((G441*H441)/F441)-I441,"")</f>
        <v>9.36235294117648</v>
      </c>
      <c r="K441" s="12" t="str">
        <f aca="false">IF(J441&lt;-10,"MUITO ADIANTADO",IF(J441&lt;-6,"ADIANTADO",IF(J441&lt;6,"EM DIAS",IF(J441&lt;12,"ATRASADO","MUITO ATRASADO"))))</f>
        <v>ATRASADO</v>
      </c>
      <c r="L441" s="9" t="n">
        <v>46160</v>
      </c>
      <c r="M441" s="6" t="n">
        <f aca="true">TODAY()-L441</f>
        <v>11</v>
      </c>
      <c r="N441" s="1" t="str">
        <f aca="false">IF(M441&lt;8,"VERIFICADO",IF(M441&lt;15,"VERIFICAR","VERIFICAR URGENTE"))</f>
        <v>VERIFICAR</v>
      </c>
    </row>
    <row r="442" customFormat="false" ht="15" hidden="false" customHeight="false" outlineLevel="0" collapsed="false">
      <c r="A442" s="6" t="s">
        <v>455</v>
      </c>
      <c r="B442" s="7" t="s">
        <v>17</v>
      </c>
      <c r="C442" s="8" t="n">
        <f aca="false">L442</f>
        <v>46160</v>
      </c>
      <c r="D442" s="9" t="n">
        <v>45842</v>
      </c>
      <c r="E442" s="10" t="n">
        <v>47027</v>
      </c>
      <c r="F442" s="11" t="n">
        <f aca="false">(E442-D442)/7</f>
        <v>169.285714285714</v>
      </c>
      <c r="G442" s="11" t="n">
        <f aca="true">(TODAY()-D442)/7</f>
        <v>47</v>
      </c>
      <c r="H442" s="12" t="n">
        <v>176</v>
      </c>
      <c r="I442" s="12" t="n">
        <v>51</v>
      </c>
      <c r="J442" s="13" t="n">
        <f aca="false">IFERROR(((G442*H442)/F442)-I442,"")</f>
        <v>-2.13586497890287</v>
      </c>
      <c r="K442" s="12" t="str">
        <f aca="false">IF(J442&lt;-10,"MUITO ADIANTADO",IF(J442&lt;-6,"ADIANTADO",IF(J442&lt;6,"EM DIAS",IF(J442&lt;12,"ATRASADO","MUITO ATRASADO"))))</f>
        <v>EM DIAS</v>
      </c>
      <c r="L442" s="9" t="n">
        <v>46160</v>
      </c>
      <c r="M442" s="6" t="n">
        <f aca="true">TODAY()-L442</f>
        <v>11</v>
      </c>
      <c r="N442" s="1" t="str">
        <f aca="false">IF(M442&lt;8,"VERIFICADO",IF(M442&lt;15,"VERIFICAR","VERIFICAR URGENTE"))</f>
        <v>VERIFICAR</v>
      </c>
    </row>
    <row r="443" customFormat="false" ht="15" hidden="false" customHeight="false" outlineLevel="0" collapsed="false">
      <c r="A443" s="6" t="s">
        <v>456</v>
      </c>
      <c r="B443" s="7" t="s">
        <v>17</v>
      </c>
      <c r="C443" s="8" t="n">
        <f aca="false">L443</f>
        <v>46162</v>
      </c>
      <c r="D443" s="9" t="n">
        <v>46028</v>
      </c>
      <c r="E443" s="10" t="n">
        <v>46376</v>
      </c>
      <c r="F443" s="11" t="n">
        <f aca="false">(E443-D443)/7</f>
        <v>49.7142857142857</v>
      </c>
      <c r="G443" s="11" t="n">
        <f aca="true">(TODAY()-D443)/7</f>
        <v>20.4285714285714</v>
      </c>
      <c r="H443" s="12" t="n">
        <v>48</v>
      </c>
      <c r="I443" s="12" t="n">
        <v>26</v>
      </c>
      <c r="J443" s="13" t="n">
        <f aca="false">IFERROR(((G443*H443)/F443)-I443,"")</f>
        <v>-6.27586206896552</v>
      </c>
      <c r="K443" s="12" t="str">
        <f aca="false">IF(J443&lt;-10,"MUITO ADIANTADO",IF(J443&lt;-6,"ADIANTADO",IF(J443&lt;6,"EM DIAS",IF(J443&lt;12,"ATRASADO","MUITO ATRASADO"))))</f>
        <v>ADIANTADO</v>
      </c>
      <c r="L443" s="9" t="n">
        <v>46162</v>
      </c>
      <c r="M443" s="6" t="n">
        <f aca="true">TODAY()-L443</f>
        <v>9</v>
      </c>
      <c r="N443" s="1" t="str">
        <f aca="false">IF(M443&lt;8,"VERIFICADO",IF(M443&lt;15,"VERIFICAR","VERIFICAR URGENTE"))</f>
        <v>VERIFICAR</v>
      </c>
    </row>
    <row r="444" customFormat="false" ht="15" hidden="false" customHeight="false" outlineLevel="0" collapsed="false">
      <c r="A444" s="6" t="s">
        <v>457</v>
      </c>
      <c r="B444" s="7" t="s">
        <v>22</v>
      </c>
      <c r="C444" s="8" t="n">
        <f aca="false">L444</f>
        <v>46165</v>
      </c>
      <c r="D444" s="9" t="n">
        <v>45941</v>
      </c>
      <c r="E444" s="10" t="n">
        <v>46993</v>
      </c>
      <c r="F444" s="11" t="n">
        <f aca="false">(E444-D444)/7</f>
        <v>150.285714285714</v>
      </c>
      <c r="G444" s="11" t="n">
        <f aca="true">(TODAY()-D444)/7</f>
        <v>32.8571428571429</v>
      </c>
      <c r="H444" s="12" t="n">
        <v>144</v>
      </c>
      <c r="I444" s="12" t="n">
        <v>17</v>
      </c>
      <c r="J444" s="13" t="n">
        <f aca="false">IFERROR(((G444*H444)/F444)-I444,"")</f>
        <v>14.4828897338404</v>
      </c>
      <c r="K444" s="12" t="str">
        <f aca="false">IF(J444&lt;-10,"MUITO ADIANTADO",IF(J444&lt;-6,"ADIANTADO",IF(J444&lt;6,"EM DIAS",IF(J444&lt;12,"ATRASADO","MUITO ATRASADO"))))</f>
        <v>MUITO ATRASADO</v>
      </c>
      <c r="L444" s="9" t="n">
        <v>46165</v>
      </c>
      <c r="M444" s="6" t="n">
        <f aca="true">TODAY()-L444</f>
        <v>6</v>
      </c>
      <c r="N444" s="1" t="str">
        <f aca="false">IF(M444&lt;8,"VERIFICADO",IF(M444&lt;15,"VERIFICAR","VERIFICAR URGENTE"))</f>
        <v>VERIFICADO</v>
      </c>
    </row>
    <row r="445" customFormat="false" ht="15" hidden="false" customHeight="false" outlineLevel="0" collapsed="false">
      <c r="A445" s="7" t="s">
        <v>458</v>
      </c>
      <c r="B445" s="7" t="s">
        <v>19</v>
      </c>
      <c r="C445" s="8" t="n">
        <f aca="false">L445</f>
        <v>46161</v>
      </c>
      <c r="D445" s="9" t="n">
        <v>46077</v>
      </c>
      <c r="E445" s="10" t="n">
        <v>46524</v>
      </c>
      <c r="F445" s="11" t="n">
        <f aca="false">(E445-D445)/7</f>
        <v>63.8571428571429</v>
      </c>
      <c r="G445" s="11" t="n">
        <f aca="true">(TODAY()-D445)/7</f>
        <v>13.4285714285714</v>
      </c>
      <c r="H445" s="12" t="n">
        <v>80</v>
      </c>
      <c r="I445" s="12" t="n">
        <v>9</v>
      </c>
      <c r="J445" s="13" t="n">
        <f aca="false">IFERROR(((G445*H445)/F445)-I445,"")</f>
        <v>7.82326621923936</v>
      </c>
      <c r="K445" s="12" t="str">
        <f aca="false">IF(J445&lt;-10,"MUITO ADIANTADO",IF(J445&lt;-6,"ADIANTADO",IF(J445&lt;6,"EM DIAS",IF(J445&lt;12,"ATRASADO","MUITO ATRASADO"))))</f>
        <v>ATRASADO</v>
      </c>
      <c r="L445" s="9" t="n">
        <v>46161</v>
      </c>
      <c r="M445" s="6" t="n">
        <f aca="true">TODAY()-L445</f>
        <v>10</v>
      </c>
      <c r="N445" s="1" t="str">
        <f aca="false">IF(M445&lt;8,"VERIFICADO",IF(M445&lt;15,"VERIFICAR","VERIFICAR URGENTE"))</f>
        <v>VERIFICAR</v>
      </c>
    </row>
    <row r="446" customFormat="false" ht="15" hidden="false" customHeight="false" outlineLevel="0" collapsed="false">
      <c r="A446" s="6" t="s">
        <v>459</v>
      </c>
      <c r="B446" s="7" t="s">
        <v>22</v>
      </c>
      <c r="C446" s="8" t="n">
        <f aca="false">L446</f>
        <v>46164</v>
      </c>
      <c r="D446" s="9" t="n">
        <v>45786</v>
      </c>
      <c r="E446" s="10" t="n">
        <v>47088</v>
      </c>
      <c r="F446" s="11" t="n">
        <f aca="false">(E446-D446)/7</f>
        <v>186</v>
      </c>
      <c r="G446" s="11" t="n">
        <f aca="true">(TODAY()-D446)/7</f>
        <v>55</v>
      </c>
      <c r="H446" s="12" t="n">
        <v>160</v>
      </c>
      <c r="I446" s="12" t="n">
        <v>42</v>
      </c>
      <c r="J446" s="13" t="n">
        <f aca="false">IFERROR(((G446*H446)/F446)-I446,"")</f>
        <v>5.31182795698925</v>
      </c>
      <c r="K446" s="12" t="str">
        <f aca="false">IF(J446&lt;-10,"MUITO ADIANTADO",IF(J446&lt;-6,"ADIANTADO",IF(J446&lt;6,"EM DIAS",IF(J446&lt;12,"ATRASADO","MUITO ATRASADO"))))</f>
        <v>EM DIAS</v>
      </c>
      <c r="L446" s="9" t="n">
        <v>46164</v>
      </c>
      <c r="M446" s="6" t="n">
        <f aca="true">TODAY()-L446</f>
        <v>7</v>
      </c>
      <c r="N446" s="1" t="str">
        <f aca="false">IF(M446&lt;8,"VERIFICADO",IF(M446&lt;15,"VERIFICAR","VERIFICAR URGENTE"))</f>
        <v>VERIFICADO</v>
      </c>
    </row>
    <row r="447" customFormat="false" ht="15" hidden="false" customHeight="false" outlineLevel="0" collapsed="false">
      <c r="A447" s="6" t="s">
        <v>460</v>
      </c>
      <c r="B447" s="7" t="s">
        <v>22</v>
      </c>
      <c r="C447" s="8" t="n">
        <f aca="false">L447</f>
        <v>46162</v>
      </c>
      <c r="D447" s="9" t="n">
        <v>45927</v>
      </c>
      <c r="E447" s="10" t="n">
        <v>46991</v>
      </c>
      <c r="F447" s="11" t="n">
        <f aca="false">(E447-D447)/7</f>
        <v>152</v>
      </c>
      <c r="G447" s="11" t="n">
        <f aca="true">(TODAY()-D447)/7</f>
        <v>34.8571428571429</v>
      </c>
      <c r="H447" s="12" t="n">
        <v>192</v>
      </c>
      <c r="I447" s="12" t="n">
        <v>54</v>
      </c>
      <c r="J447" s="13" t="n">
        <f aca="false">IFERROR(((G447*H447)/F447)-I447,"")</f>
        <v>-9.96992481203008</v>
      </c>
      <c r="K447" s="12" t="str">
        <f aca="false">IF(J447&lt;-10,"MUITO ADIANTADO",IF(J447&lt;-6,"ADIANTADO",IF(J447&lt;6,"EM DIAS",IF(J447&lt;12,"ATRASADO","MUITO ATRASADO"))))</f>
        <v>ADIANTADO</v>
      </c>
      <c r="L447" s="9" t="n">
        <v>46162</v>
      </c>
      <c r="M447" s="6" t="n">
        <f aca="true">TODAY()-L447</f>
        <v>9</v>
      </c>
      <c r="N447" s="1" t="str">
        <f aca="false">IF(M447&lt;8,"VERIFICADO",IF(M447&lt;15,"VERIFICAR","VERIFICAR URGENTE"))</f>
        <v>VERIFICAR</v>
      </c>
    </row>
    <row r="448" customFormat="false" ht="15" hidden="false" customHeight="false" outlineLevel="0" collapsed="false">
      <c r="A448" s="6" t="s">
        <v>461</v>
      </c>
      <c r="B448" s="7" t="s">
        <v>19</v>
      </c>
      <c r="C448" s="8" t="n">
        <f aca="false">L448</f>
        <v>46161</v>
      </c>
      <c r="D448" s="9" t="n">
        <v>45701</v>
      </c>
      <c r="E448" s="10" t="n">
        <v>46847</v>
      </c>
      <c r="F448" s="11" t="n">
        <f aca="false">(E448-D448)/7</f>
        <v>163.714285714286</v>
      </c>
      <c r="G448" s="11" t="n">
        <f aca="true">(TODAY()-D448)/7</f>
        <v>67.1428571428571</v>
      </c>
      <c r="H448" s="12" t="n">
        <v>176</v>
      </c>
      <c r="I448" s="12" t="n">
        <v>62</v>
      </c>
      <c r="J448" s="13" t="n">
        <f aca="false">IFERROR(((G448*H448)/F448)-I448,"")</f>
        <v>10.1815008726002</v>
      </c>
      <c r="K448" s="12" t="str">
        <f aca="false">IF(J448&lt;-10,"MUITO ADIANTADO",IF(J448&lt;-6,"ADIANTADO",IF(J448&lt;6,"EM DIAS",IF(J448&lt;12,"ATRASADO","MUITO ATRASADO"))))</f>
        <v>ATRASADO</v>
      </c>
      <c r="L448" s="9" t="n">
        <v>46161</v>
      </c>
      <c r="M448" s="6" t="n">
        <f aca="true">TODAY()-L448</f>
        <v>10</v>
      </c>
      <c r="N448" s="1" t="str">
        <f aca="false">IF(M448&lt;8,"VERIFICADO",IF(M448&lt;15,"VERIFICAR","VERIFICAR URGENTE"))</f>
        <v>VERIFICAR</v>
      </c>
    </row>
    <row r="449" customFormat="false" ht="15" hidden="false" customHeight="false" outlineLevel="0" collapsed="false">
      <c r="A449" s="6" t="s">
        <v>462</v>
      </c>
      <c r="B449" s="7" t="s">
        <v>22</v>
      </c>
      <c r="C449" s="8" t="n">
        <f aca="false">L449</f>
        <v>46162</v>
      </c>
      <c r="D449" s="9" t="n">
        <v>45727</v>
      </c>
      <c r="E449" s="10" t="n">
        <v>46903</v>
      </c>
      <c r="F449" s="11" t="n">
        <f aca="false">(E449-D449)/7</f>
        <v>168</v>
      </c>
      <c r="G449" s="11" t="n">
        <f aca="true">(TODAY()-D449)/7</f>
        <v>63.4285714285714</v>
      </c>
      <c r="H449" s="12" t="n">
        <v>192</v>
      </c>
      <c r="I449" s="12" t="n">
        <v>47</v>
      </c>
      <c r="J449" s="13" t="n">
        <f aca="false">IFERROR(((G449*H449)/F449)-I449,"")</f>
        <v>25.4897959183674</v>
      </c>
      <c r="K449" s="12" t="str">
        <f aca="false">IF(J449&lt;-10,"MUITO ADIANTADO",IF(J449&lt;-6,"ADIANTADO",IF(J449&lt;6,"EM DIAS",IF(J449&lt;12,"ATRASADO","MUITO ATRASADO"))))</f>
        <v>MUITO ATRASADO</v>
      </c>
      <c r="L449" s="9" t="n">
        <v>46162</v>
      </c>
      <c r="M449" s="6" t="n">
        <f aca="true">TODAY()-L449</f>
        <v>9</v>
      </c>
      <c r="N449" s="1" t="str">
        <f aca="false">IF(M449&lt;8,"VERIFICADO",IF(M449&lt;15,"VERIFICAR","VERIFICAR URGENTE"))</f>
        <v>VERIFICAR</v>
      </c>
    </row>
    <row r="450" customFormat="false" ht="15" hidden="false" customHeight="false" outlineLevel="0" collapsed="false">
      <c r="A450" s="6" t="s">
        <v>463</v>
      </c>
      <c r="B450" s="6" t="s">
        <v>15</v>
      </c>
      <c r="C450" s="8" t="n">
        <f aca="false">L445</f>
        <v>46161</v>
      </c>
      <c r="D450" s="9" t="n">
        <v>46152</v>
      </c>
      <c r="E450" s="10" t="n">
        <v>46845</v>
      </c>
      <c r="F450" s="11" t="n">
        <f aca="false">(E450-D450)/7</f>
        <v>99</v>
      </c>
      <c r="G450" s="11" t="n">
        <f aca="true">(TODAY()-D450)/7</f>
        <v>2.71428571428571</v>
      </c>
      <c r="H450" s="11" t="n">
        <v>112</v>
      </c>
      <c r="I450" s="12" t="n">
        <v>0</v>
      </c>
      <c r="J450" s="13" t="n">
        <v>0</v>
      </c>
      <c r="K450" s="12" t="str">
        <f aca="false">IF(J450&lt;-10,"MUITO ADIANTADO",IF(J450&lt;-6,"ADIANTADO",IF(J450&lt;6,"EM DIAS",IF(J450&lt;12,"ATRASADO","MUITO ATRASADO"))))</f>
        <v>EM DIAS</v>
      </c>
      <c r="L450" s="9" t="n">
        <v>46170</v>
      </c>
      <c r="M450" s="6" t="n">
        <f aca="true">TODAY()-L450</f>
        <v>1</v>
      </c>
      <c r="N450" s="1" t="str">
        <f aca="false">IF(M450&lt;8,"VERIFICADO",IF(M450&lt;15,"VERIFICAR","VERIFICAR URGENTE"))</f>
        <v>VERIFICADO</v>
      </c>
    </row>
    <row r="451" customFormat="false" ht="15" hidden="false" customHeight="false" outlineLevel="0" collapsed="false">
      <c r="A451" s="6" t="s">
        <v>464</v>
      </c>
      <c r="B451" s="6" t="s">
        <v>19</v>
      </c>
      <c r="C451" s="8" t="n">
        <f aca="false">L451</f>
        <v>46162</v>
      </c>
      <c r="D451" s="9" t="n">
        <v>45847</v>
      </c>
      <c r="E451" s="10" t="n">
        <v>46397</v>
      </c>
      <c r="F451" s="11" t="n">
        <f aca="false">(E451-D451)/7</f>
        <v>78.5714285714286</v>
      </c>
      <c r="G451" s="11" t="n">
        <f aca="true">(TODAY()-D451)/7</f>
        <v>46.2857142857143</v>
      </c>
      <c r="H451" s="12" t="n">
        <v>80</v>
      </c>
      <c r="I451" s="12" t="n">
        <v>36</v>
      </c>
      <c r="J451" s="13" t="n">
        <f aca="false">IFERROR(((G451*H451)/F451)-I451,"")</f>
        <v>11.1272727272727</v>
      </c>
      <c r="K451" s="12" t="str">
        <f aca="false">IF(J451&lt;-10,"MUITO ADIANTADO",IF(J451&lt;-6,"ADIANTADO",IF(J451&lt;6,"EM DIAS",IF(J451&lt;12,"ATRASADO","MUITO ATRASADO"))))</f>
        <v>ATRASADO</v>
      </c>
      <c r="L451" s="9" t="n">
        <v>46162</v>
      </c>
      <c r="M451" s="6" t="n">
        <f aca="true">TODAY()-L451</f>
        <v>9</v>
      </c>
      <c r="N451" s="1" t="str">
        <f aca="false">IF(M451&lt;8,"VERIFICADO",IF(M451&lt;15,"VERIFICAR","VERIFICAR URGENTE"))</f>
        <v>VERIFICAR</v>
      </c>
    </row>
    <row r="452" customFormat="false" ht="15" hidden="false" customHeight="false" outlineLevel="0" collapsed="false">
      <c r="A452" s="6" t="s">
        <v>465</v>
      </c>
      <c r="B452" s="7" t="s">
        <v>15</v>
      </c>
      <c r="C452" s="8" t="n">
        <f aca="false">L452</f>
        <v>46160</v>
      </c>
      <c r="D452" s="9" t="n">
        <v>45418</v>
      </c>
      <c r="E452" s="10" t="n">
        <v>46203</v>
      </c>
      <c r="F452" s="11" t="n">
        <f aca="false">(E452-D452)/7</f>
        <v>112.142857142857</v>
      </c>
      <c r="G452" s="11" t="n">
        <f aca="true">(TODAY()-D452)/7</f>
        <v>107.571428571429</v>
      </c>
      <c r="H452" s="12" t="n">
        <v>192</v>
      </c>
      <c r="I452" s="12" t="n">
        <v>190</v>
      </c>
      <c r="J452" s="13" t="n">
        <f aca="false">IFERROR(((G452*H452)/F452)-I452,"")</f>
        <v>-5.82675159235643</v>
      </c>
      <c r="K452" s="12" t="str">
        <f aca="false">IF(J452&lt;-10,"MUITO ADIANTADO",IF(J452&lt;-6,"ADIANTADO",IF(J452&lt;6,"EM DIAS",IF(J452&lt;12,"ATRASADO","MUITO ATRASADO"))))</f>
        <v>EM DIAS</v>
      </c>
      <c r="L452" s="9" t="n">
        <v>46160</v>
      </c>
      <c r="M452" s="6" t="n">
        <f aca="true">TODAY()-L452</f>
        <v>11</v>
      </c>
      <c r="N452" s="1" t="str">
        <f aca="false">IF(M452&lt;8,"VERIFICADO",IF(M452&lt;15,"VERIFICAR","VERIFICAR URGENTE"))</f>
        <v>VERIFICAR</v>
      </c>
    </row>
    <row r="453" customFormat="false" ht="15" hidden="false" customHeight="false" outlineLevel="0" collapsed="false">
      <c r="A453" s="6" t="s">
        <v>466</v>
      </c>
      <c r="B453" s="7" t="s">
        <v>24</v>
      </c>
      <c r="C453" s="8" t="n">
        <f aca="false">L453</f>
        <v>46161</v>
      </c>
      <c r="D453" s="9" t="n">
        <v>45951</v>
      </c>
      <c r="E453" s="10" t="n">
        <v>46483</v>
      </c>
      <c r="F453" s="11" t="n">
        <f aca="false">(E453-D453)/7</f>
        <v>76</v>
      </c>
      <c r="G453" s="11" t="n">
        <f aca="true">(TODAY()-D453)/7</f>
        <v>31.4285714285714</v>
      </c>
      <c r="H453" s="12" t="n">
        <v>80</v>
      </c>
      <c r="I453" s="12" t="n">
        <v>31</v>
      </c>
      <c r="J453" s="13" t="n">
        <f aca="false">IFERROR(((G453*H453)/F453)-I453,"")</f>
        <v>2.08270676691729</v>
      </c>
      <c r="K453" s="12" t="str">
        <f aca="false">IF(J453&lt;-10,"MUITO ADIANTADO",IF(J453&lt;-6,"ADIANTADO",IF(J453&lt;6,"EM DIAS",IF(J453&lt;12,"ATRASADO","MUITO ATRASADO"))))</f>
        <v>EM DIAS</v>
      </c>
      <c r="L453" s="9" t="n">
        <v>46161</v>
      </c>
      <c r="M453" s="6" t="n">
        <f aca="true">TODAY()-L453</f>
        <v>10</v>
      </c>
      <c r="N453" s="1" t="str">
        <f aca="false">IF(M453&lt;8,"VERIFICADO",IF(M453&lt;15,"VERIFICAR","VERIFICAR URGENTE"))</f>
        <v>VERIFICAR</v>
      </c>
    </row>
    <row r="454" customFormat="false" ht="15" hidden="false" customHeight="false" outlineLevel="0" collapsed="false">
      <c r="A454" s="6" t="s">
        <v>467</v>
      </c>
      <c r="B454" s="7" t="s">
        <v>17</v>
      </c>
      <c r="C454" s="8" t="n">
        <f aca="false">L454</f>
        <v>46161</v>
      </c>
      <c r="D454" s="9" t="n">
        <v>45328</v>
      </c>
      <c r="E454" s="10" t="n">
        <v>46142</v>
      </c>
      <c r="F454" s="11" t="n">
        <f aca="false">(E454-D454)/7</f>
        <v>116.285714285714</v>
      </c>
      <c r="G454" s="11" t="n">
        <f aca="true">(TODAY()-D454)/7</f>
        <v>120.428571428571</v>
      </c>
      <c r="H454" s="12" t="n">
        <v>180</v>
      </c>
      <c r="I454" s="12" t="n">
        <v>180</v>
      </c>
      <c r="J454" s="13" t="n">
        <f aca="false">IFERROR(((G454*H454)/F464)-I454,"")</f>
        <v>-31.2352941176474</v>
      </c>
      <c r="K454" s="12" t="str">
        <f aca="false">IF(J454&lt;-10,"MUITO ADIANTADO",IF(J454&lt;-6,"ADIANTADO",IF(J454&lt;6,"EM DIAS",IF(J454&lt;12,"ATRASADO","MUITO ATRASADO"))))</f>
        <v>MUITO ADIANTADO</v>
      </c>
      <c r="L454" s="9" t="n">
        <v>46161</v>
      </c>
      <c r="M454" s="6" t="n">
        <f aca="true">TODAY()-L454</f>
        <v>10</v>
      </c>
      <c r="N454" s="1" t="str">
        <f aca="false">IF(M454&lt;8,"VERIFICADO",IF(M454&lt;15,"VERIFICAR","VERIFICAR URGENTE"))</f>
        <v>VERIFICAR</v>
      </c>
    </row>
    <row r="455" customFormat="false" ht="15" hidden="false" customHeight="false" outlineLevel="0" collapsed="false">
      <c r="A455" s="6" t="s">
        <v>468</v>
      </c>
      <c r="B455" s="7" t="s">
        <v>22</v>
      </c>
      <c r="C455" s="8" t="n">
        <f aca="false">L455</f>
        <v>46164</v>
      </c>
      <c r="D455" s="9" t="n">
        <v>45797</v>
      </c>
      <c r="E455" s="10" t="n">
        <v>46356</v>
      </c>
      <c r="F455" s="11" t="n">
        <f aca="false">(E455-D455)/7</f>
        <v>79.8571428571429</v>
      </c>
      <c r="G455" s="11" t="n">
        <f aca="true">(TODAY()-D455)/7</f>
        <v>53.4285714285714</v>
      </c>
      <c r="H455" s="12" t="n">
        <v>80</v>
      </c>
      <c r="I455" s="12" t="n">
        <v>45</v>
      </c>
      <c r="J455" s="13" t="n">
        <f aca="false">IFERROR(((G455*H455)/F455)-I455,"")</f>
        <v>8.52415026833629</v>
      </c>
      <c r="K455" s="12" t="str">
        <f aca="false">IF(J455&lt;-10,"MUITO ADIANTADO",IF(J455&lt;-6,"ADIANTADO",IF(J455&lt;6,"EM DIAS",IF(J455&lt;12,"ATRASADO","MUITO ATRASADO"))))</f>
        <v>ATRASADO</v>
      </c>
      <c r="L455" s="9" t="n">
        <v>46164</v>
      </c>
      <c r="M455" s="6" t="n">
        <f aca="true">TODAY()-L455</f>
        <v>7</v>
      </c>
      <c r="N455" s="1" t="str">
        <f aca="false">IF(M455&lt;8,"VERIFICADO",IF(M455&lt;15,"VERIFICAR","VERIFICAR URGENTE"))</f>
        <v>VERIFICADO</v>
      </c>
    </row>
    <row r="456" customFormat="false" ht="15" hidden="false" customHeight="false" outlineLevel="0" collapsed="false">
      <c r="A456" s="6" t="s">
        <v>469</v>
      </c>
      <c r="B456" s="6" t="s">
        <v>65</v>
      </c>
      <c r="C456" s="8" t="n">
        <f aca="false">L456</f>
        <v>46158</v>
      </c>
      <c r="D456" s="9" t="n">
        <v>46104</v>
      </c>
      <c r="E456" s="10" t="n">
        <v>46475</v>
      </c>
      <c r="F456" s="11" t="n">
        <f aca="false">(E456-D456)/7</f>
        <v>53</v>
      </c>
      <c r="G456" s="11" t="n">
        <f aca="true">(TODAY()-D456)/7</f>
        <v>9.57142857142857</v>
      </c>
      <c r="H456" s="12" t="n">
        <v>100</v>
      </c>
      <c r="I456" s="12" t="n">
        <v>10</v>
      </c>
      <c r="J456" s="13" t="n">
        <f aca="false">IFERROR(((G456*H456)/F466)-I456,"")</f>
        <v>-4.5126945126945</v>
      </c>
      <c r="K456" s="12" t="str">
        <f aca="false">IF(J456&lt;-10,"MUITO ADIANTADO",IF(J456&lt;-6,"ADIANTADO",IF(J456&lt;6,"EM DIAS",IF(J456&lt;12,"ATRASADO","MUITO ATRASADO"))))</f>
        <v>EM DIAS</v>
      </c>
      <c r="L456" s="9" t="n">
        <v>46158</v>
      </c>
      <c r="M456" s="6" t="n">
        <f aca="true">TODAY()-L456</f>
        <v>13</v>
      </c>
      <c r="N456" s="1" t="str">
        <f aca="false">IF(M456&lt;8,"VERIFICADO",IF(M456&lt;15,"VERIFICAR","VERIFICAR URGENTE"))</f>
        <v>VERIFICAR</v>
      </c>
    </row>
    <row r="457" customFormat="false" ht="15" hidden="false" customHeight="false" outlineLevel="0" collapsed="false">
      <c r="A457" s="6" t="s">
        <v>470</v>
      </c>
      <c r="B457" s="7" t="s">
        <v>22</v>
      </c>
      <c r="C457" s="8" t="n">
        <f aca="false">L457</f>
        <v>46162</v>
      </c>
      <c r="D457" s="9" t="n">
        <v>46029</v>
      </c>
      <c r="E457" s="10" t="n">
        <v>46417</v>
      </c>
      <c r="F457" s="11" t="n">
        <f aca="false">(E457-D457)/7</f>
        <v>55.4285714285714</v>
      </c>
      <c r="G457" s="11" t="n">
        <f aca="true">(TODAY()-D457)/7</f>
        <v>20.2857142857143</v>
      </c>
      <c r="H457" s="12" t="n">
        <v>97</v>
      </c>
      <c r="I457" s="12" t="n">
        <v>34</v>
      </c>
      <c r="J457" s="13" t="n">
        <f aca="false">IFERROR(((G457*H457)/F457)-I457,"")</f>
        <v>1.50000000000001</v>
      </c>
      <c r="K457" s="12" t="str">
        <f aca="false">IF(J457&lt;-10,"MUITO ADIANTADO",IF(J457&lt;-6,"ADIANTADO",IF(J457&lt;6,"EM DIAS",IF(J457&lt;12,"ATRASADO","MUITO ATRASADO"))))</f>
        <v>EM DIAS</v>
      </c>
      <c r="L457" s="9" t="n">
        <v>46162</v>
      </c>
      <c r="M457" s="6" t="n">
        <f aca="true">TODAY()-L457</f>
        <v>9</v>
      </c>
      <c r="N457" s="1" t="str">
        <f aca="false">IF(M457&lt;8,"VERIFICADO",IF(M457&lt;15,"VERIFICAR","VERIFICAR URGENTE"))</f>
        <v>VERIFICAR</v>
      </c>
    </row>
    <row r="458" customFormat="false" ht="15" hidden="false" customHeight="false" outlineLevel="0" collapsed="false">
      <c r="A458" s="6" t="s">
        <v>471</v>
      </c>
      <c r="B458" s="7" t="s">
        <v>19</v>
      </c>
      <c r="C458" s="8" t="n">
        <f aca="false">L458</f>
        <v>46160</v>
      </c>
      <c r="D458" s="9" t="n">
        <v>45691</v>
      </c>
      <c r="E458" s="10" t="n">
        <v>46661</v>
      </c>
      <c r="F458" s="11" t="n">
        <f aca="false">(E458-D458)/7</f>
        <v>138.571428571429</v>
      </c>
      <c r="G458" s="11" t="n">
        <f aca="true">(TODAY()-D458)/7</f>
        <v>68.5714285714286</v>
      </c>
      <c r="H458" s="12" t="n">
        <v>192</v>
      </c>
      <c r="I458" s="12" t="n">
        <v>92</v>
      </c>
      <c r="J458" s="13" t="n">
        <f aca="false">IFERROR(((G458*H458)/F458)-I458,"")</f>
        <v>3.01030927835022</v>
      </c>
      <c r="K458" s="12" t="str">
        <f aca="false">IF(J458&lt;-10,"MUITO ADIANTADO",IF(J458&lt;-6,"ADIANTADO",IF(J458&lt;6,"EM DIAS",IF(J458&lt;12,"ATRASADO","MUITO ATRASADO"))))</f>
        <v>EM DIAS</v>
      </c>
      <c r="L458" s="9" t="n">
        <v>46160</v>
      </c>
      <c r="M458" s="6" t="n">
        <f aca="true">TODAY()-L458</f>
        <v>11</v>
      </c>
      <c r="N458" s="1" t="str">
        <f aca="false">IF(M458&lt;8,"VERIFICADO",IF(M458&lt;15,"VERIFICAR","VERIFICAR URGENTE"))</f>
        <v>VERIFICAR</v>
      </c>
    </row>
    <row r="459" customFormat="false" ht="15" hidden="false" customHeight="false" outlineLevel="0" collapsed="false">
      <c r="A459" s="6" t="s">
        <v>472</v>
      </c>
      <c r="B459" s="7" t="s">
        <v>22</v>
      </c>
      <c r="C459" s="8" t="n">
        <f aca="false">L459</f>
        <v>46164</v>
      </c>
      <c r="D459" s="9" t="n">
        <v>45597</v>
      </c>
      <c r="E459" s="10" t="n">
        <v>46325</v>
      </c>
      <c r="F459" s="11" t="n">
        <f aca="false">(E459-D459)/7</f>
        <v>104</v>
      </c>
      <c r="G459" s="11" t="n">
        <f aca="true">(TODAY()-D459)/7</f>
        <v>82</v>
      </c>
      <c r="H459" s="12" t="n">
        <v>80</v>
      </c>
      <c r="I459" s="12" t="n">
        <v>52</v>
      </c>
      <c r="J459" s="13" t="n">
        <f aca="false">IFERROR(((G459*H459)/F459)-I459,"")</f>
        <v>11.0769230769231</v>
      </c>
      <c r="K459" s="12" t="str">
        <f aca="false">IF(J459&lt;-10,"MUITO ADIANTADO",IF(J459&lt;-6,"ADIANTADO",IF(J459&lt;6,"EM DIAS",IF(J459&lt;12,"ATRASADO","MUITO ATRASADO"))))</f>
        <v>ATRASADO</v>
      </c>
      <c r="L459" s="9" t="n">
        <v>46164</v>
      </c>
      <c r="M459" s="6" t="n">
        <f aca="true">TODAY()-L459</f>
        <v>7</v>
      </c>
      <c r="N459" s="1" t="str">
        <f aca="false">IF(M459&lt;8,"VERIFICADO",IF(M459&lt;15,"VERIFICAR","VERIFICAR URGENTE"))</f>
        <v>VERIFICADO</v>
      </c>
    </row>
    <row r="460" customFormat="false" ht="15" hidden="false" customHeight="false" outlineLevel="0" collapsed="false">
      <c r="A460" s="6" t="s">
        <v>473</v>
      </c>
      <c r="B460" s="7" t="s">
        <v>24</v>
      </c>
      <c r="C460" s="8" t="n">
        <f aca="false">L460</f>
        <v>46160</v>
      </c>
      <c r="D460" s="9" t="n">
        <v>45579</v>
      </c>
      <c r="E460" s="10" t="n">
        <v>46631</v>
      </c>
      <c r="F460" s="11" t="n">
        <f aca="false">(E460-D460)/7</f>
        <v>150.285714285714</v>
      </c>
      <c r="G460" s="11" t="n">
        <f aca="true">(TODAY()-D460)/7</f>
        <v>84.5714285714286</v>
      </c>
      <c r="H460" s="12" t="n">
        <v>192</v>
      </c>
      <c r="I460" s="12" t="n">
        <v>114</v>
      </c>
      <c r="J460" s="13" t="n">
        <f aca="false">IFERROR(((G460*H460)/F460)-I460,"")</f>
        <v>-5.95437262357393</v>
      </c>
      <c r="K460" s="12" t="str">
        <f aca="false">IF(J460&lt;-10,"MUITO ADIANTADO",IF(J460&lt;-6,"ADIANTADO",IF(J460&lt;6,"EM DIAS",IF(J460&lt;12,"ATRASADO","MUITO ATRASADO"))))</f>
        <v>EM DIAS</v>
      </c>
      <c r="L460" s="9" t="n">
        <v>46160</v>
      </c>
      <c r="M460" s="6" t="n">
        <f aca="true">TODAY()-L460</f>
        <v>11</v>
      </c>
      <c r="N460" s="1" t="str">
        <f aca="false">IF(M460&lt;8,"VERIFICADO",IF(M460&lt;15,"VERIFICAR","VERIFICAR URGENTE"))</f>
        <v>VERIFICAR</v>
      </c>
    </row>
    <row r="461" customFormat="false" ht="15" hidden="false" customHeight="false" outlineLevel="0" collapsed="false">
      <c r="A461" s="6" t="s">
        <v>474</v>
      </c>
      <c r="B461" s="7" t="s">
        <v>15</v>
      </c>
      <c r="C461" s="8" t="n">
        <f aca="false">L461</f>
        <v>46162</v>
      </c>
      <c r="D461" s="9" t="n">
        <v>45973</v>
      </c>
      <c r="E461" s="10" t="n">
        <v>47644</v>
      </c>
      <c r="F461" s="11" t="n">
        <f aca="false">(E461-D461)/7</f>
        <v>238.714285714286</v>
      </c>
      <c r="G461" s="11" t="n">
        <f aca="true">(TODAY()-D461)/7</f>
        <v>28.2857142857143</v>
      </c>
      <c r="H461" s="12" t="n">
        <v>252</v>
      </c>
      <c r="I461" s="12" t="n">
        <v>34</v>
      </c>
      <c r="J461" s="13" t="n">
        <f aca="false">IFERROR(((G461*H461)/F461)-I461,"")</f>
        <v>-4.14003590664277</v>
      </c>
      <c r="K461" s="12" t="str">
        <f aca="false">IF(J461&lt;-10,"MUITO ADIANTADO",IF(J461&lt;-6,"ADIANTADO",IF(J461&lt;6,"EM DIAS",IF(J461&lt;12,"ATRASADO","MUITO ATRASADO"))))</f>
        <v>EM DIAS</v>
      </c>
      <c r="L461" s="9" t="n">
        <v>46162</v>
      </c>
      <c r="M461" s="6" t="n">
        <f aca="true">TODAY()-L461</f>
        <v>9</v>
      </c>
      <c r="N461" s="1" t="str">
        <f aca="false">IF(M461&lt;8,"VERIFICADO",IF(M461&lt;15,"VERIFICAR","VERIFICAR URGENTE"))</f>
        <v>VERIFICAR</v>
      </c>
    </row>
    <row r="462" customFormat="false" ht="15" hidden="false" customHeight="false" outlineLevel="0" collapsed="false">
      <c r="A462" s="6" t="s">
        <v>475</v>
      </c>
      <c r="B462" s="7" t="s">
        <v>24</v>
      </c>
      <c r="C462" s="8" t="n">
        <f aca="false">L462</f>
        <v>46158</v>
      </c>
      <c r="D462" s="9" t="n">
        <v>45905</v>
      </c>
      <c r="E462" s="10" t="n">
        <v>46872</v>
      </c>
      <c r="F462" s="11" t="n">
        <f aca="false">(E462-D462)/7</f>
        <v>138.142857142857</v>
      </c>
      <c r="G462" s="11" t="n">
        <f aca="true">(TODAY()-D462)/7</f>
        <v>38</v>
      </c>
      <c r="H462" s="12" t="n">
        <v>82</v>
      </c>
      <c r="I462" s="12" t="n">
        <v>15</v>
      </c>
      <c r="J462" s="13" t="n">
        <f aca="false">IFERROR(((G462*H462)/F462)-I462,"")</f>
        <v>7.55635987590489</v>
      </c>
      <c r="K462" s="12" t="str">
        <f aca="false">IF(J462&lt;-10,"MUITO ADIANTADO",IF(J462&lt;-6,"ADIANTADO",IF(J462&lt;6,"EM DIAS",IF(J462&lt;12,"ATRASADO","MUITO ATRASADO"))))</f>
        <v>ATRASADO</v>
      </c>
      <c r="L462" s="9" t="n">
        <v>46158</v>
      </c>
      <c r="M462" s="6" t="n">
        <f aca="true">TODAY()-L462</f>
        <v>13</v>
      </c>
      <c r="N462" s="1" t="str">
        <f aca="false">IF(M462&lt;8,"VERIFICADO",IF(M462&lt;15,"VERIFICAR","VERIFICAR URGENTE"))</f>
        <v>VERIFICAR</v>
      </c>
    </row>
    <row r="463" customFormat="false" ht="15" hidden="false" customHeight="false" outlineLevel="0" collapsed="false">
      <c r="A463" s="6" t="s">
        <v>476</v>
      </c>
      <c r="B463" s="6" t="s">
        <v>65</v>
      </c>
      <c r="C463" s="8" t="n">
        <f aca="false">L463</f>
        <v>46165</v>
      </c>
      <c r="D463" s="9" t="n">
        <v>46104</v>
      </c>
      <c r="E463" s="10" t="n">
        <v>46475</v>
      </c>
      <c r="F463" s="11" t="n">
        <f aca="false">(E463-D463)/7</f>
        <v>53</v>
      </c>
      <c r="G463" s="11" t="n">
        <f aca="true">(TODAY()-D463)/7</f>
        <v>9.57142857142857</v>
      </c>
      <c r="H463" s="12" t="n">
        <v>80</v>
      </c>
      <c r="I463" s="12" t="n">
        <v>0</v>
      </c>
      <c r="J463" s="13" t="n">
        <f aca="false">IFERROR(((G463*H463)/F463)-I463,"")</f>
        <v>14.4474393530997</v>
      </c>
      <c r="K463" s="12" t="str">
        <f aca="false">IF(J463&lt;-10,"MUITO ADIANTADO",IF(J463&lt;-6,"ADIANTADO",IF(J463&lt;6,"EM DIAS",IF(J463&lt;12,"ATRASADO","MUITO ATRASADO"))))</f>
        <v>MUITO ATRASADO</v>
      </c>
      <c r="L463" s="9" t="n">
        <v>46165</v>
      </c>
      <c r="M463" s="6" t="n">
        <f aca="true">TODAY()-L463</f>
        <v>6</v>
      </c>
      <c r="N463" s="1" t="str">
        <f aca="false">IF(M463&lt;8,"VERIFICADO",IF(M463&lt;15,"VERIFICAR","VERIFICAR URGENTE"))</f>
        <v>VERIFICADO</v>
      </c>
    </row>
    <row r="464" customFormat="false" ht="15" hidden="false" customHeight="false" outlineLevel="0" collapsed="false">
      <c r="A464" s="6" t="s">
        <v>477</v>
      </c>
      <c r="B464" s="7" t="s">
        <v>22</v>
      </c>
      <c r="C464" s="8" t="n">
        <f aca="false">L464</f>
        <v>46165</v>
      </c>
      <c r="D464" s="9" t="n">
        <v>45965</v>
      </c>
      <c r="E464" s="10" t="n">
        <v>46985</v>
      </c>
      <c r="F464" s="11" t="n">
        <f aca="false">(E464-D464)/7</f>
        <v>145.714285714286</v>
      </c>
      <c r="G464" s="11" t="n">
        <f aca="true">(TODAY()-D464)/7</f>
        <v>29.4285714285714</v>
      </c>
      <c r="H464" s="12" t="n">
        <v>144</v>
      </c>
      <c r="I464" s="12" t="n">
        <v>22</v>
      </c>
      <c r="J464" s="13" t="n">
        <f aca="false">IFERROR(((G464*H464)/F464)-I464,"")</f>
        <v>7.08235294117641</v>
      </c>
      <c r="K464" s="12" t="str">
        <f aca="false">IF(J464&lt;-10,"MUITO ADIANTADO",IF(J464&lt;-6,"ADIANTADO",IF(J464&lt;6,"EM DIAS",IF(J464&lt;12,"ATRASADO","MUITO ATRASADO"))))</f>
        <v>ATRASADO</v>
      </c>
      <c r="L464" s="9" t="n">
        <v>46165</v>
      </c>
      <c r="M464" s="6" t="n">
        <f aca="true">TODAY()-L464</f>
        <v>6</v>
      </c>
      <c r="N464" s="1" t="str">
        <f aca="false">IF(M464&lt;8,"VERIFICADO",IF(M464&lt;15,"VERIFICAR","VERIFICAR URGENTE"))</f>
        <v>VERIFICADO</v>
      </c>
    </row>
    <row r="465" customFormat="false" ht="15" hidden="false" customHeight="false" outlineLevel="0" collapsed="false">
      <c r="A465" s="6" t="s">
        <v>478</v>
      </c>
      <c r="B465" s="7" t="s">
        <v>17</v>
      </c>
      <c r="C465" s="8" t="n">
        <f aca="false">L465</f>
        <v>46163</v>
      </c>
      <c r="D465" s="9" t="n">
        <v>45848</v>
      </c>
      <c r="E465" s="10" t="n">
        <v>47128</v>
      </c>
      <c r="F465" s="11" t="n">
        <f aca="false">(E465-D465)/7</f>
        <v>182.857142857143</v>
      </c>
      <c r="G465" s="11" t="n">
        <f aca="true">(TODAY()-D465)/7</f>
        <v>46.1428571428571</v>
      </c>
      <c r="H465" s="12" t="n">
        <v>208</v>
      </c>
      <c r="I465" s="12" t="n">
        <v>31</v>
      </c>
      <c r="J465" s="13" t="n">
        <f aca="false">IFERROR(((G465*H465)/F465)-I465,"")</f>
        <v>21.4875</v>
      </c>
      <c r="K465" s="12" t="str">
        <f aca="false">IF(J465&lt;-10,"MUITO ADIANTADO",IF(J465&lt;-6,"ADIANTADO",IF(J465&lt;6,"EM DIAS",IF(J465&lt;12,"ATRASADO","MUITO ATRASADO"))))</f>
        <v>MUITO ATRASADO</v>
      </c>
      <c r="L465" s="9" t="n">
        <v>46163</v>
      </c>
      <c r="M465" s="6" t="n">
        <f aca="true">TODAY()-L465</f>
        <v>8</v>
      </c>
      <c r="N465" s="1" t="str">
        <f aca="false">IF(M465&lt;8,"VERIFICADO",IF(M465&lt;15,"VERIFICAR","VERIFICAR URGENTE"))</f>
        <v>VERIFICAR</v>
      </c>
    </row>
    <row r="466" customFormat="false" ht="15" hidden="false" customHeight="false" outlineLevel="0" collapsed="false">
      <c r="A466" s="6" t="s">
        <v>479</v>
      </c>
      <c r="B466" s="7" t="s">
        <v>17</v>
      </c>
      <c r="C466" s="8" t="n">
        <f aca="false">L466</f>
        <v>46160</v>
      </c>
      <c r="D466" s="9" t="n">
        <v>45623</v>
      </c>
      <c r="E466" s="10" t="n">
        <v>46844</v>
      </c>
      <c r="F466" s="11" t="n">
        <f aca="false">(E466-D466)/7</f>
        <v>174.428571428571</v>
      </c>
      <c r="G466" s="11" t="n">
        <f aca="true">(TODAY()-D466)/7</f>
        <v>78.2857142857143</v>
      </c>
      <c r="H466" s="12" t="n">
        <v>208</v>
      </c>
      <c r="I466" s="12" t="n">
        <v>94</v>
      </c>
      <c r="J466" s="13" t="n">
        <f aca="false">IFERROR(((G466*H466)/F466)-I466,"")</f>
        <v>-0.647010647010404</v>
      </c>
      <c r="K466" s="12" t="str">
        <f aca="false">IF(J466&lt;-10,"MUITO ADIANTADO",IF(J466&lt;-6,"ADIANTADO",IF(J466&lt;6,"EM DIAS",IF(J466&lt;12,"ATRASADO","MUITO ATRASADO"))))</f>
        <v>EM DIAS</v>
      </c>
      <c r="L466" s="9" t="n">
        <v>46160</v>
      </c>
      <c r="M466" s="6" t="n">
        <f aca="true">TODAY()-L466</f>
        <v>11</v>
      </c>
      <c r="N466" s="1" t="str">
        <f aca="false">IF(M466&lt;8,"VERIFICADO",IF(M466&lt;15,"VERIFICAR","VERIFICAR URGENTE"))</f>
        <v>VERIFICAR</v>
      </c>
    </row>
    <row r="467" customFormat="false" ht="15" hidden="false" customHeight="false" outlineLevel="0" collapsed="false">
      <c r="A467" s="6" t="s">
        <v>480</v>
      </c>
      <c r="B467" s="7" t="s">
        <v>17</v>
      </c>
      <c r="C467" s="8" t="n">
        <f aca="false">L467</f>
        <v>46160</v>
      </c>
      <c r="D467" s="9" t="n">
        <v>45945</v>
      </c>
      <c r="E467" s="10" t="n">
        <v>46305</v>
      </c>
      <c r="F467" s="11" t="n">
        <f aca="false">(E467-D467)/7</f>
        <v>51.4285714285714</v>
      </c>
      <c r="G467" s="11" t="n">
        <f aca="true">(TODAY()-D467)/7</f>
        <v>32.2857142857143</v>
      </c>
      <c r="H467" s="12" t="n">
        <v>48</v>
      </c>
      <c r="I467" s="12" t="n">
        <v>34</v>
      </c>
      <c r="J467" s="13" t="n">
        <f aca="false">IFERROR(((G467*H467)/F467)-I467,"")</f>
        <v>-3.86666666666665</v>
      </c>
      <c r="K467" s="12" t="str">
        <f aca="false">IF(J467&lt;-10,"MUITO ADIANTADO",IF(J467&lt;-6,"ADIANTADO",IF(J467&lt;6,"EM DIAS",IF(J467&lt;12,"ATRASADO","MUITO ATRASADO"))))</f>
        <v>EM DIAS</v>
      </c>
      <c r="L467" s="9" t="n">
        <v>46160</v>
      </c>
      <c r="M467" s="6" t="n">
        <f aca="true">TODAY()-L467</f>
        <v>11</v>
      </c>
      <c r="N467" s="1" t="str">
        <f aca="false">IF(M467&lt;8,"VERIFICADO",IF(M467&lt;15,"VERIFICAR","VERIFICAR URGENTE"))</f>
        <v>VERIFICAR</v>
      </c>
    </row>
    <row r="468" customFormat="false" ht="15" hidden="false" customHeight="false" outlineLevel="0" collapsed="false">
      <c r="A468" s="6" t="s">
        <v>481</v>
      </c>
      <c r="B468" s="7" t="s">
        <v>15</v>
      </c>
      <c r="C468" s="8" t="n">
        <f aca="false">L468</f>
        <v>46164</v>
      </c>
      <c r="D468" s="9" t="n">
        <v>45300</v>
      </c>
      <c r="E468" s="10" t="n">
        <v>46231</v>
      </c>
      <c r="F468" s="11" t="n">
        <f aca="false">(E468-D468)/7</f>
        <v>133</v>
      </c>
      <c r="G468" s="11" t="n">
        <f aca="true">(TODAY()-D468)/7</f>
        <v>124.428571428571</v>
      </c>
      <c r="H468" s="12" t="n">
        <v>192</v>
      </c>
      <c r="I468" s="12" t="n">
        <v>182</v>
      </c>
      <c r="J468" s="13" t="n">
        <f aca="false">IFERROR(((G468*H468)/F468)-I468,"")</f>
        <v>-2.37379162191192</v>
      </c>
      <c r="K468" s="12" t="str">
        <f aca="false">IF(J468&lt;-10,"MUITO ADIANTADO",IF(J468&lt;-6,"ADIANTADO",IF(J468&lt;6,"EM DIAS",IF(J468&lt;12,"ATRASADO","MUITO ATRASADO"))))</f>
        <v>EM DIAS</v>
      </c>
      <c r="L468" s="9" t="n">
        <v>46164</v>
      </c>
      <c r="M468" s="6" t="n">
        <f aca="true">TODAY()-L468</f>
        <v>7</v>
      </c>
      <c r="N468" s="1" t="str">
        <f aca="false">IF(M468&lt;8,"VERIFICADO",IF(M468&lt;15,"VERIFICAR","VERIFICAR URGENTE"))</f>
        <v>VERIFICADO</v>
      </c>
    </row>
    <row r="469" customFormat="false" ht="15" hidden="false" customHeight="false" outlineLevel="0" collapsed="false">
      <c r="A469" s="6" t="s">
        <v>482</v>
      </c>
      <c r="B469" s="7" t="s">
        <v>22</v>
      </c>
      <c r="C469" s="8" t="n">
        <f aca="false">L469</f>
        <v>46162</v>
      </c>
      <c r="D469" s="9" t="n">
        <v>45775</v>
      </c>
      <c r="E469" s="10" t="n">
        <v>46349</v>
      </c>
      <c r="F469" s="11" t="n">
        <f aca="false">(E469-D469)/7</f>
        <v>82</v>
      </c>
      <c r="G469" s="11" t="n">
        <f aca="true">(TODAY()-D469)/7</f>
        <v>56.5714285714286</v>
      </c>
      <c r="H469" s="12" t="n">
        <v>112</v>
      </c>
      <c r="I469" s="12" t="n">
        <v>67</v>
      </c>
      <c r="J469" s="13" t="n">
        <f aca="false">IFERROR(((G469*H469)/F469)-I469,"")</f>
        <v>10.2682926829268</v>
      </c>
      <c r="K469" s="12" t="str">
        <f aca="false">IF(J469&lt;-10,"MUITO ADIANTADO",IF(J469&lt;-6,"ADIANTADO",IF(J469&lt;6,"EM DIAS",IF(J469&lt;12,"ATRASADO","MUITO ATRASADO"))))</f>
        <v>ATRASADO</v>
      </c>
      <c r="L469" s="9" t="n">
        <v>46162</v>
      </c>
      <c r="M469" s="6" t="n">
        <f aca="true">TODAY()-L469</f>
        <v>9</v>
      </c>
      <c r="N469" s="1" t="str">
        <f aca="false">IF(M469&lt;8,"VERIFICADO",IF(M469&lt;15,"VERIFICAR","VERIFICAR URGENTE"))</f>
        <v>VERIFICAR</v>
      </c>
    </row>
    <row r="470" customFormat="false" ht="15" hidden="false" customHeight="false" outlineLevel="0" collapsed="false">
      <c r="A470" s="6" t="s">
        <v>483</v>
      </c>
      <c r="B470" s="7" t="s">
        <v>22</v>
      </c>
      <c r="C470" s="8" t="n">
        <f aca="false">L470</f>
        <v>46160</v>
      </c>
      <c r="D470" s="9" t="n">
        <v>45635</v>
      </c>
      <c r="E470" s="10" t="n">
        <v>47381</v>
      </c>
      <c r="F470" s="11" t="n">
        <f aca="false">(E470-D470)/7</f>
        <v>249.428571428571</v>
      </c>
      <c r="G470" s="11" t="n">
        <f aca="true">(TODAY()-D470)/7</f>
        <v>76.5714285714286</v>
      </c>
      <c r="H470" s="12" t="n">
        <v>272</v>
      </c>
      <c r="I470" s="12" t="n">
        <v>68</v>
      </c>
      <c r="J470" s="13" t="n">
        <f aca="false">IFERROR(((G470*H470)/F470)-I470,"")</f>
        <v>15.5005727376863</v>
      </c>
      <c r="K470" s="12" t="str">
        <f aca="false">IF(J470&lt;-10,"MUITO ADIANTADO",IF(J470&lt;-6,"ADIANTADO",IF(J470&lt;6,"EM DIAS",IF(J470&lt;12,"ATRASADO","MUITO ATRASADO"))))</f>
        <v>MUITO ATRASADO</v>
      </c>
      <c r="L470" s="9" t="n">
        <v>46160</v>
      </c>
      <c r="M470" s="6" t="n">
        <f aca="true">TODAY()-L470</f>
        <v>11</v>
      </c>
      <c r="N470" s="1" t="str">
        <f aca="false">IF(M470&lt;8,"VERIFICADO",IF(M470&lt;15,"VERIFICAR","VERIFICAR URGENTE"))</f>
        <v>VERIFICAR</v>
      </c>
    </row>
    <row r="471" customFormat="false" ht="15" hidden="false" customHeight="false" outlineLevel="0" collapsed="false">
      <c r="A471" s="6" t="s">
        <v>484</v>
      </c>
      <c r="B471" s="7" t="s">
        <v>22</v>
      </c>
      <c r="C471" s="8" t="n">
        <f aca="false">L471</f>
        <v>46164</v>
      </c>
      <c r="D471" s="9" t="n">
        <v>45755</v>
      </c>
      <c r="E471" s="10" t="n">
        <v>46753</v>
      </c>
      <c r="F471" s="11" t="n">
        <f aca="false">(E471-D471)/7</f>
        <v>142.571428571429</v>
      </c>
      <c r="G471" s="11" t="n">
        <f aca="true">(TODAY()-D471)/7</f>
        <v>59.4285714285714</v>
      </c>
      <c r="H471" s="12" t="n">
        <v>176</v>
      </c>
      <c r="I471" s="12" t="n">
        <v>74</v>
      </c>
      <c r="J471" s="13" t="n">
        <f aca="false">IFERROR(((G471*H471)/F471)-I471,"")</f>
        <v>-0.637274549098422</v>
      </c>
      <c r="K471" s="12" t="str">
        <f aca="false">IF(J471&lt;-10,"MUITO ADIANTADO",IF(J471&lt;-6,"ADIANTADO",IF(J471&lt;6,"EM DIAS",IF(J471&lt;12,"ATRASADO","MUITO ATRASADO"))))</f>
        <v>EM DIAS</v>
      </c>
      <c r="L471" s="9" t="n">
        <v>46164</v>
      </c>
      <c r="M471" s="6" t="n">
        <f aca="true">TODAY()-L471</f>
        <v>7</v>
      </c>
      <c r="N471" s="1" t="str">
        <f aca="false">IF(M471&lt;8,"VERIFICADO",IF(M471&lt;15,"VERIFICAR","VERIFICAR URGENTE"))</f>
        <v>VERIFICADO</v>
      </c>
    </row>
    <row r="472" customFormat="false" ht="15" hidden="false" customHeight="false" outlineLevel="0" collapsed="false">
      <c r="A472" s="6" t="s">
        <v>485</v>
      </c>
      <c r="B472" s="7" t="s">
        <v>15</v>
      </c>
      <c r="C472" s="8" t="n">
        <f aca="false">L472</f>
        <v>46165</v>
      </c>
      <c r="D472" s="9" t="n">
        <v>45706</v>
      </c>
      <c r="E472" s="10" t="n">
        <v>46294</v>
      </c>
      <c r="F472" s="11" t="n">
        <f aca="false">(E472-D472)/7</f>
        <v>84</v>
      </c>
      <c r="G472" s="11" t="n">
        <f aca="true">(TODAY()-D472)/7</f>
        <v>66.4285714285714</v>
      </c>
      <c r="H472" s="12" t="n">
        <v>80</v>
      </c>
      <c r="I472" s="12" t="n">
        <v>61</v>
      </c>
      <c r="J472" s="13" t="n">
        <f aca="false">IFERROR(((G472*H472)/F472)-I472,"")</f>
        <v>2.26530612244898</v>
      </c>
      <c r="K472" s="12" t="str">
        <f aca="false">IF(J472&lt;-10,"MUITO ADIANTADO",IF(J472&lt;-6,"ADIANTADO",IF(J472&lt;6,"EM DIAS",IF(J472&lt;12,"ATRASADO","MUITO ATRASADO"))))</f>
        <v>EM DIAS</v>
      </c>
      <c r="L472" s="9" t="n">
        <v>46165</v>
      </c>
      <c r="M472" s="6" t="n">
        <f aca="true">TODAY()-L472</f>
        <v>6</v>
      </c>
      <c r="N472" s="1" t="str">
        <f aca="false">IF(M472&lt;8,"VERIFICADO",IF(M472&lt;15,"VERIFICAR","VERIFICAR URGENTE"))</f>
        <v>VERIFICADO</v>
      </c>
    </row>
    <row r="473" customFormat="false" ht="15" hidden="false" customHeight="false" outlineLevel="0" collapsed="false">
      <c r="A473" s="6" t="s">
        <v>486</v>
      </c>
      <c r="B473" s="7" t="s">
        <v>22</v>
      </c>
      <c r="C473" s="8" t="n">
        <f aca="false">L473</f>
        <v>46160</v>
      </c>
      <c r="D473" s="9" t="n">
        <v>45916</v>
      </c>
      <c r="E473" s="10" t="n">
        <v>46413</v>
      </c>
      <c r="F473" s="11" t="n">
        <f aca="false">(E473-D473)/7</f>
        <v>71</v>
      </c>
      <c r="G473" s="11" t="n">
        <f aca="true">(TODAY()-D473)/7</f>
        <v>36.4285714285714</v>
      </c>
      <c r="H473" s="12" t="n">
        <v>64</v>
      </c>
      <c r="I473" s="12" t="n">
        <v>40</v>
      </c>
      <c r="J473" s="13" t="n">
        <f aca="false">IFERROR(((G473*H473)/F473)-I473,"")</f>
        <v>-7.16297786720322</v>
      </c>
      <c r="K473" s="12" t="str">
        <f aca="false">IF(J473&lt;-10,"MUITO ADIANTADO",IF(J473&lt;-6,"ADIANTADO",IF(J473&lt;6,"EM DIAS",IF(J473&lt;12,"ATRASADO","MUITO ATRASADO"))))</f>
        <v>ADIANTADO</v>
      </c>
      <c r="L473" s="9" t="n">
        <v>46160</v>
      </c>
      <c r="M473" s="6" t="n">
        <f aca="true">TODAY()-L473</f>
        <v>11</v>
      </c>
      <c r="N473" s="1" t="str">
        <f aca="false">IF(M473&lt;8,"VERIFICADO",IF(M473&lt;15,"VERIFICAR","VERIFICAR URGENTE"))</f>
        <v>VERIFICAR</v>
      </c>
    </row>
    <row r="474" customFormat="false" ht="15" hidden="false" customHeight="false" outlineLevel="0" collapsed="false">
      <c r="A474" s="6" t="s">
        <v>487</v>
      </c>
      <c r="B474" s="7" t="s">
        <v>15</v>
      </c>
      <c r="C474" s="8" t="n">
        <f aca="false">L474</f>
        <v>46162</v>
      </c>
      <c r="D474" s="9" t="n">
        <v>45713</v>
      </c>
      <c r="E474" s="10" t="n">
        <v>47169</v>
      </c>
      <c r="F474" s="11" t="n">
        <f aca="false">(E474-D474)/7</f>
        <v>208</v>
      </c>
      <c r="G474" s="11" t="n">
        <f aca="true">(TODAY()-D474)/7</f>
        <v>65.4285714285714</v>
      </c>
      <c r="H474" s="12" t="n">
        <v>204</v>
      </c>
      <c r="I474" s="12" t="n">
        <v>60</v>
      </c>
      <c r="J474" s="13" t="n">
        <f aca="false">IFERROR(((G474*H474)/F474)-I474,"")</f>
        <v>4.17032967032968</v>
      </c>
      <c r="K474" s="12" t="str">
        <f aca="false">IF(J474&lt;-10,"MUITO ADIANTADO",IF(J474&lt;-6,"ADIANTADO",IF(J474&lt;6,"EM DIAS",IF(J474&lt;12,"ATRASADO","MUITO ATRASADO"))))</f>
        <v>EM DIAS</v>
      </c>
      <c r="L474" s="9" t="n">
        <v>46162</v>
      </c>
      <c r="M474" s="6" t="n">
        <f aca="true">TODAY()-L474</f>
        <v>9</v>
      </c>
      <c r="N474" s="1" t="str">
        <f aca="false">IF(M474&lt;8,"VERIFICADO",IF(M474&lt;15,"VERIFICAR","VERIFICAR URGENTE"))</f>
        <v>VERIFICAR</v>
      </c>
    </row>
    <row r="475" customFormat="false" ht="15" hidden="false" customHeight="false" outlineLevel="0" collapsed="false">
      <c r="A475" s="6" t="s">
        <v>488</v>
      </c>
      <c r="B475" s="7" t="s">
        <v>19</v>
      </c>
      <c r="C475" s="8" t="n">
        <f aca="false">L475</f>
        <v>46161</v>
      </c>
      <c r="D475" s="9" t="n">
        <v>45430</v>
      </c>
      <c r="E475" s="10" t="n">
        <v>46325</v>
      </c>
      <c r="F475" s="11" t="n">
        <f aca="false">(E475-D475)/7</f>
        <v>127.857142857143</v>
      </c>
      <c r="G475" s="11" t="n">
        <f aca="true">(TODAY()-D475)/7</f>
        <v>105.857142857143</v>
      </c>
      <c r="H475" s="12" t="n">
        <v>116</v>
      </c>
      <c r="I475" s="12" t="n">
        <v>87</v>
      </c>
      <c r="J475" s="13" t="n">
        <f aca="false">IFERROR(((G475*H475)/F475)-I475,"")</f>
        <v>9.04022346368706</v>
      </c>
      <c r="K475" s="12" t="str">
        <f aca="false">IF(J475&lt;-10,"MUITO ADIANTADO",IF(J475&lt;-6,"ADIANTADO",IF(J475&lt;6,"EM DIAS",IF(J475&lt;12,"ATRASADO","MUITO ATRASADO"))))</f>
        <v>ATRASADO</v>
      </c>
      <c r="L475" s="9" t="n">
        <v>46161</v>
      </c>
      <c r="M475" s="6" t="n">
        <f aca="true">TODAY()-L475</f>
        <v>10</v>
      </c>
      <c r="N475" s="1" t="str">
        <f aca="false">IF(M475&lt;8,"VERIFICADO",IF(M475&lt;15,"VERIFICAR","VERIFICAR URGENTE"))</f>
        <v>VERIFICAR</v>
      </c>
    </row>
    <row r="476" customFormat="false" ht="15" hidden="false" customHeight="false" outlineLevel="0" collapsed="false">
      <c r="A476" s="6" t="s">
        <v>489</v>
      </c>
      <c r="B476" s="7" t="s">
        <v>65</v>
      </c>
      <c r="C476" s="8" t="n">
        <f aca="false">L476</f>
        <v>46177</v>
      </c>
      <c r="D476" s="9" t="n">
        <v>46088</v>
      </c>
      <c r="E476" s="10" t="n">
        <v>46522</v>
      </c>
      <c r="F476" s="11" t="n">
        <f aca="false">(E476-D476)/7</f>
        <v>62</v>
      </c>
      <c r="G476" s="11" t="n">
        <f aca="true">(TODAY()-D476)/7</f>
        <v>11.8571428571429</v>
      </c>
      <c r="H476" s="12" t="n">
        <v>100</v>
      </c>
      <c r="I476" s="12" t="n">
        <v>5</v>
      </c>
      <c r="J476" s="13" t="n">
        <f aca="false">IFERROR(((G476*H476)/F476)-I476,"")</f>
        <v>14.1244239631336</v>
      </c>
      <c r="K476" s="12" t="str">
        <f aca="false">IF(J476&lt;-10,"MUITO ADIANTADO",IF(J476&lt;-6,"ADIANTADO",IF(J476&lt;6,"EM DIAS",IF(J476&lt;12,"ATRASADO","MUITO ATRASADO"))))</f>
        <v>MUITO ATRASADO</v>
      </c>
      <c r="L476" s="9" t="n">
        <v>46177</v>
      </c>
      <c r="M476" s="6" t="n">
        <f aca="true">TODAY()-L476</f>
        <v>-6</v>
      </c>
      <c r="N476" s="1" t="str">
        <f aca="false">IF(M476&lt;8,"VERIFICADO",IF(M476&lt;15,"VERIFICAR","VERIFICAR URGENTE"))</f>
        <v>VERIFICADO</v>
      </c>
    </row>
    <row r="477" customFormat="false" ht="15" hidden="false" customHeight="false" outlineLevel="0" collapsed="false">
      <c r="A477" s="6" t="s">
        <v>490</v>
      </c>
      <c r="B477" s="7" t="s">
        <v>15</v>
      </c>
      <c r="C477" s="8" t="n">
        <f aca="false">L477</f>
        <v>46164</v>
      </c>
      <c r="D477" s="9" t="n">
        <v>45348</v>
      </c>
      <c r="E477" s="10" t="n">
        <v>46203</v>
      </c>
      <c r="F477" s="11" t="n">
        <f aca="false">(E477-D477)/7</f>
        <v>122.142857142857</v>
      </c>
      <c r="G477" s="11" t="n">
        <f aca="true">(TODAY()-D477)/7</f>
        <v>117.571428571429</v>
      </c>
      <c r="H477" s="12" t="n">
        <v>176</v>
      </c>
      <c r="I477" s="12" t="n">
        <v>156</v>
      </c>
      <c r="J477" s="13" t="n">
        <f aca="false">IFERROR(((G477*H477)/F477)-I477,"")</f>
        <v>13.4128654970762</v>
      </c>
      <c r="K477" s="12" t="str">
        <f aca="false">IF(J477&lt;-10,"MUITO ADIANTADO",IF(J477&lt;-6,"ADIANTADO",IF(J477&lt;6,"EM DIAS",IF(J477&lt;12,"ATRASADO","MUITO ATRASADO"))))</f>
        <v>MUITO ATRASADO</v>
      </c>
      <c r="L477" s="9" t="n">
        <v>46164</v>
      </c>
      <c r="M477" s="6" t="n">
        <f aca="true">TODAY()-L477</f>
        <v>7</v>
      </c>
      <c r="N477" s="1" t="str">
        <f aca="false">IF(M477&lt;8,"VERIFICADO",IF(M477&lt;15,"VERIFICAR","VERIFICAR URGENTE"))</f>
        <v>VERIFICADO</v>
      </c>
    </row>
    <row r="478" customFormat="false" ht="15" hidden="false" customHeight="false" outlineLevel="0" collapsed="false">
      <c r="A478" s="6" t="s">
        <v>491</v>
      </c>
      <c r="B478" s="7" t="s">
        <v>24</v>
      </c>
      <c r="C478" s="8" t="n">
        <f aca="false">L478</f>
        <v>46158</v>
      </c>
      <c r="D478" s="9" t="n">
        <v>46032</v>
      </c>
      <c r="E478" s="10" t="n">
        <v>46548</v>
      </c>
      <c r="F478" s="11" t="n">
        <f aca="false">(E478-D478)/7</f>
        <v>73.7142857142857</v>
      </c>
      <c r="G478" s="11" t="n">
        <f aca="true">(TODAY()-D478)/7</f>
        <v>19.8571428571429</v>
      </c>
      <c r="H478" s="12" t="n">
        <v>80</v>
      </c>
      <c r="I478" s="12" t="n">
        <v>23</v>
      </c>
      <c r="J478" s="13" t="n">
        <f aca="false">IFERROR(((G478*H478)/F478)-I478,"")</f>
        <v>-1.44961240310077</v>
      </c>
      <c r="K478" s="12" t="str">
        <f aca="false">IF(J478&lt;-10,"MUITO ADIANTADO",IF(J478&lt;-6,"ADIANTADO",IF(J478&lt;6,"EM DIAS",IF(J478&lt;12,"ATRASADO","MUITO ATRASADO"))))</f>
        <v>EM DIAS</v>
      </c>
      <c r="L478" s="9" t="n">
        <v>46158</v>
      </c>
      <c r="M478" s="6" t="n">
        <f aca="true">TODAY()-L478</f>
        <v>13</v>
      </c>
      <c r="N478" s="1" t="str">
        <f aca="false">IF(M478&lt;8,"VERIFICADO",IF(M478&lt;15,"VERIFICAR","VERIFICAR URGENTE"))</f>
        <v>VERIFICAR</v>
      </c>
    </row>
    <row r="479" customFormat="false" ht="15" hidden="false" customHeight="false" outlineLevel="0" collapsed="false">
      <c r="A479" s="7" t="s">
        <v>492</v>
      </c>
      <c r="B479" s="7" t="s">
        <v>19</v>
      </c>
      <c r="C479" s="8" t="n">
        <f aca="false">L479</f>
        <v>46170</v>
      </c>
      <c r="D479" s="9" t="n">
        <v>45552</v>
      </c>
      <c r="E479" s="10" t="n">
        <v>46478</v>
      </c>
      <c r="F479" s="11" t="n">
        <f aca="false">(E479-D479)/7</f>
        <v>132.285714285714</v>
      </c>
      <c r="G479" s="11" t="n">
        <f aca="true">(TODAY()-D479)/7</f>
        <v>88.4285714285714</v>
      </c>
      <c r="H479" s="12" t="n">
        <v>160</v>
      </c>
      <c r="I479" s="12" t="n">
        <v>67</v>
      </c>
      <c r="J479" s="13" t="n">
        <f aca="false">IFERROR(((G479*H479)/F479)-I479,"")</f>
        <v>39.95464362851</v>
      </c>
      <c r="K479" s="12" t="str">
        <f aca="false">IF(J479&lt;-10,"MUITO ADIANTADO",IF(J479&lt;-6,"ADIANTADO",IF(J479&lt;6,"EM DIAS",IF(J479&lt;12,"ATRASADO","MUITO ATRASADO"))))</f>
        <v>MUITO ATRASADO</v>
      </c>
      <c r="L479" s="9" t="n">
        <v>46170</v>
      </c>
      <c r="M479" s="6" t="n">
        <f aca="true">TODAY()-L479</f>
        <v>1</v>
      </c>
      <c r="N479" s="1" t="str">
        <f aca="false">IF(M479&lt;8,"VERIFICADO",IF(M479&lt;15,"VERIFICAR","VERIFICAR URGENTE"))</f>
        <v>VERIFICADO</v>
      </c>
    </row>
    <row r="480" customFormat="false" ht="15" hidden="false" customHeight="false" outlineLevel="0" collapsed="false">
      <c r="A480" s="6" t="s">
        <v>493</v>
      </c>
      <c r="B480" s="7" t="s">
        <v>22</v>
      </c>
      <c r="C480" s="8" t="n">
        <f aca="false">L480</f>
        <v>46164</v>
      </c>
      <c r="D480" s="9" t="n">
        <v>45861</v>
      </c>
      <c r="E480" s="10" t="n">
        <v>46442</v>
      </c>
      <c r="F480" s="11" t="n">
        <f aca="false">(E480-D480)/7</f>
        <v>83</v>
      </c>
      <c r="G480" s="11" t="n">
        <f aca="true">(TODAY()-D480)/7</f>
        <v>44.2857142857143</v>
      </c>
      <c r="H480" s="12" t="n">
        <v>112</v>
      </c>
      <c r="I480" s="12" t="n">
        <v>53</v>
      </c>
      <c r="J480" s="13" t="n">
        <f aca="false">IFERROR(((G480*H480)/F480)-I480,"")</f>
        <v>6.75903614457831</v>
      </c>
      <c r="K480" s="12" t="str">
        <f aca="false">IF(J480&lt;-10,"MUITO ADIANTADO",IF(J480&lt;-6,"ADIANTADO",IF(J480&lt;6,"EM DIAS",IF(J480&lt;12,"ATRASADO","MUITO ATRASADO"))))</f>
        <v>ATRASADO</v>
      </c>
      <c r="L480" s="9" t="n">
        <v>46164</v>
      </c>
      <c r="M480" s="6" t="n">
        <f aca="true">TODAY()-L480</f>
        <v>7</v>
      </c>
      <c r="N480" s="1" t="str">
        <f aca="false">IF(M480&lt;8,"VERIFICADO",IF(M480&lt;15,"VERIFICAR","VERIFICAR URGENTE"))</f>
        <v>VERIFICADO</v>
      </c>
    </row>
    <row r="481" customFormat="false" ht="15" hidden="false" customHeight="false" outlineLevel="0" collapsed="false">
      <c r="A481" s="6" t="s">
        <v>494</v>
      </c>
      <c r="B481" s="7" t="s">
        <v>17</v>
      </c>
      <c r="C481" s="8" t="n">
        <f aca="false">L481</f>
        <v>46157</v>
      </c>
      <c r="D481" s="9" t="n">
        <v>45982</v>
      </c>
      <c r="E481" s="10" t="n">
        <v>46619</v>
      </c>
      <c r="F481" s="11" t="n">
        <f aca="false">(E481-D481)/7</f>
        <v>91</v>
      </c>
      <c r="G481" s="11" t="n">
        <f aca="true">(TODAY()-D481)/7</f>
        <v>27</v>
      </c>
      <c r="H481" s="12" t="n">
        <v>96</v>
      </c>
      <c r="I481" s="12" t="n">
        <v>32</v>
      </c>
      <c r="J481" s="13" t="n">
        <f aca="false">IFERROR(((G481*H481)/F481)-I481,"")</f>
        <v>-3.51648351648352</v>
      </c>
      <c r="K481" s="12" t="str">
        <f aca="false">IF(J481&lt;-10,"MUITO ADIANTADO",IF(J481&lt;-6,"ADIANTADO",IF(J481&lt;6,"EM DIAS",IF(J481&lt;12,"ATRASADO","MUITO ATRASADO"))))</f>
        <v>EM DIAS</v>
      </c>
      <c r="L481" s="9" t="n">
        <v>46157</v>
      </c>
      <c r="M481" s="6" t="n">
        <f aca="true">TODAY()-L481</f>
        <v>14</v>
      </c>
      <c r="N481" s="1" t="str">
        <f aca="false">IF(M481&lt;8,"VERIFICADO",IF(M481&lt;15,"VERIFICAR","VERIFICAR URGENTE"))</f>
        <v>VERIFICAR</v>
      </c>
    </row>
    <row r="482" customFormat="false" ht="15" hidden="false" customHeight="false" outlineLevel="0" collapsed="false">
      <c r="A482" s="6" t="s">
        <v>495</v>
      </c>
      <c r="B482" s="7" t="s">
        <v>24</v>
      </c>
      <c r="C482" s="8" t="n">
        <f aca="false">L482</f>
        <v>46158</v>
      </c>
      <c r="D482" s="9" t="n">
        <v>46088</v>
      </c>
      <c r="E482" s="10" t="n">
        <v>46425</v>
      </c>
      <c r="F482" s="11" t="n">
        <f aca="false">(E482-D482)/7</f>
        <v>48.1428571428571</v>
      </c>
      <c r="G482" s="11" t="n">
        <f aca="true">(TODAY()-D482)/7</f>
        <v>11.8571428571429</v>
      </c>
      <c r="H482" s="12" t="n">
        <v>48</v>
      </c>
      <c r="I482" s="12" t="n">
        <v>20</v>
      </c>
      <c r="J482" s="13" t="n">
        <f aca="false">IFERROR(((G482*H482)/F482)-I482,"")</f>
        <v>-8.1780415430267</v>
      </c>
      <c r="K482" s="12" t="str">
        <f aca="false">IF(J482&lt;-10,"MUITO ADIANTADO",IF(J482&lt;-6,"ADIANTADO",IF(J482&lt;6,"EM DIAS",IF(J482&lt;12,"ATRASADO","MUITO ATRASADO"))))</f>
        <v>ADIANTADO</v>
      </c>
      <c r="L482" s="9" t="n">
        <v>46158</v>
      </c>
      <c r="M482" s="6" t="n">
        <f aca="true">TODAY()-L482</f>
        <v>13</v>
      </c>
      <c r="N482" s="1" t="str">
        <f aca="false">IF(M482&lt;8,"VERIFICADO",IF(M482&lt;15,"VERIFICAR","VERIFICAR URGENTE"))</f>
        <v>VERIFICAR</v>
      </c>
    </row>
    <row r="483" customFormat="false" ht="15" hidden="false" customHeight="false" outlineLevel="0" collapsed="false">
      <c r="A483" s="6" t="s">
        <v>496</v>
      </c>
      <c r="B483" s="7" t="s">
        <v>19</v>
      </c>
      <c r="C483" s="8" t="n">
        <f aca="false">L483</f>
        <v>46276</v>
      </c>
      <c r="D483" s="9" t="n">
        <v>46276</v>
      </c>
      <c r="E483" s="10" t="n">
        <v>47889</v>
      </c>
      <c r="F483" s="11" t="n">
        <f aca="false">(E483-D483)/7</f>
        <v>230.428571428571</v>
      </c>
      <c r="G483" s="11" t="n">
        <f aca="true">(TODAY()-D483)/7</f>
        <v>-15</v>
      </c>
      <c r="H483" s="12" t="n">
        <v>96</v>
      </c>
      <c r="I483" s="12" t="n">
        <v>0</v>
      </c>
      <c r="J483" s="13" t="n">
        <f aca="false">IFERROR(((G483*H483)/F483)-I483,"")</f>
        <v>-6.24922504649722</v>
      </c>
      <c r="K483" s="12" t="str">
        <f aca="false">IF(J483&lt;-10,"MUITO ADIANTADO",IF(J483&lt;-6,"ADIANTADO",IF(J483&lt;6,"EM DIAS",IF(J483&lt;12,"ATRASADO","MUITO ATRASADO"))))</f>
        <v>ADIANTADO</v>
      </c>
      <c r="L483" s="9" t="n">
        <v>46276</v>
      </c>
      <c r="M483" s="6" t="n">
        <f aca="true">TODAY()-L483</f>
        <v>-105</v>
      </c>
      <c r="N483" s="1" t="str">
        <f aca="false">IF(M483&lt;8,"VERIFICADO",IF(M483&lt;15,"VERIFICAR","VERIFICAR URGENTE"))</f>
        <v>VERIFICADO</v>
      </c>
    </row>
    <row r="484" customFormat="false" ht="15" hidden="false" customHeight="false" outlineLevel="0" collapsed="false">
      <c r="A484" s="6" t="s">
        <v>228</v>
      </c>
      <c r="B484" s="7" t="s">
        <v>19</v>
      </c>
      <c r="C484" s="8" t="n">
        <f aca="false">L484</f>
        <v>46478</v>
      </c>
      <c r="D484" s="9" t="n">
        <v>46478</v>
      </c>
      <c r="E484" s="10" t="n">
        <v>47890</v>
      </c>
      <c r="F484" s="11" t="n">
        <f aca="false">(E484-D484)/7</f>
        <v>201.714285714286</v>
      </c>
      <c r="G484" s="11" t="n">
        <f aca="true">(TODAY()-D484)/7</f>
        <v>-43.8571428571429</v>
      </c>
      <c r="H484" s="12" t="n">
        <v>200</v>
      </c>
      <c r="I484" s="12" t="n">
        <v>0</v>
      </c>
      <c r="J484" s="13" t="n">
        <f aca="false">IFERROR(((G484*H484)/F484)-I484,"")</f>
        <v>-43.484419263456</v>
      </c>
      <c r="K484" s="12" t="str">
        <f aca="false">IF(J484&lt;-10,"MUITO ADIANTADO",IF(J484&lt;-6,"ADIANTADO",IF(J484&lt;6,"EM DIAS",IF(J484&lt;12,"ATRASADO","MUITO ATRASADO"))))</f>
        <v>MUITO ADIANTADO</v>
      </c>
      <c r="L484" s="9" t="n">
        <v>46478</v>
      </c>
      <c r="M484" s="6" t="n">
        <f aca="true">TODAY()-L484</f>
        <v>-307</v>
      </c>
      <c r="N484" s="1" t="str">
        <f aca="false">IF(M484&lt;8,"VERIFICADO",IF(M484&lt;15,"VERIFICAR","VERIFICAR URGENTE"))</f>
        <v>VERIFICADO</v>
      </c>
    </row>
    <row r="485" customFormat="false" ht="15" hidden="false" customHeight="false" outlineLevel="0" collapsed="false">
      <c r="A485" s="6" t="s">
        <v>497</v>
      </c>
      <c r="B485" s="7" t="s">
        <v>19</v>
      </c>
      <c r="C485" s="8" t="n">
        <f aca="false">L485</f>
        <v>46156</v>
      </c>
      <c r="D485" s="9" t="n">
        <v>46156</v>
      </c>
      <c r="E485" s="10" t="n">
        <v>46681</v>
      </c>
      <c r="F485" s="11" t="n">
        <f aca="false">(E485-D485)/7</f>
        <v>75</v>
      </c>
      <c r="G485" s="11" t="n">
        <f aca="true">(TODAY()-D485)/7</f>
        <v>2.14285714285714</v>
      </c>
      <c r="H485" s="12" t="n">
        <v>80</v>
      </c>
      <c r="I485" s="12" t="n">
        <v>0</v>
      </c>
      <c r="J485" s="13" t="n">
        <f aca="false">IFERROR(((G485*H485)/F485)-I485,"")</f>
        <v>2.28571428571429</v>
      </c>
      <c r="K485" s="12" t="str">
        <f aca="false">IF(J485&lt;-10,"MUITO ADIANTADO",IF(J485&lt;-6,"ADIANTADO",IF(J485&lt;6,"EM DIAS",IF(J485&lt;12,"ATRASADO","MUITO ATRASADO"))))</f>
        <v>EM DIAS</v>
      </c>
      <c r="L485" s="9" t="n">
        <v>46156</v>
      </c>
      <c r="M485" s="6"/>
      <c r="N485" s="1" t="str">
        <f aca="false">IF(M485&lt;8,"VERIFICADO",IF(M485&lt;15,"VERIFICAR","VERIFICAR URGENTE"))</f>
        <v>VERIFICADO</v>
      </c>
    </row>
    <row r="486" customFormat="false" ht="15" hidden="false" customHeight="false" outlineLevel="0" collapsed="false">
      <c r="A486" s="6" t="s">
        <v>498</v>
      </c>
      <c r="B486" s="7" t="s">
        <v>17</v>
      </c>
      <c r="C486" s="8" t="n">
        <f aca="false">L486</f>
        <v>46160</v>
      </c>
      <c r="D486" s="9" t="n">
        <v>45590</v>
      </c>
      <c r="E486" s="10" t="n">
        <v>46661</v>
      </c>
      <c r="F486" s="11" t="n">
        <f aca="false">(E486-D486)/7</f>
        <v>153</v>
      </c>
      <c r="G486" s="11" t="n">
        <f aca="true">(TODAY()-D486)/7</f>
        <v>83</v>
      </c>
      <c r="H486" s="12" t="n">
        <v>176</v>
      </c>
      <c r="I486" s="12" t="n">
        <v>104</v>
      </c>
      <c r="J486" s="13" t="n">
        <f aca="false">IFERROR(((G486*H486)/F486)-I486,"")</f>
        <v>-8.52287581699346</v>
      </c>
      <c r="K486" s="12" t="str">
        <f aca="false">IF(J486&lt;-10,"MUITO ADIANTADO",IF(J486&lt;-6,"ADIANTADO",IF(J486&lt;6,"EM DIAS",IF(J486&lt;12,"ATRASADO","MUITO ATRASADO"))))</f>
        <v>ADIANTADO</v>
      </c>
      <c r="L486" s="9" t="n">
        <v>46160</v>
      </c>
      <c r="M486" s="6" t="n">
        <f aca="true">TODAY()-L486</f>
        <v>11</v>
      </c>
      <c r="N486" s="1" t="str">
        <f aca="false">IF(M486&lt;8,"VERIFICADO",IF(M486&lt;15,"VERIFICAR","VERIFICAR URGENTE"))</f>
        <v>VERIFICAR</v>
      </c>
    </row>
    <row r="487" customFormat="false" ht="15" hidden="false" customHeight="false" outlineLevel="0" collapsed="false">
      <c r="A487" s="6" t="s">
        <v>499</v>
      </c>
      <c r="B487" s="7" t="s">
        <v>22</v>
      </c>
      <c r="C487" s="8" t="n">
        <f aca="false">L487</f>
        <v>46165</v>
      </c>
      <c r="D487" s="9" t="n">
        <v>45933</v>
      </c>
      <c r="E487" s="10" t="n">
        <v>46206</v>
      </c>
      <c r="F487" s="11" t="n">
        <f aca="false">(E487-D487)/7</f>
        <v>39</v>
      </c>
      <c r="G487" s="11" t="n">
        <f aca="true">(TODAY()-D487)/7</f>
        <v>34</v>
      </c>
      <c r="H487" s="12" t="n">
        <v>48</v>
      </c>
      <c r="I487" s="12" t="n">
        <v>43</v>
      </c>
      <c r="J487" s="13" t="n">
        <f aca="false">IFERROR(((G487*H487)/F487)-I487,"")</f>
        <v>-1.15384615384615</v>
      </c>
      <c r="K487" s="12" t="str">
        <f aca="false">IF(J487&lt;-10,"MUITO ADIANTADO",IF(J487&lt;-6,"ADIANTADO",IF(J487&lt;6,"EM DIAS",IF(J487&lt;12,"ATRASADO","MUITO ATRASADO"))))</f>
        <v>EM DIAS</v>
      </c>
      <c r="L487" s="9" t="n">
        <v>46165</v>
      </c>
      <c r="M487" s="6" t="n">
        <f aca="true">TODAY()-L487</f>
        <v>6</v>
      </c>
      <c r="N487" s="1" t="str">
        <f aca="false">IF(M487&lt;8,"VERIFICADO",IF(M487&lt;15,"VERIFICAR","VERIFICAR URGENTE"))</f>
        <v>VERIFICADO</v>
      </c>
    </row>
    <row r="488" customFormat="false" ht="15" hidden="false" customHeight="false" outlineLevel="0" collapsed="false">
      <c r="A488" s="6" t="s">
        <v>500</v>
      </c>
      <c r="B488" s="7" t="s">
        <v>24</v>
      </c>
      <c r="C488" s="8" t="n">
        <f aca="false">L488</f>
        <v>46161</v>
      </c>
      <c r="D488" s="9" t="n">
        <v>46105</v>
      </c>
      <c r="E488" s="10" t="n">
        <v>46628</v>
      </c>
      <c r="F488" s="11" t="n">
        <f aca="false">(E488-D488)/7</f>
        <v>74.7142857142857</v>
      </c>
      <c r="G488" s="11" t="n">
        <f aca="true">(TODAY()-D488)/7</f>
        <v>9.42857142857143</v>
      </c>
      <c r="H488" s="12" t="n">
        <v>80</v>
      </c>
      <c r="I488" s="12" t="n">
        <v>14</v>
      </c>
      <c r="J488" s="13" t="n">
        <f aca="false">IFERROR(((G488*H488)/F498)-I488,"")</f>
        <v>0.465753424657546</v>
      </c>
      <c r="K488" s="12" t="str">
        <f aca="false">IF(J488&lt;-10,"MUITO ADIANTADO",IF(J488&lt;-6,"ADIANTADO",IF(J488&lt;6,"EM DIAS",IF(J488&lt;12,"ATRASADO","MUITO ATRASADO"))))</f>
        <v>EM DIAS</v>
      </c>
      <c r="L488" s="9" t="n">
        <v>46161</v>
      </c>
      <c r="M488" s="6" t="n">
        <f aca="true">TODAY()-L488</f>
        <v>10</v>
      </c>
      <c r="N488" s="1" t="str">
        <f aca="false">IF(M488&lt;8,"VERIFICADO",IF(M488&lt;15,"VERIFICAR","VERIFICAR URGENTE"))</f>
        <v>VERIFICAR</v>
      </c>
    </row>
    <row r="489" customFormat="false" ht="15" hidden="false" customHeight="false" outlineLevel="0" collapsed="false">
      <c r="A489" s="6" t="s">
        <v>501</v>
      </c>
      <c r="B489" s="7" t="s">
        <v>24</v>
      </c>
      <c r="C489" s="8" t="n">
        <f aca="false">L489</f>
        <v>46164</v>
      </c>
      <c r="D489" s="9" t="n">
        <v>45926</v>
      </c>
      <c r="E489" s="10" t="n">
        <v>47666</v>
      </c>
      <c r="F489" s="11" t="n">
        <f aca="false">(E489-D489)/7</f>
        <v>248.571428571429</v>
      </c>
      <c r="G489" s="11" t="n">
        <f aca="true">(TODAY()-D489)/7</f>
        <v>35</v>
      </c>
      <c r="H489" s="12" t="n">
        <v>256</v>
      </c>
      <c r="I489" s="12" t="n">
        <v>34</v>
      </c>
      <c r="J489" s="13" t="n">
        <f aca="false">IFERROR(((G489*H489)/F489)-I489,"")</f>
        <v>2.04597701149419</v>
      </c>
      <c r="K489" s="12" t="str">
        <f aca="false">IF(J489&lt;-10,"MUITO ADIANTADO",IF(J489&lt;-6,"ADIANTADO",IF(J489&lt;6,"EM DIAS",IF(J489&lt;12,"ATRASADO","MUITO ATRASADO"))))</f>
        <v>EM DIAS</v>
      </c>
      <c r="L489" s="9" t="n">
        <v>46164</v>
      </c>
      <c r="M489" s="6" t="n">
        <f aca="true">TODAY()-L489</f>
        <v>7</v>
      </c>
      <c r="N489" s="1" t="str">
        <f aca="false">IF(M489&lt;8,"VERIFICADO",IF(M489&lt;15,"VERIFICAR","VERIFICAR URGENTE"))</f>
        <v>VERIFICADO</v>
      </c>
    </row>
    <row r="490" customFormat="false" ht="15" hidden="false" customHeight="false" outlineLevel="0" collapsed="false">
      <c r="A490" s="6" t="s">
        <v>502</v>
      </c>
      <c r="B490" s="7" t="s">
        <v>24</v>
      </c>
      <c r="C490" s="8" t="n">
        <f aca="false">L490</f>
        <v>46164</v>
      </c>
      <c r="D490" s="9" t="n">
        <v>46150</v>
      </c>
      <c r="E490" s="10" t="n">
        <v>46888</v>
      </c>
      <c r="F490" s="11" t="n">
        <f aca="false">(E490-D490)/7</f>
        <v>105.428571428571</v>
      </c>
      <c r="G490" s="11" t="n">
        <f aca="true">(TODAY()-D490)/7</f>
        <v>3</v>
      </c>
      <c r="H490" s="12" t="n">
        <v>80</v>
      </c>
      <c r="I490" s="12" t="n">
        <v>3</v>
      </c>
      <c r="J490" s="13" t="n">
        <f aca="false">IFERROR(((G490*H490)/F490)-I490,"")</f>
        <v>-0.723577235772348</v>
      </c>
      <c r="K490" s="12" t="str">
        <f aca="false">IF(J490&lt;-10,"MUITO ADIANTADO",IF(J490&lt;-6,"ADIANTADO",IF(J490&lt;6,"EM DIAS",IF(J490&lt;12,"ATRASADO","MUITO ATRASADO"))))</f>
        <v>EM DIAS</v>
      </c>
      <c r="L490" s="9" t="n">
        <v>46164</v>
      </c>
      <c r="M490" s="6" t="n">
        <f aca="true">TODAY()-L490</f>
        <v>7</v>
      </c>
      <c r="N490" s="1" t="str">
        <f aca="false">IF(M490&lt;8,"VERIFICADO",IF(M490&lt;15,"VERIFICAR","VERIFICAR URGENTE"))</f>
        <v>VERIFICADO</v>
      </c>
    </row>
    <row r="491" customFormat="false" ht="15" hidden="false" customHeight="false" outlineLevel="0" collapsed="false">
      <c r="A491" s="6" t="s">
        <v>503</v>
      </c>
      <c r="B491" s="7" t="s">
        <v>22</v>
      </c>
      <c r="C491" s="8" t="n">
        <f aca="false">L491</f>
        <v>46160</v>
      </c>
      <c r="D491" s="9" t="n">
        <v>46153</v>
      </c>
      <c r="E491" s="10" t="n">
        <v>47432</v>
      </c>
      <c r="F491" s="11" t="n">
        <f aca="false">(E491-D491)/7</f>
        <v>182.714285714286</v>
      </c>
      <c r="G491" s="11" t="n">
        <f aca="true">(TODAY()-D491)/7</f>
        <v>2.57142857142857</v>
      </c>
      <c r="H491" s="12" t="n">
        <v>176</v>
      </c>
      <c r="I491" s="12" t="n">
        <v>1</v>
      </c>
      <c r="J491" s="13" t="n">
        <f aca="false">IFERROR(((G491*H491)/F491)-I491,"")</f>
        <v>1.47693510555121</v>
      </c>
      <c r="K491" s="12" t="str">
        <f aca="false">IF(J491&lt;-10,"MUITO ADIANTADO",IF(J491&lt;-6,"ADIANTADO",IF(J491&lt;6,"EM DIAS",IF(J491&lt;12,"ATRASADO","MUITO ATRASADO"))))</f>
        <v>EM DIAS</v>
      </c>
      <c r="L491" s="9" t="n">
        <v>46160</v>
      </c>
      <c r="M491" s="6" t="n">
        <f aca="true">TODAY()-L491</f>
        <v>11</v>
      </c>
      <c r="N491" s="1" t="str">
        <f aca="false">IF(M491&lt;8,"VERIFICADO",IF(M491&lt;15,"VERIFICAR","VERIFICAR URGENTE"))</f>
        <v>VERIFICAR</v>
      </c>
    </row>
    <row r="492" customFormat="false" ht="15" hidden="false" customHeight="false" outlineLevel="0" collapsed="false">
      <c r="A492" s="6" t="s">
        <v>504</v>
      </c>
      <c r="B492" s="7" t="s">
        <v>15</v>
      </c>
      <c r="C492" s="8" t="n">
        <f aca="false">L492</f>
        <v>46162</v>
      </c>
      <c r="D492" s="9" t="n">
        <v>46074</v>
      </c>
      <c r="E492" s="10" t="n">
        <v>46291</v>
      </c>
      <c r="F492" s="11" t="n">
        <f aca="false">(E492-D492)/7</f>
        <v>31</v>
      </c>
      <c r="G492" s="11" t="n">
        <f aca="true">(TODAY()-D492)/7</f>
        <v>13.8571428571429</v>
      </c>
      <c r="H492" s="12" t="n">
        <v>64</v>
      </c>
      <c r="I492" s="12" t="n">
        <v>16</v>
      </c>
      <c r="J492" s="13" t="n">
        <f aca="false">IFERROR(((G492*H492)/F492)-I492,"")</f>
        <v>12.6082949308756</v>
      </c>
      <c r="K492" s="12" t="str">
        <f aca="false">IF(J492&lt;-10,"MUITO ADIANTADO",IF(J492&lt;-6,"ADIANTADO",IF(J492&lt;6,"EM DIAS",IF(J492&lt;12,"ATRASADO","MUITO ATRASADO"))))</f>
        <v>MUITO ATRASADO</v>
      </c>
      <c r="L492" s="9" t="n">
        <v>46162</v>
      </c>
      <c r="M492" s="6" t="n">
        <f aca="true">TODAY()-L492</f>
        <v>9</v>
      </c>
      <c r="N492" s="1" t="str">
        <f aca="false">IF(M492&lt;8,"VERIFICADO",IF(M492&lt;15,"VERIFICAR","VERIFICAR URGENTE"))</f>
        <v>VERIFICAR</v>
      </c>
    </row>
    <row r="493" customFormat="false" ht="15" hidden="false" customHeight="false" outlineLevel="0" collapsed="false">
      <c r="A493" s="6" t="s">
        <v>505</v>
      </c>
      <c r="B493" s="7" t="s">
        <v>22</v>
      </c>
      <c r="C493" s="8" t="n">
        <f aca="false">L493</f>
        <v>46161</v>
      </c>
      <c r="D493" s="9" t="n">
        <v>46120</v>
      </c>
      <c r="E493" s="10" t="n">
        <v>46670</v>
      </c>
      <c r="F493" s="11" t="n">
        <f aca="false">(E493-D493)/7</f>
        <v>78.5714285714286</v>
      </c>
      <c r="G493" s="11" t="n">
        <f aca="true">(TODAY()-D493)/7</f>
        <v>7.28571428571429</v>
      </c>
      <c r="H493" s="12" t="n">
        <v>80</v>
      </c>
      <c r="I493" s="12" t="n">
        <v>6</v>
      </c>
      <c r="J493" s="13" t="n">
        <f aca="false">IFERROR(((G493*H493)/F493)-I493,"")</f>
        <v>1.41818181818182</v>
      </c>
      <c r="K493" s="12" t="str">
        <f aca="false">IF(J493&lt;-10,"MUITO ADIANTADO",IF(J493&lt;-6,"ADIANTADO",IF(J493&lt;6,"EM DIAS",IF(J493&lt;12,"ATRASADO","MUITO ATRASADO"))))</f>
        <v>EM DIAS</v>
      </c>
      <c r="L493" s="9" t="n">
        <v>46161</v>
      </c>
      <c r="M493" s="6" t="n">
        <f aca="true">TODAY()-L493</f>
        <v>10</v>
      </c>
      <c r="N493" s="1" t="str">
        <f aca="false">IF(M493&lt;8,"VERIFICADO",IF(M493&lt;15,"VERIFICAR","VERIFICAR URGENTE"))</f>
        <v>VERIFICAR</v>
      </c>
    </row>
    <row r="494" customFormat="false" ht="15" hidden="false" customHeight="false" outlineLevel="0" collapsed="false">
      <c r="A494" s="7" t="s">
        <v>506</v>
      </c>
      <c r="B494" s="7" t="s">
        <v>22</v>
      </c>
      <c r="C494" s="8" t="n">
        <f aca="false">L494</f>
        <v>46164</v>
      </c>
      <c r="D494" s="9" t="n">
        <v>46136</v>
      </c>
      <c r="E494" s="10" t="n">
        <v>46819</v>
      </c>
      <c r="F494" s="11" t="n">
        <f aca="false">(E494-D494)/7</f>
        <v>97.5714285714286</v>
      </c>
      <c r="G494" s="11" t="n">
        <f aca="true">(TODAY()-D494)/7</f>
        <v>5</v>
      </c>
      <c r="H494" s="12" t="n">
        <v>112</v>
      </c>
      <c r="I494" s="12" t="n">
        <v>4</v>
      </c>
      <c r="J494" s="13" t="n">
        <f aca="false">IFERROR(((G494*H494)/F494)-I494,"")</f>
        <v>1.7393850658858</v>
      </c>
      <c r="K494" s="12" t="str">
        <f aca="false">IF(J494&lt;-10,"MUITO ADIANTADO",IF(J494&lt;-6,"ADIANTADO",IF(J494&lt;6,"EM DIAS",IF(J494&lt;12,"ATRASADO","MUITO ATRASADO"))))</f>
        <v>EM DIAS</v>
      </c>
      <c r="L494" s="9" t="n">
        <v>46164</v>
      </c>
      <c r="M494" s="6" t="n">
        <f aca="true">TODAY()-L494</f>
        <v>7</v>
      </c>
      <c r="N494" s="1" t="str">
        <f aca="false">IF(M494&lt;8,"VERIFICADO",IF(M494&lt;15,"VERIFICAR","VERIFICAR URGENTE"))</f>
        <v>VERIFICADO</v>
      </c>
    </row>
    <row r="495" customFormat="false" ht="15" hidden="false" customHeight="false" outlineLevel="0" collapsed="false">
      <c r="A495" s="6" t="s">
        <v>507</v>
      </c>
      <c r="B495" s="7" t="s">
        <v>15</v>
      </c>
      <c r="C495" s="8" t="n">
        <f aca="false">L495</f>
        <v>46163</v>
      </c>
      <c r="D495" s="9" t="n">
        <v>46163</v>
      </c>
      <c r="E495" s="10" t="n">
        <v>46980</v>
      </c>
      <c r="F495" s="11" t="n">
        <f aca="false">(E495-D495)/7</f>
        <v>116.714285714286</v>
      </c>
      <c r="G495" s="11" t="n">
        <f aca="true">(TODAY()-D495)/7</f>
        <v>1.14285714285714</v>
      </c>
      <c r="H495" s="12" t="n">
        <v>80</v>
      </c>
      <c r="I495" s="12" t="n">
        <v>0</v>
      </c>
      <c r="J495" s="13" t="n">
        <f aca="false">IFERROR(((G495*H495)/F495)-I495,"")</f>
        <v>0.783353733170133</v>
      </c>
      <c r="K495" s="12" t="str">
        <f aca="false">IF(J495&lt;-10,"MUITO ADIANTADO",IF(J495&lt;-6,"ADIANTADO",IF(J495&lt;6,"EM DIAS",IF(J495&lt;12,"ATRASADO","MUITO ATRASADO"))))</f>
        <v>EM DIAS</v>
      </c>
      <c r="L495" s="9" t="n">
        <v>46163</v>
      </c>
      <c r="M495" s="6" t="n">
        <f aca="true">TODAY()-L495</f>
        <v>8</v>
      </c>
      <c r="N495" s="1" t="str">
        <f aca="false">IF(M495&lt;8,"VERIFICADO",IF(M495&lt;15,"VERIFICAR","VERIFICAR URGENTE"))</f>
        <v>VERIFICAR</v>
      </c>
    </row>
    <row r="496" customFormat="false" ht="15" hidden="false" customHeight="false" outlineLevel="0" collapsed="false">
      <c r="A496" s="6" t="s">
        <v>508</v>
      </c>
      <c r="B496" s="7" t="s">
        <v>24</v>
      </c>
      <c r="C496" s="8" t="n">
        <f aca="false">L496</f>
        <v>46160</v>
      </c>
      <c r="D496" s="9" t="n">
        <v>46160</v>
      </c>
      <c r="E496" s="10" t="n">
        <v>46525</v>
      </c>
      <c r="F496" s="11" t="n">
        <f aca="false">(E496-D496)/7</f>
        <v>52.1428571428571</v>
      </c>
      <c r="G496" s="11" t="n">
        <f aca="true">(TODAY()-D496)/7</f>
        <v>1.57142857142857</v>
      </c>
      <c r="H496" s="12" t="n">
        <v>80</v>
      </c>
      <c r="I496" s="12" t="n">
        <v>0</v>
      </c>
      <c r="J496" s="13" t="n">
        <v>0</v>
      </c>
      <c r="K496" s="12" t="str">
        <f aca="false">IF(J496&lt;-10,"MUITO ADIANTADO",IF(J496&lt;-6,"ADIANTADO",IF(J496&lt;6,"EM DIAS",IF(J496&lt;12,"ATRASADO","MUITO ATRASADO"))))</f>
        <v>EM DIAS</v>
      </c>
      <c r="L496" s="9" t="n">
        <v>46160</v>
      </c>
      <c r="M496" s="6" t="n">
        <f aca="true">TODAY()-L496</f>
        <v>11</v>
      </c>
      <c r="N496" s="1" t="str">
        <f aca="false">IF(M496&lt;8,"VERIFICADO",IF(M496&lt;15,"VERIFICAR","VERIFICAR URGENTE"))</f>
        <v>VERIFICAR</v>
      </c>
    </row>
    <row r="497" customFormat="false" ht="15" hidden="false" customHeight="false" outlineLevel="0" collapsed="false">
      <c r="A497" s="6" t="s">
        <v>509</v>
      </c>
      <c r="B497" s="7" t="s">
        <v>15</v>
      </c>
      <c r="C497" s="8" t="n">
        <f aca="false">L497</f>
        <v>46160</v>
      </c>
      <c r="D497" s="9" t="n">
        <v>46161</v>
      </c>
      <c r="E497" s="10" t="n">
        <v>47674</v>
      </c>
      <c r="F497" s="11" t="n">
        <f aca="false">(E497-D497)/7</f>
        <v>216.142857142857</v>
      </c>
      <c r="G497" s="11" t="n">
        <f aca="true">(TODAY()-D497)/7</f>
        <v>1.42857142857143</v>
      </c>
      <c r="H497" s="12"/>
      <c r="I497" s="12"/>
      <c r="J497" s="13" t="n">
        <f aca="false">IFERROR(((G497*H497)/F497)-I497,"")</f>
        <v>0</v>
      </c>
      <c r="K497" s="12" t="str">
        <f aca="false">IF(J497&lt;-10,"MUITO ADIANTADO",IF(J497&lt;-6,"ADIANTADO",IF(J497&lt;6,"EM DIAS",IF(J497&lt;12,"ATRASADO","MUITO ATRASADO"))))</f>
        <v>EM DIAS</v>
      </c>
      <c r="L497" s="9" t="n">
        <v>46160</v>
      </c>
      <c r="M497" s="6" t="n">
        <f aca="true">TODAY()-L497</f>
        <v>11</v>
      </c>
      <c r="N497" s="1" t="str">
        <f aca="false">IF(M497&lt;8,"VERIFICADO",IF(M497&lt;15,"VERIFICAR","VERIFICAR URGENTE"))</f>
        <v>VERIFICAR</v>
      </c>
    </row>
    <row r="498" customFormat="false" ht="15" hidden="false" customHeight="false" outlineLevel="0" collapsed="false">
      <c r="A498" s="6" t="s">
        <v>510</v>
      </c>
      <c r="B498" s="7" t="s">
        <v>22</v>
      </c>
      <c r="C498" s="8" t="n">
        <f aca="false">L498</f>
        <v>46160</v>
      </c>
      <c r="D498" s="9" t="n">
        <v>46160</v>
      </c>
      <c r="E498" s="10" t="n">
        <v>46525</v>
      </c>
      <c r="F498" s="11" t="n">
        <f aca="false">(E498-D498)/7</f>
        <v>52.1428571428571</v>
      </c>
      <c r="G498" s="11" t="n">
        <f aca="true">(TODAY()-D498)/7</f>
        <v>1.57142857142857</v>
      </c>
      <c r="H498" s="12" t="n">
        <v>80</v>
      </c>
      <c r="I498" s="12" t="n">
        <v>0</v>
      </c>
      <c r="J498" s="13" t="n">
        <f aca="false">IFERROR(((G498*H498)/F498)-I498,"")</f>
        <v>2.41095890410959</v>
      </c>
      <c r="K498" s="12" t="str">
        <f aca="false">IF(J498&lt;-10,"MUITO ADIANTADO",IF(J498&lt;-6,"ADIANTADO",IF(J498&lt;6,"EM DIAS",IF(J498&lt;12,"ATRASADO","MUITO ATRASADO"))))</f>
        <v>EM DIAS</v>
      </c>
      <c r="L498" s="9" t="n">
        <v>46160</v>
      </c>
      <c r="M498" s="6" t="n">
        <f aca="true">TODAY()-L498</f>
        <v>11</v>
      </c>
      <c r="N498" s="1" t="str">
        <f aca="false">IF(M498&lt;8,"VERIFICADO",IF(M498&lt;15,"VERIFICAR","VERIFICAR URGENTE"))</f>
        <v>VERIFICAR</v>
      </c>
    </row>
    <row r="499" customFormat="false" ht="15" hidden="false" customHeight="false" outlineLevel="0" collapsed="false">
      <c r="A499" s="6" t="s">
        <v>511</v>
      </c>
      <c r="B499" s="7" t="s">
        <v>15</v>
      </c>
      <c r="C499" s="8" t="n">
        <f aca="false">L499</f>
        <v>46162</v>
      </c>
      <c r="D499" s="9" t="n">
        <v>46093</v>
      </c>
      <c r="E499" s="10" t="n">
        <v>46550</v>
      </c>
      <c r="F499" s="11" t="n">
        <f aca="false">(E499-D499)/7</f>
        <v>65.2857142857143</v>
      </c>
      <c r="G499" s="11" t="n">
        <f aca="true">(TODAY()-D499)/7</f>
        <v>11.1428571428571</v>
      </c>
      <c r="H499" s="12" t="n">
        <v>80</v>
      </c>
      <c r="I499" s="12" t="n">
        <v>17</v>
      </c>
      <c r="J499" s="13" t="n">
        <f aca="false">IFERROR(((G499*H499)/F499)-I499,"")</f>
        <v>-3.3457330415755</v>
      </c>
      <c r="K499" s="12" t="str">
        <f aca="false">IF(J499&lt;-10,"MUITO ADIANTADO",IF(J499&lt;-6,"ADIANTADO",IF(J499&lt;6,"EM DIAS",IF(J499&lt;12,"ATRASADO","MUITO ATRASADO"))))</f>
        <v>EM DIAS</v>
      </c>
      <c r="L499" s="9" t="n">
        <v>46162</v>
      </c>
      <c r="M499" s="6" t="n">
        <f aca="true">TODAY()-L499</f>
        <v>9</v>
      </c>
      <c r="N499" s="1" t="str">
        <f aca="false">IF(M499&lt;8,"VERIFICADO",IF(M499&lt;15,"VERIFICAR","VERIFICAR URGENTE"))</f>
        <v>VERIFICAR</v>
      </c>
    </row>
    <row r="500" customFormat="false" ht="15" hidden="false" customHeight="false" outlineLevel="0" collapsed="false">
      <c r="A500" s="6" t="s">
        <v>512</v>
      </c>
      <c r="B500" s="7" t="s">
        <v>22</v>
      </c>
      <c r="C500" s="8" t="n">
        <f aca="false">L500</f>
        <v>46744</v>
      </c>
      <c r="D500" s="9" t="n">
        <v>46165</v>
      </c>
      <c r="E500" s="10" t="n">
        <v>46734</v>
      </c>
      <c r="F500" s="11" t="n">
        <f aca="false">(E500-D500)/7</f>
        <v>81.2857142857143</v>
      </c>
      <c r="G500" s="11" t="n">
        <v>0</v>
      </c>
      <c r="H500" s="12" t="n">
        <v>80</v>
      </c>
      <c r="I500" s="12" t="n">
        <v>0</v>
      </c>
      <c r="J500" s="13" t="n">
        <f aca="false">IFERROR(((G500*H500)/F500)-I500,"")</f>
        <v>0</v>
      </c>
      <c r="K500" s="12" t="str">
        <f aca="false">IF(J500&lt;-10,"MUITO ADIANTADO",IF(J500&lt;-6,"ADIANTADO",IF(J500&lt;6,"EM DIAS",IF(J500&lt;12,"ATRASADO","MUITO ATRASADO"))))</f>
        <v>EM DIAS</v>
      </c>
      <c r="L500" s="9" t="n">
        <v>46744</v>
      </c>
      <c r="M500" s="6" t="n">
        <f aca="true">TODAY()-L500</f>
        <v>-573</v>
      </c>
      <c r="N500" s="1" t="str">
        <f aca="false">IF(M500&lt;8,"VERIFICADO",IF(M500&lt;15,"VERIFICAR","VERIFICAR URGENTE"))</f>
        <v>VERIFICADO</v>
      </c>
    </row>
    <row r="501" customFormat="false" ht="15" hidden="false" customHeight="false" outlineLevel="0" collapsed="false">
      <c r="A501" s="6" t="s">
        <v>513</v>
      </c>
      <c r="B501" s="7" t="s">
        <v>22</v>
      </c>
      <c r="C501" s="8" t="n">
        <f aca="false">L501</f>
        <v>46170</v>
      </c>
      <c r="D501" s="9" t="n">
        <v>46170</v>
      </c>
      <c r="E501" s="10" t="n">
        <v>46711</v>
      </c>
      <c r="F501" s="11" t="n">
        <f aca="false">(E501-D501)/7</f>
        <v>77.2857142857143</v>
      </c>
      <c r="G501" s="11" t="n">
        <f aca="true">(TODAY()-D501)/7</f>
        <v>0.142857142857143</v>
      </c>
      <c r="H501" s="12" t="n">
        <v>80</v>
      </c>
      <c r="I501" s="12" t="n">
        <v>0</v>
      </c>
      <c r="J501" s="13" t="n">
        <f aca="false">IFERROR(((G501*H501)/F501)-I501,"")</f>
        <v>0.147874306839187</v>
      </c>
      <c r="K501" s="12" t="str">
        <f aca="false">IF(J501&lt;-10,"MUITO ADIANTADO",IF(J501&lt;-6,"ADIANTADO",IF(J501&lt;6,"EM DIAS",IF(J501&lt;12,"ATRASADO","MUITO ATRASADO"))))</f>
        <v>EM DIAS</v>
      </c>
      <c r="L501" s="9" t="n">
        <v>46170</v>
      </c>
      <c r="M501" s="6" t="n">
        <f aca="true">TODAY()-L501</f>
        <v>1</v>
      </c>
      <c r="N501" s="1" t="str">
        <f aca="false">IF(M501&lt;8,"VERIFICADO",IF(M501&lt;15,"VERIFICAR","VERIFICAR URGENTE"))</f>
        <v>VERIFICADO</v>
      </c>
    </row>
    <row r="502" customFormat="false" ht="15" hidden="false" customHeight="false" outlineLevel="0" collapsed="false">
      <c r="A502" s="6"/>
      <c r="B502" s="7"/>
      <c r="C502" s="8" t="n">
        <f aca="false">L502</f>
        <v>46158</v>
      </c>
      <c r="D502" s="9" t="n">
        <v>45939</v>
      </c>
      <c r="E502" s="10" t="n">
        <v>47679</v>
      </c>
      <c r="F502" s="11" t="n">
        <f aca="false">(E502-D502)/7</f>
        <v>248.571428571429</v>
      </c>
      <c r="G502" s="11" t="n">
        <f aca="true">(TODAY()-D502)/7</f>
        <v>33.1428571428571</v>
      </c>
      <c r="H502" s="12"/>
      <c r="I502" s="12"/>
      <c r="J502" s="13" t="n">
        <f aca="false">IFERROR(((G502*H502)/F502)-I502,"")</f>
        <v>0</v>
      </c>
      <c r="K502" s="12" t="str">
        <f aca="false">IF(J502&lt;-10,"MUITO ADIANTADO",IF(J502&lt;-6,"ADIANTADO",IF(J502&lt;6,"EM DIAS",IF(J502&lt;12,"ATRASADO","MUITO ATRASADO"))))</f>
        <v>EM DIAS</v>
      </c>
      <c r="L502" s="9" t="n">
        <v>46158</v>
      </c>
      <c r="M502" s="6" t="n">
        <f aca="true">TODAY()-L502</f>
        <v>13</v>
      </c>
      <c r="N502" s="1" t="str">
        <f aca="false">IF(M502&lt;8,"VERIFICADO",IF(M502&lt;15,"VERIFICAR","VERIFICAR URGENTE"))</f>
        <v>VERIFICAR</v>
      </c>
    </row>
    <row r="503" customFormat="false" ht="15" hidden="false" customHeight="false" outlineLevel="0" collapsed="false">
      <c r="A503" s="6"/>
      <c r="B503" s="7"/>
      <c r="C503" s="8" t="n">
        <f aca="false">L503</f>
        <v>46159</v>
      </c>
      <c r="D503" s="9" t="n">
        <v>45940</v>
      </c>
      <c r="E503" s="10" t="n">
        <v>47680</v>
      </c>
      <c r="F503" s="11" t="n">
        <f aca="false">(E503-D503)/7</f>
        <v>248.571428571429</v>
      </c>
      <c r="G503" s="11" t="n">
        <f aca="true">(TODAY()-D503)/7</f>
        <v>33</v>
      </c>
      <c r="H503" s="12"/>
      <c r="I503" s="12"/>
      <c r="J503" s="13" t="n">
        <f aca="false">IFERROR(((G503*H503)/F503)-I503,"")</f>
        <v>0</v>
      </c>
      <c r="K503" s="12" t="str">
        <f aca="false">IF(J503&lt;-10,"MUITO ADIANTADO",IF(J503&lt;-6,"ADIANTADO",IF(J503&lt;6,"EM DIAS",IF(J503&lt;12,"ATRASADO","MUITO ATRASADO"))))</f>
        <v>EM DIAS</v>
      </c>
      <c r="L503" s="9" t="n">
        <v>46159</v>
      </c>
      <c r="M503" s="6" t="n">
        <f aca="true">TODAY()-L503</f>
        <v>12</v>
      </c>
      <c r="N503" s="1" t="str">
        <f aca="false">IF(M503&lt;8,"VERIFICADO",IF(M503&lt;15,"VERIFICAR","VERIFICAR URGENTE"))</f>
        <v>VERIFICAR</v>
      </c>
    </row>
    <row r="504" customFormat="false" ht="15" hidden="false" customHeight="false" outlineLevel="0" collapsed="false">
      <c r="A504" s="6"/>
      <c r="B504" s="7"/>
      <c r="C504" s="8" t="n">
        <f aca="false">L504</f>
        <v>46160</v>
      </c>
      <c r="D504" s="9" t="n">
        <v>45941</v>
      </c>
      <c r="E504" s="10" t="n">
        <v>47681</v>
      </c>
      <c r="F504" s="11" t="n">
        <f aca="false">(E504-D504)/7</f>
        <v>248.571428571429</v>
      </c>
      <c r="G504" s="11" t="n">
        <f aca="true">(TODAY()-D504)/7</f>
        <v>32.8571428571429</v>
      </c>
      <c r="H504" s="12"/>
      <c r="I504" s="12"/>
      <c r="J504" s="13" t="n">
        <f aca="false">IFERROR(((G504*H504)/F504)-I504,"")</f>
        <v>0</v>
      </c>
      <c r="K504" s="12" t="str">
        <f aca="false">IF(J504&lt;-10,"MUITO ADIANTADO",IF(J504&lt;-6,"ADIANTADO",IF(J504&lt;6,"EM DIAS",IF(J504&lt;12,"ATRASADO","MUITO ATRASADO"))))</f>
        <v>EM DIAS</v>
      </c>
      <c r="L504" s="9" t="n">
        <v>46160</v>
      </c>
      <c r="M504" s="6" t="n">
        <f aca="true">TODAY()-L504</f>
        <v>11</v>
      </c>
      <c r="N504" s="1" t="str">
        <f aca="false">IF(M504&lt;8,"VERIFICADO",IF(M504&lt;15,"VERIFICAR","VERIFICAR URGENTE"))</f>
        <v>VERIFICAR</v>
      </c>
    </row>
    <row r="505" customFormat="false" ht="15" hidden="false" customHeight="false" outlineLevel="0" collapsed="false">
      <c r="A505" s="6"/>
      <c r="B505" s="7"/>
      <c r="C505" s="8" t="n">
        <f aca="false">L505</f>
        <v>46161</v>
      </c>
      <c r="D505" s="9" t="n">
        <v>45942</v>
      </c>
      <c r="E505" s="10" t="n">
        <v>47682</v>
      </c>
      <c r="F505" s="11" t="n">
        <f aca="false">(E505-D505)/7</f>
        <v>248.571428571429</v>
      </c>
      <c r="G505" s="11" t="n">
        <f aca="true">(TODAY()-D505)/7</f>
        <v>32.7142857142857</v>
      </c>
      <c r="H505" s="12"/>
      <c r="I505" s="12"/>
      <c r="J505" s="13" t="n">
        <f aca="false">IFERROR(((G505*H505)/F505)-I505,"")</f>
        <v>0</v>
      </c>
      <c r="K505" s="12" t="str">
        <f aca="false">IF(J505&lt;-10,"MUITO ADIANTADO",IF(J505&lt;-6,"ADIANTADO",IF(J505&lt;6,"EM DIAS",IF(J505&lt;12,"ATRASADO","MUITO ATRASADO"))))</f>
        <v>EM DIAS</v>
      </c>
      <c r="L505" s="9" t="n">
        <v>46161</v>
      </c>
      <c r="M505" s="6" t="n">
        <f aca="true">TODAY()-L505</f>
        <v>10</v>
      </c>
      <c r="N505" s="1" t="str">
        <f aca="false">IF(M505&lt;8,"VERIFICADO",IF(M505&lt;15,"VERIFICAR","VERIFICAR URGENTE"))</f>
        <v>VERIFICAR</v>
      </c>
    </row>
    <row r="506" customFormat="false" ht="15" hidden="false" customHeight="false" outlineLevel="0" collapsed="false">
      <c r="A506" s="6"/>
      <c r="B506" s="7"/>
      <c r="C506" s="8" t="n">
        <f aca="false">L506</f>
        <v>46162</v>
      </c>
      <c r="D506" s="9" t="n">
        <v>45943</v>
      </c>
      <c r="E506" s="10" t="n">
        <v>47683</v>
      </c>
      <c r="F506" s="11" t="n">
        <f aca="false">(E506-D506)/7</f>
        <v>248.571428571429</v>
      </c>
      <c r="G506" s="11" t="n">
        <f aca="true">(TODAY()-D506)/7</f>
        <v>32.5714285714286</v>
      </c>
      <c r="H506" s="12"/>
      <c r="I506" s="12"/>
      <c r="J506" s="13" t="n">
        <f aca="false">IFERROR(((G506*H506)/F506)-I506,"")</f>
        <v>0</v>
      </c>
      <c r="K506" s="12" t="str">
        <f aca="false">IF(J506&lt;-10,"MUITO ADIANTADO",IF(J506&lt;-6,"ADIANTADO",IF(J506&lt;6,"EM DIAS",IF(J506&lt;12,"ATRASADO","MUITO ATRASADO"))))</f>
        <v>EM DIAS</v>
      </c>
      <c r="L506" s="9" t="n">
        <v>46162</v>
      </c>
      <c r="M506" s="6" t="n">
        <f aca="true">TODAY()-L506</f>
        <v>9</v>
      </c>
      <c r="N506" s="1" t="str">
        <f aca="false">IF(M506&lt;8,"VERIFICADO",IF(M506&lt;15,"VERIFICAR","VERIFICAR URGENTE"))</f>
        <v>VERIFICAR</v>
      </c>
    </row>
    <row r="507" customFormat="false" ht="15" hidden="false" customHeight="false" outlineLevel="0" collapsed="false">
      <c r="A507" s="6"/>
      <c r="B507" s="7"/>
      <c r="C507" s="8" t="n">
        <f aca="false">L507</f>
        <v>46163</v>
      </c>
      <c r="D507" s="9" t="n">
        <v>45944</v>
      </c>
      <c r="E507" s="10" t="n">
        <v>47684</v>
      </c>
      <c r="F507" s="11" t="n">
        <f aca="false">(E507-D507)/7</f>
        <v>248.571428571429</v>
      </c>
      <c r="G507" s="11" t="n">
        <f aca="true">(TODAY()-D507)/7</f>
        <v>32.4285714285714</v>
      </c>
      <c r="H507" s="12"/>
      <c r="I507" s="12"/>
      <c r="J507" s="13" t="n">
        <f aca="false">IFERROR(((G507*H507)/F507)-I507,"")</f>
        <v>0</v>
      </c>
      <c r="K507" s="12" t="str">
        <f aca="false">IF(J507&lt;-10,"MUITO ADIANTADO",IF(J507&lt;-6,"ADIANTADO",IF(J507&lt;6,"EM DIAS",IF(J507&lt;12,"ATRASADO","MUITO ATRASADO"))))</f>
        <v>EM DIAS</v>
      </c>
      <c r="L507" s="9" t="n">
        <v>46163</v>
      </c>
      <c r="M507" s="6" t="n">
        <f aca="true">TODAY()-L507</f>
        <v>8</v>
      </c>
      <c r="N507" s="1" t="str">
        <f aca="false">IF(M507&lt;8,"VERIFICADO",IF(M507&lt;15,"VERIFICAR","VERIFICAR URGENTE"))</f>
        <v>VERIFICAR</v>
      </c>
    </row>
    <row r="508" customFormat="false" ht="15" hidden="false" customHeight="false" outlineLevel="0" collapsed="false">
      <c r="A508" s="6"/>
      <c r="B508" s="7"/>
      <c r="C508" s="8" t="n">
        <f aca="false">L508</f>
        <v>46164</v>
      </c>
      <c r="D508" s="9" t="n">
        <v>45945</v>
      </c>
      <c r="E508" s="10" t="n">
        <v>47685</v>
      </c>
      <c r="F508" s="11" t="n">
        <f aca="false">(E508-D508)/7</f>
        <v>248.571428571429</v>
      </c>
      <c r="G508" s="11" t="n">
        <f aca="true">(TODAY()-D508)/7</f>
        <v>32.2857142857143</v>
      </c>
      <c r="H508" s="12"/>
      <c r="I508" s="12"/>
      <c r="J508" s="13" t="n">
        <f aca="false">IFERROR(((G508*H508)/F508)-I508,"")</f>
        <v>0</v>
      </c>
      <c r="K508" s="12" t="str">
        <f aca="false">IF(J508&lt;-10,"MUITO ADIANTADO",IF(J508&lt;-6,"ADIANTADO",IF(J508&lt;6,"EM DIAS",IF(J508&lt;12,"ATRASADO","MUITO ATRASADO"))))</f>
        <v>EM DIAS</v>
      </c>
      <c r="L508" s="9" t="n">
        <v>46164</v>
      </c>
      <c r="M508" s="6" t="n">
        <f aca="true">TODAY()-L508</f>
        <v>7</v>
      </c>
      <c r="N508" s="1" t="str">
        <f aca="false">IF(M508&lt;8,"VERIFICADO",IF(M508&lt;15,"VERIFICAR","VERIFICAR URGENTE"))</f>
        <v>VERIFICADO</v>
      </c>
    </row>
    <row r="509" customFormat="false" ht="15" hidden="false" customHeight="false" outlineLevel="0" collapsed="false">
      <c r="A509" s="6"/>
      <c r="B509" s="7"/>
      <c r="C509" s="8" t="n">
        <f aca="false">L509</f>
        <v>46165</v>
      </c>
      <c r="D509" s="9" t="n">
        <v>45946</v>
      </c>
      <c r="E509" s="10" t="n">
        <v>47686</v>
      </c>
      <c r="F509" s="11" t="n">
        <f aca="false">(E509-D509)/7</f>
        <v>248.571428571429</v>
      </c>
      <c r="G509" s="11" t="n">
        <f aca="true">(TODAY()-D509)/7</f>
        <v>32.1428571428571</v>
      </c>
      <c r="H509" s="12"/>
      <c r="I509" s="12"/>
      <c r="J509" s="13" t="n">
        <f aca="false">IFERROR(((G509*H509)/F509)-I509,"")</f>
        <v>0</v>
      </c>
      <c r="K509" s="12" t="str">
        <f aca="false">IF(J509&lt;-10,"MUITO ADIANTADO",IF(J509&lt;-6,"ADIANTADO",IF(J509&lt;6,"EM DIAS",IF(J509&lt;12,"ATRASADO","MUITO ATRASADO"))))</f>
        <v>EM DIAS</v>
      </c>
      <c r="L509" s="9" t="n">
        <v>46165</v>
      </c>
      <c r="M509" s="6" t="n">
        <f aca="true">TODAY()-L509</f>
        <v>6</v>
      </c>
      <c r="N509" s="1" t="str">
        <f aca="false">IF(M509&lt;8,"VERIFICADO",IF(M509&lt;15,"VERIFICAR","VERIFICAR URGENTE"))</f>
        <v>VERIFICADO</v>
      </c>
    </row>
    <row r="510" customFormat="false" ht="15" hidden="false" customHeight="false" outlineLevel="0" collapsed="false">
      <c r="A510" s="6"/>
      <c r="B510" s="7"/>
      <c r="C510" s="8" t="n">
        <f aca="false">L510</f>
        <v>46166</v>
      </c>
      <c r="D510" s="9" t="n">
        <v>45947</v>
      </c>
      <c r="E510" s="10" t="n">
        <v>47687</v>
      </c>
      <c r="F510" s="11" t="n">
        <f aca="false">(E510-D510)/7</f>
        <v>248.571428571429</v>
      </c>
      <c r="G510" s="11" t="n">
        <f aca="true">(TODAY()-D510)/7</f>
        <v>32</v>
      </c>
      <c r="H510" s="12"/>
      <c r="I510" s="12"/>
      <c r="J510" s="13" t="n">
        <f aca="false">IFERROR(((G510*H510)/F510)-I510,"")</f>
        <v>0</v>
      </c>
      <c r="K510" s="12" t="str">
        <f aca="false">IF(J510&lt;-10,"MUITO ADIANTADO",IF(J510&lt;-6,"ADIANTADO",IF(J510&lt;6,"EM DIAS",IF(J510&lt;12,"ATRASADO","MUITO ATRASADO"))))</f>
        <v>EM DIAS</v>
      </c>
      <c r="L510" s="9" t="n">
        <v>46166</v>
      </c>
      <c r="M510" s="6" t="n">
        <f aca="true">TODAY()-L510</f>
        <v>5</v>
      </c>
      <c r="N510" s="1" t="str">
        <f aca="false">IF(M510&lt;8,"VERIFICADO",IF(M510&lt;15,"VERIFICAR","VERIFICAR URGENTE"))</f>
        <v>VERIFICADO</v>
      </c>
    </row>
    <row r="511" customFormat="false" ht="15" hidden="false" customHeight="false" outlineLevel="0" collapsed="false">
      <c r="A511" s="6"/>
      <c r="B511" s="7"/>
      <c r="C511" s="8" t="n">
        <f aca="false">L511</f>
        <v>46150</v>
      </c>
      <c r="D511" s="9" t="n">
        <v>45948</v>
      </c>
      <c r="E511" s="10" t="n">
        <v>47688</v>
      </c>
      <c r="F511" s="11" t="n">
        <f aca="false">(E511-D511)/7</f>
        <v>248.571428571429</v>
      </c>
      <c r="G511" s="11" t="n">
        <f aca="true">(TODAY()-D511)/7</f>
        <v>31.8571428571429</v>
      </c>
      <c r="H511" s="12"/>
      <c r="I511" s="12"/>
      <c r="J511" s="13" t="n">
        <f aca="false">IFERROR(((G511*H511)/F521)-I511,"")</f>
        <v>0</v>
      </c>
      <c r="K511" s="12" t="str">
        <f aca="false">IF(J511&lt;-10,"MUITO ADIANTADO",IF(J511&lt;-6,"ADIANTADO",IF(J511&lt;6,"EM DIAS",IF(J511&lt;12,"ATRASADO","MUITO ATRASADO"))))</f>
        <v>EM DIAS</v>
      </c>
      <c r="L511" s="9" t="n">
        <v>46150</v>
      </c>
      <c r="M511" s="6" t="n">
        <f aca="true">TODAY()-L511</f>
        <v>21</v>
      </c>
      <c r="N511" s="1" t="str">
        <f aca="false">IF(M511&lt;8,"VERIFICADO",IF(M511&lt;15,"VERIFICAR","VERIFICAR URGENTE"))</f>
        <v>VERIFICAR URGENTE</v>
      </c>
    </row>
    <row r="512" customFormat="false" ht="15" hidden="false" customHeight="false" outlineLevel="0" collapsed="false">
      <c r="A512" s="6"/>
      <c r="B512" s="7"/>
      <c r="C512" s="8" t="n">
        <f aca="false">L512</f>
        <v>46151</v>
      </c>
      <c r="D512" s="9" t="n">
        <v>45949</v>
      </c>
      <c r="E512" s="10" t="n">
        <v>47689</v>
      </c>
      <c r="F512" s="11" t="n">
        <f aca="false">(E512-D512)/7</f>
        <v>248.571428571429</v>
      </c>
      <c r="G512" s="11" t="n">
        <f aca="true">(TODAY()-D512)/7</f>
        <v>31.7142857142857</v>
      </c>
      <c r="H512" s="12"/>
      <c r="I512" s="12"/>
      <c r="J512" s="13" t="n">
        <f aca="false">IFERROR(((G512*H512)/F522)-I512,"")</f>
        <v>0</v>
      </c>
      <c r="K512" s="12" t="str">
        <f aca="false">IF(J512&lt;-10,"MUITO ADIANTADO",IF(J512&lt;-6,"ADIANTADO",IF(J512&lt;6,"EM DIAS",IF(J512&lt;12,"ATRASADO","MUITO ATRASADO"))))</f>
        <v>EM DIAS</v>
      </c>
      <c r="L512" s="9" t="n">
        <v>46151</v>
      </c>
      <c r="M512" s="6" t="n">
        <f aca="true">TODAY()-L512</f>
        <v>20</v>
      </c>
      <c r="N512" s="1" t="str">
        <f aca="false">IF(M512&lt;8,"VERIFICADO",IF(M512&lt;15,"VERIFICAR","VERIFICAR URGENTE"))</f>
        <v>VERIFICAR URGENTE</v>
      </c>
    </row>
    <row r="513" customFormat="false" ht="15" hidden="false" customHeight="false" outlineLevel="0" collapsed="false">
      <c r="A513" s="6"/>
      <c r="B513" s="7"/>
      <c r="C513" s="8" t="n">
        <f aca="false">L513</f>
        <v>46152</v>
      </c>
      <c r="D513" s="9" t="n">
        <v>45950</v>
      </c>
      <c r="E513" s="10" t="n">
        <v>47690</v>
      </c>
      <c r="F513" s="11" t="n">
        <f aca="false">(E513-D513)/7</f>
        <v>248.571428571429</v>
      </c>
      <c r="G513" s="11" t="n">
        <f aca="true">(TODAY()-D513)/7</f>
        <v>31.5714285714286</v>
      </c>
      <c r="H513" s="12"/>
      <c r="I513" s="12"/>
      <c r="J513" s="13" t="n">
        <f aca="false">IFERROR(((G513*H513)/F523)-I513,"")</f>
        <v>0</v>
      </c>
      <c r="K513" s="12" t="str">
        <f aca="false">IF(J513&lt;-10,"MUITO ADIANTADO",IF(J513&lt;-6,"ADIANTADO",IF(J513&lt;6,"EM DIAS",IF(J513&lt;12,"ATRASADO","MUITO ATRASADO"))))</f>
        <v>EM DIAS</v>
      </c>
      <c r="L513" s="9" t="n">
        <v>46152</v>
      </c>
      <c r="M513" s="6" t="n">
        <f aca="true">TODAY()-L513</f>
        <v>19</v>
      </c>
      <c r="N513" s="1" t="str">
        <f aca="false">IF(M513&lt;8,"VERIFICADO",IF(M513&lt;15,"VERIFICAR","VERIFICAR URGENTE"))</f>
        <v>VERIFICAR URGENTE</v>
      </c>
    </row>
    <row r="514" customFormat="false" ht="15" hidden="false" customHeight="false" outlineLevel="0" collapsed="false">
      <c r="A514" s="6"/>
      <c r="B514" s="7"/>
      <c r="C514" s="8" t="n">
        <f aca="false">L514</f>
        <v>46153</v>
      </c>
      <c r="D514" s="9" t="n">
        <v>45951</v>
      </c>
      <c r="E514" s="10" t="n">
        <v>47691</v>
      </c>
      <c r="F514" s="11" t="n">
        <f aca="false">(E514-D514)/7</f>
        <v>248.571428571429</v>
      </c>
      <c r="G514" s="11" t="n">
        <f aca="true">(TODAY()-D514)/7</f>
        <v>31.4285714285714</v>
      </c>
      <c r="H514" s="12"/>
      <c r="I514" s="12"/>
      <c r="J514" s="13" t="n">
        <f aca="false">IFERROR(((G514*H514)/F524)-I514,"")</f>
        <v>0</v>
      </c>
      <c r="K514" s="12" t="str">
        <f aca="false">IF(J514&lt;-10,"MUITO ADIANTADO",IF(J514&lt;-6,"ADIANTADO",IF(J514&lt;6,"EM DIAS",IF(J514&lt;12,"ATRASADO","MUITO ATRASADO"))))</f>
        <v>EM DIAS</v>
      </c>
      <c r="L514" s="9" t="n">
        <v>46153</v>
      </c>
      <c r="M514" s="6" t="n">
        <f aca="true">TODAY()-L514</f>
        <v>18</v>
      </c>
      <c r="N514" s="1" t="str">
        <f aca="false">IF(M514&lt;8,"VERIFICADO",IF(M514&lt;15,"VERIFICAR","VERIFICAR URGENTE"))</f>
        <v>VERIFICAR URGENTE</v>
      </c>
    </row>
    <row r="515" customFormat="false" ht="15" hidden="false" customHeight="false" outlineLevel="0" collapsed="false">
      <c r="A515" s="6"/>
      <c r="B515" s="7"/>
      <c r="C515" s="8" t="n">
        <f aca="false">L515</f>
        <v>46154</v>
      </c>
      <c r="D515" s="9" t="n">
        <v>45952</v>
      </c>
      <c r="E515" s="10" t="n">
        <v>47692</v>
      </c>
      <c r="F515" s="11" t="n">
        <f aca="false">(E515-D515)/7</f>
        <v>248.571428571429</v>
      </c>
      <c r="G515" s="11" t="n">
        <f aca="true">(TODAY()-D515)/7</f>
        <v>31.2857142857143</v>
      </c>
      <c r="H515" s="12"/>
      <c r="I515" s="12"/>
      <c r="J515" s="13" t="n">
        <f aca="false">IFERROR(((G515*H515)/F525)-I515,"")</f>
        <v>0</v>
      </c>
      <c r="K515" s="12" t="str">
        <f aca="false">IF(J515&lt;-10,"MUITO ADIANTADO",IF(J515&lt;-6,"ADIANTADO",IF(J515&lt;6,"EM DIAS",IF(J515&lt;12,"ATRASADO","MUITO ATRASADO"))))</f>
        <v>EM DIAS</v>
      </c>
      <c r="L515" s="9" t="n">
        <v>46154</v>
      </c>
      <c r="M515" s="6" t="n">
        <f aca="true">TODAY()-L515</f>
        <v>17</v>
      </c>
      <c r="N515" s="1" t="str">
        <f aca="false">IF(M515&lt;8,"VERIFICADO",IF(M515&lt;15,"VERIFICAR","VERIFICAR URGENTE"))</f>
        <v>VERIFICAR URGENTE</v>
      </c>
    </row>
    <row r="516" customFormat="false" ht="15" hidden="false" customHeight="false" outlineLevel="0" collapsed="false">
      <c r="A516" s="6"/>
      <c r="B516" s="7"/>
      <c r="C516" s="8" t="n">
        <f aca="false">L516</f>
        <v>46155</v>
      </c>
      <c r="D516" s="9" t="n">
        <v>45953</v>
      </c>
      <c r="E516" s="10" t="n">
        <v>47693</v>
      </c>
      <c r="F516" s="11" t="n">
        <f aca="false">(E516-D516)/7</f>
        <v>248.571428571429</v>
      </c>
      <c r="G516" s="11" t="n">
        <f aca="true">(TODAY()-D516)/7</f>
        <v>31.1428571428571</v>
      </c>
      <c r="H516" s="12"/>
      <c r="I516" s="12"/>
      <c r="J516" s="13" t="n">
        <f aca="false">IFERROR(((G516*H516)/F516)-I516,"")</f>
        <v>0</v>
      </c>
      <c r="K516" s="12" t="str">
        <f aca="false">IF(J516&lt;-10,"MUITO ADIANTADO",IF(J516&lt;-6,"ADIANTADO",IF(J516&lt;6,"EM DIAS",IF(J516&lt;12,"ATRASADO","MUITO ATRASADO"))))</f>
        <v>EM DIAS</v>
      </c>
      <c r="L516" s="9" t="n">
        <v>46155</v>
      </c>
      <c r="M516" s="6" t="n">
        <f aca="true">TODAY()-L516</f>
        <v>16</v>
      </c>
      <c r="N516" s="1" t="str">
        <f aca="false">IF(M516&lt;8,"VERIFICADO",IF(M516&lt;15,"VERIFICAR","VERIFICAR URGENTE"))</f>
        <v>VERIFICAR URGENTE</v>
      </c>
    </row>
    <row r="517" customFormat="false" ht="15" hidden="false" customHeight="false" outlineLevel="0" collapsed="false">
      <c r="A517" s="6"/>
      <c r="B517" s="7"/>
      <c r="C517" s="8" t="n">
        <f aca="false">L517</f>
        <v>46156</v>
      </c>
      <c r="D517" s="9" t="n">
        <v>45954</v>
      </c>
      <c r="E517" s="10" t="n">
        <v>47694</v>
      </c>
      <c r="F517" s="11" t="n">
        <f aca="false">(E517-D517)/7</f>
        <v>248.571428571429</v>
      </c>
      <c r="G517" s="11" t="n">
        <f aca="true">(TODAY()-D517)/7</f>
        <v>31</v>
      </c>
      <c r="H517" s="12"/>
      <c r="I517" s="12"/>
      <c r="J517" s="13" t="n">
        <f aca="false">IFERROR(((G517*H517)/F517)-I517,"")</f>
        <v>0</v>
      </c>
      <c r="K517" s="12" t="str">
        <f aca="false">IF(J517&lt;-10,"MUITO ADIANTADO",IF(J517&lt;-6,"ADIANTADO",IF(J517&lt;6,"EM DIAS",IF(J517&lt;12,"ATRASADO","MUITO ATRASADO"))))</f>
        <v>EM DIAS</v>
      </c>
      <c r="L517" s="9" t="n">
        <v>46156</v>
      </c>
      <c r="M517" s="6" t="n">
        <f aca="true">TODAY()-L517</f>
        <v>15</v>
      </c>
      <c r="N517" s="1" t="str">
        <f aca="false">IF(M517&lt;8,"VERIFICADO",IF(M517&lt;15,"VERIFICAR","VERIFICAR URGENTE"))</f>
        <v>VERIFICAR URGENTE</v>
      </c>
    </row>
    <row r="518" customFormat="false" ht="15" hidden="false" customHeight="false" outlineLevel="0" collapsed="false">
      <c r="A518" s="6"/>
      <c r="B518" s="7"/>
      <c r="C518" s="8" t="n">
        <f aca="false">L518</f>
        <v>46157</v>
      </c>
      <c r="D518" s="9" t="n">
        <v>45955</v>
      </c>
      <c r="E518" s="10" t="n">
        <v>47695</v>
      </c>
      <c r="F518" s="11" t="n">
        <f aca="false">(E518-D518)/7</f>
        <v>248.571428571429</v>
      </c>
      <c r="G518" s="11" t="n">
        <f aca="true">(TODAY()-D518)/7</f>
        <v>30.8571428571429</v>
      </c>
      <c r="H518" s="12"/>
      <c r="I518" s="12"/>
      <c r="J518" s="13" t="n">
        <f aca="false">IFERROR(((G518*H518)/F518)-I518,"")</f>
        <v>0</v>
      </c>
      <c r="K518" s="12" t="str">
        <f aca="false">IF(J518&lt;-10,"MUITO ADIANTADO",IF(J518&lt;-6,"ADIANTADO",IF(J518&lt;6,"EM DIAS",IF(J518&lt;12,"ATRASADO","MUITO ATRASADO"))))</f>
        <v>EM DIAS</v>
      </c>
      <c r="L518" s="9" t="n">
        <v>46157</v>
      </c>
      <c r="M518" s="6" t="n">
        <f aca="true">TODAY()-L518</f>
        <v>14</v>
      </c>
      <c r="N518" s="1" t="str">
        <f aca="false">IF(M518&lt;8,"VERIFICADO",IF(M518&lt;15,"VERIFICAR","VERIFICAR URGENTE"))</f>
        <v>VERIFICAR</v>
      </c>
    </row>
    <row r="519" customFormat="false" ht="15" hidden="false" customHeight="false" outlineLevel="0" collapsed="false">
      <c r="A519" s="6"/>
      <c r="B519" s="7"/>
      <c r="C519" s="8" t="n">
        <f aca="false">L519</f>
        <v>46158</v>
      </c>
      <c r="D519" s="9" t="n">
        <v>45956</v>
      </c>
      <c r="E519" s="10" t="n">
        <v>47696</v>
      </c>
      <c r="F519" s="11" t="n">
        <f aca="false">(E519-D519)/7</f>
        <v>248.571428571429</v>
      </c>
      <c r="G519" s="11" t="n">
        <f aca="true">(TODAY()-D519)/7</f>
        <v>30.7142857142857</v>
      </c>
      <c r="H519" s="12"/>
      <c r="I519" s="12"/>
      <c r="J519" s="13" t="n">
        <f aca="false">IFERROR(((G519*H519)/F519)-I519,"")</f>
        <v>0</v>
      </c>
      <c r="K519" s="12" t="str">
        <f aca="false">IF(J519&lt;-10,"MUITO ADIANTADO",IF(J519&lt;-6,"ADIANTADO",IF(J519&lt;6,"EM DIAS",IF(J519&lt;12,"ATRASADO","MUITO ATRASADO"))))</f>
        <v>EM DIAS</v>
      </c>
      <c r="L519" s="9" t="n">
        <v>46158</v>
      </c>
      <c r="M519" s="6" t="n">
        <f aca="true">TODAY()-L519</f>
        <v>13</v>
      </c>
      <c r="N519" s="1" t="str">
        <f aca="false">IF(M519&lt;8,"VERIFICADO",IF(M519&lt;15,"VERIFICAR","VERIFICAR URGENTE"))</f>
        <v>VERIFICAR</v>
      </c>
    </row>
    <row r="520" customFormat="false" ht="15" hidden="false" customHeight="false" outlineLevel="0" collapsed="false">
      <c r="A520" s="6"/>
      <c r="B520" s="7"/>
      <c r="C520" s="8" t="n">
        <f aca="false">L520</f>
        <v>46159</v>
      </c>
      <c r="D520" s="9" t="n">
        <v>45957</v>
      </c>
      <c r="E520" s="10" t="n">
        <v>47697</v>
      </c>
      <c r="F520" s="11" t="n">
        <f aca="false">(E520-D520)/7</f>
        <v>248.571428571429</v>
      </c>
      <c r="G520" s="11" t="n">
        <f aca="true">(TODAY()-D520)/7</f>
        <v>30.5714285714286</v>
      </c>
      <c r="H520" s="12"/>
      <c r="I520" s="12"/>
      <c r="J520" s="13" t="n">
        <f aca="false">IFERROR(((G520*H520)/F520)-I520,"")</f>
        <v>0</v>
      </c>
      <c r="K520" s="12" t="str">
        <f aca="false">IF(J520&lt;-10,"MUITO ADIANTADO",IF(J520&lt;-6,"ADIANTADO",IF(J520&lt;6,"EM DIAS",IF(J520&lt;12,"ATRASADO","MUITO ATRASADO"))))</f>
        <v>EM DIAS</v>
      </c>
      <c r="L520" s="9" t="n">
        <v>46159</v>
      </c>
      <c r="M520" s="6" t="n">
        <f aca="true">TODAY()-L520</f>
        <v>12</v>
      </c>
      <c r="N520" s="1" t="str">
        <f aca="false">IF(M520&lt;8,"VERIFICADO",IF(M520&lt;15,"VERIFICAR","VERIFICAR URGENTE"))</f>
        <v>VERIFICAR</v>
      </c>
    </row>
    <row r="521" customFormat="false" ht="15" hidden="false" customHeight="false" outlineLevel="0" collapsed="false">
      <c r="A521" s="6"/>
      <c r="B521" s="7"/>
      <c r="C521" s="8" t="n">
        <f aca="false">L521</f>
        <v>46160</v>
      </c>
      <c r="D521" s="9" t="n">
        <v>45958</v>
      </c>
      <c r="E521" s="10" t="n">
        <v>47698</v>
      </c>
      <c r="F521" s="11" t="n">
        <f aca="false">(E521-D521)/7</f>
        <v>248.571428571429</v>
      </c>
      <c r="G521" s="11" t="n">
        <f aca="true">(TODAY()-D521)/7</f>
        <v>30.4285714285714</v>
      </c>
      <c r="H521" s="12"/>
      <c r="I521" s="12"/>
      <c r="J521" s="13" t="n">
        <f aca="false">IFERROR(((G521*H521)/F521)-I521,"")</f>
        <v>0</v>
      </c>
      <c r="K521" s="12" t="str">
        <f aca="false">IF(J521&lt;-10,"MUITO ADIANTADO",IF(J521&lt;-6,"ADIANTADO",IF(J521&lt;6,"EM DIAS",IF(J521&lt;12,"ATRASADO","MUITO ATRASADO"))))</f>
        <v>EM DIAS</v>
      </c>
      <c r="L521" s="9" t="n">
        <v>46160</v>
      </c>
      <c r="M521" s="6" t="n">
        <f aca="true">TODAY()-L521</f>
        <v>11</v>
      </c>
      <c r="N521" s="1" t="str">
        <f aca="false">IF(M521&lt;8,"VERIFICADO",IF(M521&lt;15,"VERIFICAR","VERIFICAR URGENTE"))</f>
        <v>VERIFICAR</v>
      </c>
    </row>
    <row r="522" customFormat="false" ht="15" hidden="false" customHeight="false" outlineLevel="0" collapsed="false">
      <c r="A522" s="6"/>
      <c r="B522" s="7"/>
      <c r="C522" s="8" t="n">
        <f aca="false">L522</f>
        <v>46161</v>
      </c>
      <c r="D522" s="9" t="n">
        <v>45959</v>
      </c>
      <c r="E522" s="10" t="n">
        <v>47699</v>
      </c>
      <c r="F522" s="11" t="n">
        <f aca="false">(E522-D522)/7</f>
        <v>248.571428571429</v>
      </c>
      <c r="G522" s="11" t="n">
        <f aca="true">(TODAY()-D522)/7</f>
        <v>30.2857142857143</v>
      </c>
      <c r="H522" s="12"/>
      <c r="I522" s="12"/>
      <c r="J522" s="13" t="n">
        <f aca="false">IFERROR(((G522*H522)/F522)-I522,"")</f>
        <v>0</v>
      </c>
      <c r="K522" s="12" t="str">
        <f aca="false">IF(J522&lt;-10,"MUITO ADIANTADO",IF(J522&lt;-6,"ADIANTADO",IF(J522&lt;6,"EM DIAS",IF(J522&lt;12,"ATRASADO","MUITO ATRASADO"))))</f>
        <v>EM DIAS</v>
      </c>
      <c r="L522" s="9" t="n">
        <v>46161</v>
      </c>
      <c r="M522" s="6" t="n">
        <f aca="true">TODAY()-L522</f>
        <v>10</v>
      </c>
      <c r="N522" s="1" t="str">
        <f aca="false">IF(M522&lt;8,"VERIFICADO",IF(M522&lt;15,"VERIFICAR","VERIFICAR URGENTE"))</f>
        <v>VERIFICAR</v>
      </c>
    </row>
    <row r="523" customFormat="false" ht="15" hidden="false" customHeight="false" outlineLevel="0" collapsed="false">
      <c r="A523" s="6"/>
      <c r="B523" s="7"/>
      <c r="C523" s="8" t="n">
        <f aca="false">L523</f>
        <v>46162</v>
      </c>
      <c r="D523" s="9" t="n">
        <v>45960</v>
      </c>
      <c r="E523" s="10" t="n">
        <v>47700</v>
      </c>
      <c r="F523" s="11" t="n">
        <f aca="false">(E523-D523)/7</f>
        <v>248.571428571429</v>
      </c>
      <c r="G523" s="11" t="n">
        <f aca="true">(TODAY()-D523)/7</f>
        <v>30.1428571428571</v>
      </c>
      <c r="H523" s="12"/>
      <c r="I523" s="12"/>
      <c r="J523" s="13" t="n">
        <f aca="false">IFERROR(((G523*H523)/F523)-I523,"")</f>
        <v>0</v>
      </c>
      <c r="K523" s="12" t="str">
        <f aca="false">IF(J523&lt;-10,"MUITO ADIANTADO",IF(J523&lt;-6,"ADIANTADO",IF(J523&lt;6,"EM DIAS",IF(J523&lt;12,"ATRASADO","MUITO ATRASADO"))))</f>
        <v>EM DIAS</v>
      </c>
      <c r="L523" s="9" t="n">
        <v>46162</v>
      </c>
      <c r="M523" s="6" t="n">
        <f aca="true">TODAY()-L523</f>
        <v>9</v>
      </c>
      <c r="N523" s="1" t="str">
        <f aca="false">IF(M523&lt;8,"VERIFICADO",IF(M523&lt;15,"VERIFICAR","VERIFICAR URGENTE"))</f>
        <v>VERIFICAR</v>
      </c>
    </row>
    <row r="524" customFormat="false" ht="15" hidden="false" customHeight="false" outlineLevel="0" collapsed="false">
      <c r="A524" s="6"/>
      <c r="B524" s="7"/>
      <c r="C524" s="8" t="n">
        <f aca="false">L524</f>
        <v>46163</v>
      </c>
      <c r="D524" s="9" t="n">
        <v>45961</v>
      </c>
      <c r="E524" s="10" t="n">
        <v>47701</v>
      </c>
      <c r="F524" s="11" t="n">
        <f aca="false">(E524-D524)/7</f>
        <v>248.571428571429</v>
      </c>
      <c r="G524" s="11" t="n">
        <f aca="true">(TODAY()-D524)/7</f>
        <v>30</v>
      </c>
      <c r="H524" s="12"/>
      <c r="I524" s="12"/>
      <c r="J524" s="13" t="n">
        <f aca="false">IFERROR(((G524*H524)/F524)-I524,"")</f>
        <v>0</v>
      </c>
      <c r="K524" s="12" t="str">
        <f aca="false">IF(J524&lt;-10,"MUITO ADIANTADO",IF(J524&lt;-6,"ADIANTADO",IF(J524&lt;6,"EM DIAS",IF(J524&lt;12,"ATRASADO","MUITO ATRASADO"))))</f>
        <v>EM DIAS</v>
      </c>
      <c r="L524" s="9" t="n">
        <v>46163</v>
      </c>
      <c r="M524" s="6" t="n">
        <f aca="true">TODAY()-L524</f>
        <v>8</v>
      </c>
      <c r="N524" s="1" t="str">
        <f aca="false">IF(M524&lt;8,"VERIFICADO",IF(M524&lt;15,"VERIFICAR","VERIFICAR URGENTE"))</f>
        <v>VERIFICAR</v>
      </c>
    </row>
    <row r="525" customFormat="false" ht="15" hidden="false" customHeight="false" outlineLevel="0" collapsed="false">
      <c r="A525" s="6"/>
      <c r="B525" s="7"/>
      <c r="C525" s="8" t="n">
        <f aca="false">L525</f>
        <v>46164</v>
      </c>
      <c r="D525" s="9" t="n">
        <v>45962</v>
      </c>
      <c r="E525" s="10" t="n">
        <v>47702</v>
      </c>
      <c r="F525" s="11" t="n">
        <f aca="false">(E525-D525)/7</f>
        <v>248.571428571429</v>
      </c>
      <c r="G525" s="11" t="n">
        <f aca="true">(TODAY()-D525)/7</f>
        <v>29.8571428571429</v>
      </c>
      <c r="H525" s="12"/>
      <c r="I525" s="12"/>
      <c r="J525" s="13" t="n">
        <f aca="false">IFERROR(((G525*H525)/F525)-I525,"")</f>
        <v>0</v>
      </c>
      <c r="K525" s="12" t="str">
        <f aca="false">IF(J525&lt;-10,"MUITO ADIANTADO",IF(J525&lt;-6,"ADIANTADO",IF(J525&lt;6,"EM DIAS",IF(J525&lt;12,"ATRASADO","MUITO ATRASADO"))))</f>
        <v>EM DIAS</v>
      </c>
      <c r="L525" s="9" t="n">
        <v>46164</v>
      </c>
      <c r="M525" s="6" t="n">
        <f aca="true">TODAY()-L525</f>
        <v>7</v>
      </c>
      <c r="N525" s="1" t="str">
        <f aca="false">IF(M525&lt;8,"VERIFICADO",IF(M525&lt;15,"VERIFICAR","VERIFICAR URGENTE"))</f>
        <v>VERIFICADO</v>
      </c>
    </row>
    <row r="526" customFormat="false" ht="15" hidden="false" customHeight="false" outlineLevel="0" collapsed="false">
      <c r="A526" s="6"/>
      <c r="B526" s="7"/>
      <c r="C526" s="8" t="n">
        <f aca="false">L526</f>
        <v>46165</v>
      </c>
      <c r="D526" s="9" t="n">
        <v>45963</v>
      </c>
      <c r="E526" s="10" t="n">
        <v>47703</v>
      </c>
      <c r="F526" s="11" t="n">
        <f aca="false">(E526-D526)/7</f>
        <v>248.571428571429</v>
      </c>
      <c r="G526" s="11" t="n">
        <f aca="true">(TODAY()-D526)/7</f>
        <v>29.7142857142857</v>
      </c>
      <c r="H526" s="12"/>
      <c r="I526" s="12"/>
      <c r="J526" s="13" t="n">
        <f aca="false">IFERROR(((G526*H526)/F526)-I526,"")</f>
        <v>0</v>
      </c>
      <c r="K526" s="12" t="str">
        <f aca="false">IF(J526&lt;-10,"MUITO ADIANTADO",IF(J526&lt;-6,"ADIANTADO",IF(J526&lt;6,"EM DIAS",IF(J526&lt;12,"ATRASADO","MUITO ATRASADO"))))</f>
        <v>EM DIAS</v>
      </c>
      <c r="L526" s="9" t="n">
        <v>46165</v>
      </c>
      <c r="M526" s="6" t="n">
        <f aca="true">TODAY()-L526</f>
        <v>6</v>
      </c>
      <c r="N526" s="1" t="str">
        <f aca="false">IF(M526&lt;8,"VERIFICADO",IF(M526&lt;15,"VERIFICAR","VERIFICAR URGENTE"))</f>
        <v>VERIFICADO</v>
      </c>
    </row>
    <row r="527" customFormat="false" ht="15" hidden="false" customHeight="false" outlineLevel="0" collapsed="false">
      <c r="A527" s="6"/>
      <c r="B527" s="7"/>
      <c r="C527" s="8" t="n">
        <f aca="false">L527</f>
        <v>46166</v>
      </c>
      <c r="D527" s="9" t="n">
        <v>45964</v>
      </c>
      <c r="E527" s="10" t="n">
        <v>47704</v>
      </c>
      <c r="F527" s="11" t="n">
        <f aca="false">(E527-D527)/7</f>
        <v>248.571428571429</v>
      </c>
      <c r="G527" s="11" t="n">
        <f aca="true">(TODAY()-D527)/7</f>
        <v>29.5714285714286</v>
      </c>
      <c r="H527" s="12"/>
      <c r="I527" s="12"/>
      <c r="J527" s="13" t="n">
        <f aca="false">IFERROR(((G527*H527)/F527)-I527,"")</f>
        <v>0</v>
      </c>
      <c r="K527" s="12" t="str">
        <f aca="false">IF(J527&lt;-10,"MUITO ADIANTADO",IF(J527&lt;-6,"ADIANTADO",IF(J527&lt;6,"EM DIAS",IF(J527&lt;12,"ATRASADO","MUITO ATRASADO"))))</f>
        <v>EM DIAS</v>
      </c>
      <c r="L527" s="9" t="n">
        <v>46166</v>
      </c>
      <c r="M527" s="6" t="n">
        <f aca="true">TODAY()-L527</f>
        <v>5</v>
      </c>
      <c r="N527" s="1" t="str">
        <f aca="false">IF(M527&lt;8,"VERIFICADO",IF(M527&lt;15,"VERIFICAR","VERIFICAR URGENTE"))</f>
        <v>VERIFICADO</v>
      </c>
    </row>
    <row r="528" customFormat="false" ht="15" hidden="false" customHeight="false" outlineLevel="0" collapsed="false">
      <c r="A528" s="6"/>
      <c r="B528" s="7"/>
      <c r="C528" s="8" t="n">
        <f aca="false">L528</f>
        <v>46167</v>
      </c>
      <c r="D528" s="9" t="n">
        <v>45965</v>
      </c>
      <c r="E528" s="10" t="n">
        <v>47705</v>
      </c>
      <c r="F528" s="11" t="n">
        <f aca="false">(E528-D528)/7</f>
        <v>248.571428571429</v>
      </c>
      <c r="G528" s="11" t="n">
        <f aca="true">(TODAY()-D528)/7</f>
        <v>29.4285714285714</v>
      </c>
      <c r="H528" s="12"/>
      <c r="I528" s="12"/>
      <c r="J528" s="13" t="n">
        <f aca="false">IFERROR(((G528*H528)/F528)-I528,"")</f>
        <v>0</v>
      </c>
      <c r="K528" s="12" t="str">
        <f aca="false">IF(J528&lt;-10,"MUITO ADIANTADO",IF(J528&lt;-6,"ADIANTADO",IF(J528&lt;6,"EM DIAS",IF(J528&lt;12,"ATRASADO","MUITO ATRASADO"))))</f>
        <v>EM DIAS</v>
      </c>
      <c r="L528" s="9" t="n">
        <v>46167</v>
      </c>
      <c r="M528" s="6" t="n">
        <f aca="true">TODAY()-L528</f>
        <v>4</v>
      </c>
      <c r="N528" s="1" t="str">
        <f aca="false">IF(M528&lt;8,"VERIFICADO",IF(M528&lt;15,"VERIFICAR","VERIFICAR URGENTE"))</f>
        <v>VERIFICADO</v>
      </c>
    </row>
    <row r="529" customFormat="false" ht="15" hidden="false" customHeight="false" outlineLevel="0" collapsed="false">
      <c r="A529" s="6"/>
      <c r="B529" s="7"/>
      <c r="C529" s="8" t="n">
        <f aca="false">L529</f>
        <v>46168</v>
      </c>
      <c r="D529" s="9" t="n">
        <v>45966</v>
      </c>
      <c r="E529" s="10" t="n">
        <v>47706</v>
      </c>
      <c r="F529" s="11" t="n">
        <f aca="false">(E529-D529)/7</f>
        <v>248.571428571429</v>
      </c>
      <c r="G529" s="11" t="n">
        <f aca="true">(TODAY()-D529)/7</f>
        <v>29.2857142857143</v>
      </c>
      <c r="H529" s="12"/>
      <c r="I529" s="12"/>
      <c r="J529" s="13" t="n">
        <f aca="false">IFERROR(((G529*H529)/F529)-I529,"")</f>
        <v>0</v>
      </c>
      <c r="K529" s="12" t="str">
        <f aca="false">IF(J529&lt;-10,"MUITO ADIANTADO",IF(J529&lt;-6,"ADIANTADO",IF(J529&lt;6,"EM DIAS",IF(J529&lt;12,"ATRASADO","MUITO ATRASADO"))))</f>
        <v>EM DIAS</v>
      </c>
      <c r="L529" s="9" t="n">
        <v>46168</v>
      </c>
      <c r="M529" s="6" t="n">
        <f aca="true">TODAY()-L529</f>
        <v>3</v>
      </c>
      <c r="N529" s="1" t="str">
        <f aca="false">IF(M529&lt;8,"VERIFICADO",IF(M529&lt;15,"VERIFICAR","VERIFICAR URGENTE"))</f>
        <v>VERIFICADO</v>
      </c>
    </row>
    <row r="530" customFormat="false" ht="15" hidden="false" customHeight="false" outlineLevel="0" collapsed="false">
      <c r="A530" s="6"/>
      <c r="B530" s="7"/>
      <c r="C530" s="8" t="n">
        <f aca="false">L530</f>
        <v>46169</v>
      </c>
      <c r="D530" s="9" t="n">
        <v>45967</v>
      </c>
      <c r="E530" s="10" t="n">
        <v>47707</v>
      </c>
      <c r="F530" s="11" t="n">
        <f aca="false">(E530-D530)/7</f>
        <v>248.571428571429</v>
      </c>
      <c r="G530" s="11" t="n">
        <f aca="true">(TODAY()-D530)/7</f>
        <v>29.1428571428571</v>
      </c>
      <c r="H530" s="12"/>
      <c r="I530" s="12"/>
      <c r="J530" s="13" t="n">
        <f aca="false">IFERROR(((G530*H530)/F530)-I530,"")</f>
        <v>0</v>
      </c>
      <c r="K530" s="12" t="str">
        <f aca="false">IF(J530&lt;-10,"MUITO ADIANTADO",IF(J530&lt;-6,"ADIANTADO",IF(J530&lt;6,"EM DIAS",IF(J530&lt;12,"ATRASADO","MUITO ATRASADO"))))</f>
        <v>EM DIAS</v>
      </c>
      <c r="L530" s="9" t="n">
        <v>46169</v>
      </c>
      <c r="M530" s="6" t="n">
        <f aca="true">TODAY()-L530</f>
        <v>2</v>
      </c>
      <c r="N530" s="1" t="str">
        <f aca="false">IF(M530&lt;8,"VERIFICADO",IF(M530&lt;15,"VERIFICAR","VERIFICAR URGENTE"))</f>
        <v>VERIFICADO</v>
      </c>
    </row>
    <row r="531" customFormat="false" ht="15" hidden="false" customHeight="false" outlineLevel="0" collapsed="false">
      <c r="A531" s="6"/>
      <c r="B531" s="7"/>
      <c r="C531" s="8" t="n">
        <f aca="false">L531</f>
        <v>46170</v>
      </c>
      <c r="D531" s="9" t="n">
        <v>45968</v>
      </c>
      <c r="E531" s="10" t="n">
        <v>47708</v>
      </c>
      <c r="F531" s="11" t="n">
        <f aca="false">(E531-D531)/7</f>
        <v>248.571428571429</v>
      </c>
      <c r="G531" s="11" t="n">
        <f aca="true">(TODAY()-D531)/7</f>
        <v>29</v>
      </c>
      <c r="H531" s="12"/>
      <c r="I531" s="12"/>
      <c r="J531" s="13" t="n">
        <f aca="false">IFERROR(((G531*H531)/F531)-I531,"")</f>
        <v>0</v>
      </c>
      <c r="K531" s="12" t="str">
        <f aca="false">IF(J531&lt;-10,"MUITO ADIANTADO",IF(J531&lt;-6,"ADIANTADO",IF(J531&lt;6,"EM DIAS",IF(J531&lt;12,"ATRASADO","MUITO ATRASADO"))))</f>
        <v>EM DIAS</v>
      </c>
      <c r="L531" s="9" t="n">
        <v>46170</v>
      </c>
      <c r="M531" s="6" t="n">
        <f aca="true">TODAY()-L531</f>
        <v>1</v>
      </c>
      <c r="N531" s="1" t="str">
        <f aca="false">IF(M531&lt;8,"VERIFICADO",IF(M531&lt;15,"VERIFICAR","VERIFICAR URGENTE"))</f>
        <v>VERIFICADO</v>
      </c>
    </row>
    <row r="532" customFormat="false" ht="15" hidden="false" customHeight="false" outlineLevel="0" collapsed="false">
      <c r="A532" s="6"/>
      <c r="B532" s="7"/>
      <c r="C532" s="8" t="n">
        <f aca="false">L532</f>
        <v>46171</v>
      </c>
      <c r="D532" s="9" t="n">
        <v>45969</v>
      </c>
      <c r="E532" s="10" t="n">
        <v>47709</v>
      </c>
      <c r="F532" s="11" t="n">
        <f aca="false">(E532-D532)/7</f>
        <v>248.571428571429</v>
      </c>
      <c r="G532" s="11" t="n">
        <f aca="true">(TODAY()-D532)/7</f>
        <v>28.8571428571429</v>
      </c>
      <c r="H532" s="12"/>
      <c r="I532" s="12"/>
      <c r="J532" s="13" t="n">
        <f aca="false">IFERROR(((G532*H532)/F532)-I532,"")</f>
        <v>0</v>
      </c>
      <c r="K532" s="12" t="str">
        <f aca="false">IF(J532&lt;-10,"MUITO ADIANTADO",IF(J532&lt;-6,"ADIANTADO",IF(J532&lt;6,"EM DIAS",IF(J532&lt;12,"ATRASADO","MUITO ATRASADO"))))</f>
        <v>EM DIAS</v>
      </c>
      <c r="L532" s="9" t="n">
        <v>46171</v>
      </c>
      <c r="M532" s="6" t="n">
        <f aca="true">TODAY()-L532</f>
        <v>0</v>
      </c>
      <c r="N532" s="1" t="str">
        <f aca="false">IF(M532&lt;8,"VERIFICADO",IF(M532&lt;15,"VERIFICAR","VERIFICAR URGENTE"))</f>
        <v>VERIFICADO</v>
      </c>
    </row>
    <row r="533" customFormat="false" ht="15" hidden="false" customHeight="false" outlineLevel="0" collapsed="false">
      <c r="A533" s="6"/>
      <c r="B533" s="7"/>
      <c r="C533" s="8" t="n">
        <f aca="false">L533</f>
        <v>46172</v>
      </c>
      <c r="D533" s="9" t="n">
        <v>45970</v>
      </c>
      <c r="E533" s="10" t="n">
        <v>47710</v>
      </c>
      <c r="F533" s="11" t="n">
        <f aca="false">(E533-D533)/7</f>
        <v>248.571428571429</v>
      </c>
      <c r="G533" s="11" t="n">
        <f aca="true">(TODAY()-D533)/7</f>
        <v>28.7142857142857</v>
      </c>
      <c r="H533" s="12"/>
      <c r="I533" s="12"/>
      <c r="J533" s="13" t="n">
        <f aca="false">IFERROR(((G533*H533)/F533)-I533,"")</f>
        <v>0</v>
      </c>
      <c r="K533" s="12" t="str">
        <f aca="false">IF(J533&lt;-10,"MUITO ADIANTADO",IF(J533&lt;-6,"ADIANTADO",IF(J533&lt;6,"EM DIAS",IF(J533&lt;12,"ATRASADO","MUITO ATRASADO"))))</f>
        <v>EM DIAS</v>
      </c>
      <c r="L533" s="9" t="n">
        <v>46172</v>
      </c>
      <c r="M533" s="6" t="n">
        <f aca="true">TODAY()-L533</f>
        <v>-1</v>
      </c>
      <c r="N533" s="1" t="str">
        <f aca="false">IF(M533&lt;8,"VERIFICADO",IF(M533&lt;15,"VERIFICAR","VERIFICAR URGENTE"))</f>
        <v>VERIFICADO</v>
      </c>
    </row>
    <row r="534" customFormat="false" ht="15" hidden="false" customHeight="false" outlineLevel="0" collapsed="false">
      <c r="A534" s="6"/>
      <c r="B534" s="7"/>
      <c r="C534" s="8" t="n">
        <f aca="false">L534</f>
        <v>46173</v>
      </c>
      <c r="D534" s="9" t="n">
        <v>45971</v>
      </c>
      <c r="E534" s="10" t="n">
        <v>47711</v>
      </c>
      <c r="F534" s="11" t="n">
        <f aca="false">(E534-D534)/7</f>
        <v>248.571428571429</v>
      </c>
      <c r="G534" s="11" t="n">
        <f aca="true">(TODAY()-D534)/7</f>
        <v>28.5714285714286</v>
      </c>
      <c r="H534" s="12"/>
      <c r="I534" s="12"/>
      <c r="J534" s="13" t="n">
        <f aca="false">IFERROR(((G534*H534)/F534)-I534,"")</f>
        <v>0</v>
      </c>
      <c r="K534" s="12" t="str">
        <f aca="false">IF(J534&lt;-10,"MUITO ADIANTADO",IF(J534&lt;-6,"ADIANTADO",IF(J534&lt;6,"EM DIAS",IF(J534&lt;12,"ATRASADO","MUITO ATRASADO"))))</f>
        <v>EM DIAS</v>
      </c>
      <c r="L534" s="9" t="n">
        <v>46173</v>
      </c>
      <c r="M534" s="6" t="n">
        <f aca="true">TODAY()-L534</f>
        <v>-2</v>
      </c>
      <c r="N534" s="1" t="str">
        <f aca="false">IF(M534&lt;8,"VERIFICADO",IF(M534&lt;15,"VERIFICAR","VERIFICAR URGENTE"))</f>
        <v>VERIFICADO</v>
      </c>
    </row>
    <row r="535" customFormat="false" ht="15" hidden="false" customHeight="false" outlineLevel="0" collapsed="false">
      <c r="A535" s="6"/>
      <c r="B535" s="7"/>
      <c r="C535" s="8" t="n">
        <f aca="false">L535</f>
        <v>46174</v>
      </c>
      <c r="D535" s="9" t="n">
        <v>45972</v>
      </c>
      <c r="E535" s="10" t="n">
        <v>47712</v>
      </c>
      <c r="F535" s="11" t="n">
        <f aca="false">(E535-D535)/7</f>
        <v>248.571428571429</v>
      </c>
      <c r="G535" s="11" t="n">
        <f aca="true">(TODAY()-D535)/7</f>
        <v>28.4285714285714</v>
      </c>
      <c r="H535" s="12"/>
      <c r="I535" s="12"/>
      <c r="J535" s="13" t="n">
        <f aca="false">IFERROR(((G535*H535)/F535)-I535,"")</f>
        <v>0</v>
      </c>
      <c r="K535" s="12" t="str">
        <f aca="false">IF(J535&lt;-10,"MUITO ADIANTADO",IF(J535&lt;-6,"ADIANTADO",IF(J535&lt;6,"EM DIAS",IF(J535&lt;12,"ATRASADO","MUITO ATRASADO"))))</f>
        <v>EM DIAS</v>
      </c>
      <c r="L535" s="9" t="n">
        <v>46174</v>
      </c>
      <c r="M535" s="6" t="n">
        <f aca="true">TODAY()-L535</f>
        <v>-3</v>
      </c>
      <c r="N535" s="1" t="str">
        <f aca="false">IF(M535&lt;8,"VERIFICADO",IF(M535&lt;15,"VERIFICAR","VERIFICAR URGENTE"))</f>
        <v>VERIFICADO</v>
      </c>
    </row>
    <row r="536" customFormat="false" ht="15" hidden="false" customHeight="false" outlineLevel="0" collapsed="false">
      <c r="A536" s="6"/>
      <c r="B536" s="7"/>
      <c r="C536" s="8" t="n">
        <f aca="false">L536</f>
        <v>46175</v>
      </c>
      <c r="D536" s="9" t="n">
        <v>45973</v>
      </c>
      <c r="E536" s="10" t="n">
        <v>47713</v>
      </c>
      <c r="F536" s="11" t="n">
        <f aca="false">(E536-D536)/7</f>
        <v>248.571428571429</v>
      </c>
      <c r="G536" s="11" t="n">
        <f aca="true">(TODAY()-D536)/7</f>
        <v>28.2857142857143</v>
      </c>
      <c r="H536" s="12"/>
      <c r="I536" s="12"/>
      <c r="J536" s="13" t="n">
        <f aca="false">IFERROR(((G536*H536)/F536)-I536,"")</f>
        <v>0</v>
      </c>
      <c r="K536" s="12" t="str">
        <f aca="false">IF(J536&lt;-10,"MUITO ADIANTADO",IF(J536&lt;-6,"ADIANTADO",IF(J536&lt;6,"EM DIAS",IF(J536&lt;12,"ATRASADO","MUITO ATRASADO"))))</f>
        <v>EM DIAS</v>
      </c>
      <c r="L536" s="9" t="n">
        <v>46175</v>
      </c>
      <c r="M536" s="6" t="n">
        <f aca="true">TODAY()-L536</f>
        <v>-4</v>
      </c>
      <c r="N536" s="1" t="str">
        <f aca="false">IF(M536&lt;8,"VERIFICADO",IF(M536&lt;15,"VERIFICAR","VERIFICAR URGENTE"))</f>
        <v>VERIFICADO</v>
      </c>
    </row>
    <row r="537" customFormat="false" ht="15" hidden="false" customHeight="false" outlineLevel="0" collapsed="false">
      <c r="A537" s="6"/>
      <c r="B537" s="7"/>
      <c r="C537" s="8" t="n">
        <f aca="false">L537</f>
        <v>46176</v>
      </c>
      <c r="D537" s="9" t="n">
        <v>45974</v>
      </c>
      <c r="E537" s="10" t="n">
        <v>47714</v>
      </c>
      <c r="F537" s="11" t="n">
        <f aca="false">(E537-D537)/7</f>
        <v>248.571428571429</v>
      </c>
      <c r="G537" s="11" t="n">
        <f aca="true">(TODAY()-D537)/7</f>
        <v>28.1428571428571</v>
      </c>
      <c r="H537" s="12"/>
      <c r="I537" s="12"/>
      <c r="J537" s="13" t="n">
        <f aca="false">IFERROR(((G537*H537)/F537)-I537,"")</f>
        <v>0</v>
      </c>
      <c r="K537" s="12" t="str">
        <f aca="false">IF(J537&lt;-10,"MUITO ADIANTADO",IF(J537&lt;-6,"ADIANTADO",IF(J537&lt;6,"EM DIAS",IF(J537&lt;12,"ATRASADO","MUITO ATRASADO"))))</f>
        <v>EM DIAS</v>
      </c>
      <c r="L537" s="9" t="n">
        <v>46176</v>
      </c>
      <c r="M537" s="6" t="n">
        <f aca="true">TODAY()-L537</f>
        <v>-5</v>
      </c>
      <c r="N537" s="1" t="str">
        <f aca="false">IF(M537&lt;8,"VERIFICADO",IF(M537&lt;15,"VERIFICAR","VERIFICAR URGENTE"))</f>
        <v>VERIFICADO</v>
      </c>
    </row>
    <row r="538" customFormat="false" ht="15" hidden="false" customHeight="false" outlineLevel="0" collapsed="false">
      <c r="A538" s="6"/>
      <c r="B538" s="7"/>
      <c r="C538" s="8" t="n">
        <f aca="false">L538</f>
        <v>46155</v>
      </c>
      <c r="D538" s="9" t="n">
        <v>45953</v>
      </c>
      <c r="E538" s="10" t="n">
        <v>47715</v>
      </c>
      <c r="F538" s="11" t="n">
        <f aca="false">(E538-D538)/7</f>
        <v>251.714285714286</v>
      </c>
      <c r="G538" s="11" t="n">
        <f aca="true">(TODAY()-D538)/7</f>
        <v>31.1428571428571</v>
      </c>
      <c r="H538" s="12"/>
      <c r="I538" s="12"/>
      <c r="J538" s="13" t="n">
        <f aca="false">IFERROR(((G538*H538)/F538)-I538,"")</f>
        <v>0</v>
      </c>
      <c r="K538" s="12" t="str">
        <f aca="false">IF(J538&lt;-10,"MUITO ADIANTADO",IF(J538&lt;-6,"ADIANTADO",IF(J538&lt;6,"EM DIAS",IF(J538&lt;12,"ATRASADO","MUITO ATRASADO"))))</f>
        <v>EM DIAS</v>
      </c>
      <c r="L538" s="9" t="n">
        <v>46155</v>
      </c>
      <c r="M538" s="6" t="n">
        <f aca="true">TODAY()-L538</f>
        <v>16</v>
      </c>
      <c r="N538" s="1" t="str">
        <f aca="false">IF(M538&lt;8,"VERIFICADO",IF(M538&lt;15,"VERIFICAR","VERIFICAR URGENTE"))</f>
        <v>VERIFICAR URGENTE</v>
      </c>
    </row>
    <row r="539" customFormat="false" ht="15" hidden="false" customHeight="false" outlineLevel="0" collapsed="false">
      <c r="A539" s="6"/>
      <c r="B539" s="7"/>
      <c r="C539" s="8" t="n">
        <f aca="false">L539</f>
        <v>46156</v>
      </c>
      <c r="D539" s="9" t="n">
        <v>45954</v>
      </c>
      <c r="E539" s="10" t="n">
        <v>47694</v>
      </c>
      <c r="F539" s="11" t="n">
        <f aca="false">(E539-D539)/7</f>
        <v>248.571428571429</v>
      </c>
      <c r="G539" s="11" t="n">
        <f aca="true">(TODAY()-D539)/7</f>
        <v>31</v>
      </c>
      <c r="H539" s="12"/>
      <c r="I539" s="12"/>
      <c r="J539" s="13" t="n">
        <f aca="false">IFERROR(((G539*H539)/F539)-I539,"")</f>
        <v>0</v>
      </c>
      <c r="K539" s="12" t="str">
        <f aca="false">IF(J539&lt;-10,"MUITO ADIANTADO",IF(J539&lt;-6,"ADIANTADO",IF(J539&lt;6,"EM DIAS",IF(J539&lt;12,"ATRASADO","MUITO ATRASADO"))))</f>
        <v>EM DIAS</v>
      </c>
      <c r="L539" s="9" t="n">
        <v>46156</v>
      </c>
      <c r="M539" s="6" t="n">
        <f aca="true">TODAY()-L539</f>
        <v>15</v>
      </c>
      <c r="N539" s="1" t="str">
        <f aca="false">IF(M539&lt;8,"VERIFICADO",IF(M539&lt;15,"VERIFICAR","VERIFICAR URGENTE"))</f>
        <v>VERIFICAR URGENTE</v>
      </c>
    </row>
    <row r="540" customFormat="false" ht="15" hidden="false" customHeight="false" outlineLevel="0" collapsed="false">
      <c r="A540" s="6"/>
      <c r="B540" s="7"/>
      <c r="C540" s="8" t="n">
        <f aca="false">L540</f>
        <v>46157</v>
      </c>
      <c r="D540" s="9" t="n">
        <v>45955</v>
      </c>
      <c r="E540" s="10" t="n">
        <v>47695</v>
      </c>
      <c r="F540" s="11" t="n">
        <f aca="false">(E540-D540)/7</f>
        <v>248.571428571429</v>
      </c>
      <c r="G540" s="11" t="n">
        <f aca="true">(TODAY()-D540)/7</f>
        <v>30.8571428571429</v>
      </c>
      <c r="H540" s="12"/>
      <c r="I540" s="12"/>
      <c r="J540" s="13" t="n">
        <f aca="false">IFERROR(((G540*H540)/F540)-I540,"")</f>
        <v>0</v>
      </c>
      <c r="K540" s="12" t="str">
        <f aca="false">IF(J540&lt;-10,"MUITO ADIANTADO",IF(J540&lt;-6,"ADIANTADO",IF(J540&lt;6,"EM DIAS",IF(J540&lt;12,"ATRASADO","MUITO ATRASADO"))))</f>
        <v>EM DIAS</v>
      </c>
      <c r="L540" s="9" t="n">
        <v>46157</v>
      </c>
      <c r="M540" s="6" t="n">
        <f aca="true">TODAY()-L540</f>
        <v>14</v>
      </c>
      <c r="N540" s="1" t="str">
        <f aca="false">IF(M540&lt;8,"VERIFICADO",IF(M540&lt;15,"VERIFICAR","VERIFICAR URGENTE"))</f>
        <v>VERIFICAR</v>
      </c>
    </row>
    <row r="541" customFormat="false" ht="15" hidden="false" customHeight="false" outlineLevel="0" collapsed="false">
      <c r="A541" s="6"/>
      <c r="B541" s="7"/>
      <c r="C541" s="8" t="n">
        <f aca="false">L541</f>
        <v>46158</v>
      </c>
      <c r="D541" s="9" t="n">
        <v>45956</v>
      </c>
      <c r="E541" s="10" t="n">
        <v>47696</v>
      </c>
      <c r="F541" s="11" t="n">
        <f aca="false">(E541-D541)/7</f>
        <v>248.571428571429</v>
      </c>
      <c r="G541" s="11" t="n">
        <f aca="true">(TODAY()-D541)/7</f>
        <v>30.7142857142857</v>
      </c>
      <c r="H541" s="12"/>
      <c r="I541" s="12"/>
      <c r="J541" s="13" t="n">
        <f aca="false">IFERROR(((G541*H541)/F541)-I541,"")</f>
        <v>0</v>
      </c>
      <c r="K541" s="12" t="str">
        <f aca="false">IF(J541&lt;-10,"MUITO ADIANTADO",IF(J541&lt;-6,"ADIANTADO",IF(J541&lt;6,"EM DIAS",IF(J541&lt;12,"ATRASADO","MUITO ATRASADO"))))</f>
        <v>EM DIAS</v>
      </c>
      <c r="L541" s="9" t="n">
        <v>46158</v>
      </c>
      <c r="M541" s="6" t="n">
        <f aca="true">TODAY()-L541</f>
        <v>13</v>
      </c>
      <c r="N541" s="1" t="str">
        <f aca="false">IF(M541&lt;8,"VERIFICADO",IF(M541&lt;15,"VERIFICAR","VERIFICAR URGENTE"))</f>
        <v>VERIFICAR</v>
      </c>
    </row>
    <row r="542" customFormat="false" ht="15" hidden="false" customHeight="false" outlineLevel="0" collapsed="false">
      <c r="A542" s="6"/>
      <c r="B542" s="7"/>
      <c r="C542" s="8" t="n">
        <f aca="false">L542</f>
        <v>46159</v>
      </c>
      <c r="D542" s="9" t="n">
        <v>45957</v>
      </c>
      <c r="E542" s="10" t="n">
        <v>47697</v>
      </c>
      <c r="F542" s="11" t="n">
        <f aca="false">(E542-D542)/7</f>
        <v>248.571428571429</v>
      </c>
      <c r="G542" s="11" t="n">
        <f aca="true">(TODAY()-D542)/7</f>
        <v>30.5714285714286</v>
      </c>
      <c r="H542" s="12"/>
      <c r="I542" s="12"/>
      <c r="J542" s="13" t="n">
        <f aca="false">IFERROR(((G542*H542)/F542)-I542,"")</f>
        <v>0</v>
      </c>
      <c r="K542" s="12" t="str">
        <f aca="false">IF(J542&lt;-10,"MUITO ADIANTADO",IF(J542&lt;-6,"ADIANTADO",IF(J542&lt;6,"EM DIAS",IF(J542&lt;12,"ATRASADO","MUITO ATRASADO"))))</f>
        <v>EM DIAS</v>
      </c>
      <c r="L542" s="9" t="n">
        <v>46159</v>
      </c>
      <c r="M542" s="6" t="n">
        <f aca="true">TODAY()-L542</f>
        <v>12</v>
      </c>
      <c r="N542" s="1" t="str">
        <f aca="false">IF(M542&lt;8,"VERIFICADO",IF(M542&lt;15,"VERIFICAR","VERIFICAR URGENTE"))</f>
        <v>VERIFICAR</v>
      </c>
    </row>
    <row r="543" customFormat="false" ht="15" hidden="false" customHeight="false" outlineLevel="0" collapsed="false">
      <c r="A543" s="6"/>
      <c r="B543" s="7"/>
      <c r="C543" s="8" t="n">
        <f aca="false">L543</f>
        <v>46160</v>
      </c>
      <c r="D543" s="9" t="n">
        <v>45958</v>
      </c>
      <c r="E543" s="10" t="n">
        <v>47698</v>
      </c>
      <c r="F543" s="11" t="n">
        <f aca="false">(E543-D543)/7</f>
        <v>248.571428571429</v>
      </c>
      <c r="G543" s="11" t="n">
        <f aca="true">(TODAY()-D543)/7</f>
        <v>30.4285714285714</v>
      </c>
      <c r="H543" s="12"/>
      <c r="I543" s="12"/>
      <c r="J543" s="13" t="n">
        <f aca="false">IFERROR(((G543*H543)/F543)-I543,"")</f>
        <v>0</v>
      </c>
      <c r="K543" s="12" t="str">
        <f aca="false">IF(J543&lt;-10,"MUITO ADIANTADO",IF(J543&lt;-6,"ADIANTADO",IF(J543&lt;6,"EM DIAS",IF(J543&lt;12,"ATRASADO","MUITO ATRASADO"))))</f>
        <v>EM DIAS</v>
      </c>
      <c r="L543" s="9" t="n">
        <v>46160</v>
      </c>
      <c r="M543" s="6" t="n">
        <f aca="true">TODAY()-L543</f>
        <v>11</v>
      </c>
      <c r="N543" s="1" t="str">
        <f aca="false">IF(M543&lt;8,"VERIFICADO",IF(M543&lt;15,"VERIFICAR","VERIFICAR URGENTE"))</f>
        <v>VERIFICAR</v>
      </c>
    </row>
    <row r="544" customFormat="false" ht="15" hidden="false" customHeight="false" outlineLevel="0" collapsed="false">
      <c r="A544" s="6"/>
      <c r="B544" s="7"/>
      <c r="C544" s="8" t="n">
        <f aca="false">L544</f>
        <v>46161</v>
      </c>
      <c r="D544" s="9" t="n">
        <v>45959</v>
      </c>
      <c r="E544" s="10" t="n">
        <v>47699</v>
      </c>
      <c r="F544" s="11" t="n">
        <f aca="false">(E544-D544)/7</f>
        <v>248.571428571429</v>
      </c>
      <c r="G544" s="11" t="n">
        <f aca="true">(TODAY()-D544)/7</f>
        <v>30.2857142857143</v>
      </c>
      <c r="H544" s="12"/>
      <c r="I544" s="12"/>
      <c r="J544" s="13" t="n">
        <f aca="false">IFERROR(((G544*H544)/F544)-I544,"")</f>
        <v>0</v>
      </c>
      <c r="K544" s="12" t="str">
        <f aca="false">IF(J544&lt;-10,"MUITO ADIANTADO",IF(J544&lt;-6,"ADIANTADO",IF(J544&lt;6,"EM DIAS",IF(J544&lt;12,"ATRASADO","MUITO ATRASADO"))))</f>
        <v>EM DIAS</v>
      </c>
      <c r="L544" s="9" t="n">
        <v>46161</v>
      </c>
      <c r="M544" s="6" t="n">
        <f aca="true">TODAY()-L544</f>
        <v>10</v>
      </c>
      <c r="N544" s="1" t="str">
        <f aca="false">IF(M544&lt;8,"VERIFICADO",IF(M544&lt;15,"VERIFICAR","VERIFICAR URGENTE"))</f>
        <v>VERIFICAR</v>
      </c>
    </row>
    <row r="545" customFormat="false" ht="15" hidden="false" customHeight="false" outlineLevel="0" collapsed="false">
      <c r="A545" s="6"/>
      <c r="B545" s="7"/>
      <c r="C545" s="8" t="n">
        <f aca="false">L545</f>
        <v>46162</v>
      </c>
      <c r="D545" s="9" t="n">
        <v>45960</v>
      </c>
      <c r="E545" s="10" t="n">
        <v>47700</v>
      </c>
      <c r="F545" s="11" t="n">
        <f aca="false">(E545-D545)/7</f>
        <v>248.571428571429</v>
      </c>
      <c r="G545" s="11" t="n">
        <f aca="true">(TODAY()-D545)/7</f>
        <v>30.1428571428571</v>
      </c>
      <c r="H545" s="12"/>
      <c r="I545" s="12"/>
      <c r="J545" s="13" t="n">
        <f aca="false">IFERROR(((G545*H545)/F545)-I545,"")</f>
        <v>0</v>
      </c>
      <c r="K545" s="12" t="str">
        <f aca="false">IF(J545&lt;-10,"MUITO ADIANTADO",IF(J545&lt;-6,"ADIANTADO",IF(J545&lt;6,"EM DIAS",IF(J545&lt;12,"ATRASADO","MUITO ATRASADO"))))</f>
        <v>EM DIAS</v>
      </c>
      <c r="L545" s="9" t="n">
        <v>46162</v>
      </c>
      <c r="M545" s="6" t="n">
        <f aca="true">TODAY()-L545</f>
        <v>9</v>
      </c>
      <c r="N545" s="1" t="str">
        <f aca="false">IF(M545&lt;8,"VERIFICADO",IF(M545&lt;15,"VERIFICAR","VERIFICAR URGENTE"))</f>
        <v>VERIFICAR</v>
      </c>
    </row>
    <row r="546" customFormat="false" ht="15" hidden="false" customHeight="false" outlineLevel="0" collapsed="false">
      <c r="A546" s="6"/>
      <c r="B546" s="7"/>
      <c r="C546" s="8" t="n">
        <f aca="false">L546</f>
        <v>46163</v>
      </c>
      <c r="D546" s="9" t="n">
        <v>45961</v>
      </c>
      <c r="E546" s="10" t="n">
        <v>47701</v>
      </c>
      <c r="F546" s="11" t="n">
        <f aca="false">(E546-D546)/7</f>
        <v>248.571428571429</v>
      </c>
      <c r="G546" s="11" t="n">
        <f aca="true">(TODAY()-D546)/7</f>
        <v>30</v>
      </c>
      <c r="H546" s="12"/>
      <c r="I546" s="12"/>
      <c r="J546" s="13" t="n">
        <f aca="false">IFERROR(((G546*H546)/F546)-I546,"")</f>
        <v>0</v>
      </c>
      <c r="K546" s="12" t="str">
        <f aca="false">IF(J546&lt;-10,"MUITO ADIANTADO",IF(J546&lt;-6,"ADIANTADO",IF(J546&lt;6,"EM DIAS",IF(J546&lt;12,"ATRASADO","MUITO ATRASADO"))))</f>
        <v>EM DIAS</v>
      </c>
      <c r="L546" s="9" t="n">
        <v>46163</v>
      </c>
      <c r="M546" s="6" t="n">
        <f aca="true">TODAY()-L546</f>
        <v>8</v>
      </c>
      <c r="N546" s="1" t="str">
        <f aca="false">IF(M546&lt;8,"VERIFICADO",IF(M546&lt;15,"VERIFICAR","VERIFICAR URGENTE"))</f>
        <v>VERIFICAR</v>
      </c>
    </row>
    <row r="547" customFormat="false" ht="15" hidden="false" customHeight="false" outlineLevel="0" collapsed="false">
      <c r="A547" s="6"/>
      <c r="B547" s="7"/>
      <c r="C547" s="7"/>
      <c r="D547" s="9"/>
      <c r="E547" s="10"/>
      <c r="F547" s="11"/>
      <c r="G547" s="11"/>
      <c r="H547" s="12"/>
      <c r="I547" s="12"/>
      <c r="J547" s="13"/>
      <c r="K547" s="12"/>
      <c r="L547" s="9"/>
      <c r="M547" s="6"/>
    </row>
    <row r="548" customFormat="false" ht="15" hidden="false" customHeight="false" outlineLevel="0" collapsed="false">
      <c r="A548" s="6"/>
      <c r="B548" s="8"/>
      <c r="C548" s="8"/>
      <c r="D548" s="22"/>
      <c r="E548" s="23"/>
      <c r="F548" s="11"/>
      <c r="G548" s="11"/>
      <c r="H548" s="12"/>
      <c r="I548" s="12"/>
      <c r="J548" s="13"/>
      <c r="K548" s="12"/>
      <c r="L548" s="9"/>
      <c r="M548" s="6"/>
    </row>
    <row r="549" customFormat="false" ht="15" hidden="false" customHeight="false" outlineLevel="0" collapsed="false">
      <c r="A549" s="6"/>
      <c r="B549" s="8"/>
      <c r="C549" s="8"/>
      <c r="D549" s="22"/>
      <c r="E549" s="23"/>
      <c r="F549" s="11"/>
      <c r="G549" s="11"/>
      <c r="H549" s="12"/>
      <c r="I549" s="12"/>
      <c r="J549" s="13"/>
      <c r="K549" s="12"/>
      <c r="L549" s="9"/>
      <c r="M549" s="6"/>
    </row>
    <row r="550" customFormat="false" ht="15" hidden="false" customHeight="false" outlineLevel="0" collapsed="false">
      <c r="A550" s="6"/>
      <c r="B550" s="8"/>
      <c r="C550" s="8"/>
      <c r="D550" s="22"/>
      <c r="E550" s="23"/>
      <c r="F550" s="11"/>
      <c r="G550" s="11"/>
      <c r="H550" s="12"/>
      <c r="I550" s="12"/>
      <c r="J550" s="13"/>
      <c r="K550" s="12"/>
      <c r="L550" s="9"/>
      <c r="M550" s="6"/>
    </row>
    <row r="551" customFormat="false" ht="15" hidden="false" customHeight="false" outlineLevel="0" collapsed="false">
      <c r="A551" s="6"/>
      <c r="B551" s="8"/>
      <c r="C551" s="8"/>
      <c r="D551" s="22"/>
      <c r="E551" s="23"/>
      <c r="F551" s="11"/>
      <c r="G551" s="11"/>
      <c r="H551" s="12"/>
      <c r="I551" s="12"/>
      <c r="J551" s="13"/>
      <c r="K551" s="12"/>
      <c r="L551" s="9"/>
      <c r="M551" s="6"/>
    </row>
    <row r="552" customFormat="false" ht="15" hidden="false" customHeight="false" outlineLevel="0" collapsed="false">
      <c r="A552" s="6"/>
      <c r="B552" s="8"/>
      <c r="C552" s="8"/>
      <c r="D552" s="22"/>
      <c r="E552" s="23"/>
      <c r="F552" s="11"/>
      <c r="G552" s="11"/>
      <c r="H552" s="12"/>
      <c r="I552" s="12"/>
      <c r="J552" s="13"/>
      <c r="K552" s="12"/>
      <c r="L552" s="9"/>
      <c r="M552" s="6"/>
    </row>
    <row r="553" customFormat="false" ht="15" hidden="false" customHeight="false" outlineLevel="0" collapsed="false">
      <c r="A553" s="6"/>
      <c r="B553" s="8"/>
      <c r="C553" s="8"/>
      <c r="D553" s="22"/>
      <c r="E553" s="23"/>
      <c r="F553" s="11"/>
      <c r="G553" s="11"/>
      <c r="H553" s="12"/>
      <c r="I553" s="12"/>
      <c r="J553" s="13"/>
      <c r="K553" s="12"/>
      <c r="L553" s="9"/>
      <c r="M553" s="6"/>
    </row>
    <row r="554" customFormat="false" ht="15" hidden="false" customHeight="false" outlineLevel="0" collapsed="false">
      <c r="A554" s="6"/>
      <c r="B554" s="8"/>
      <c r="C554" s="8"/>
      <c r="D554" s="22"/>
      <c r="E554" s="23"/>
      <c r="F554" s="11"/>
      <c r="G554" s="11"/>
      <c r="H554" s="12"/>
      <c r="I554" s="12"/>
      <c r="J554" s="13"/>
      <c r="K554" s="12"/>
      <c r="L554" s="9"/>
      <c r="M554" s="6"/>
    </row>
    <row r="555" customFormat="false" ht="15" hidden="false" customHeight="false" outlineLevel="0" collapsed="false">
      <c r="A555" s="6"/>
      <c r="B555" s="8"/>
      <c r="C555" s="8"/>
      <c r="D555" s="22"/>
      <c r="E555" s="23"/>
      <c r="F555" s="11"/>
      <c r="G555" s="11"/>
      <c r="H555" s="12"/>
      <c r="I555" s="12"/>
      <c r="J555" s="13"/>
      <c r="K555" s="12"/>
      <c r="L555" s="9"/>
      <c r="M555" s="6"/>
    </row>
    <row r="556" customFormat="false" ht="15" hidden="false" customHeight="false" outlineLevel="0" collapsed="false">
      <c r="A556" s="6"/>
      <c r="B556" s="8"/>
      <c r="C556" s="8"/>
      <c r="D556" s="22"/>
      <c r="E556" s="23"/>
      <c r="F556" s="11"/>
      <c r="G556" s="11"/>
      <c r="H556" s="12"/>
      <c r="I556" s="12"/>
      <c r="J556" s="13"/>
      <c r="K556" s="12"/>
      <c r="L556" s="9"/>
      <c r="M556" s="6"/>
    </row>
    <row r="557" customFormat="false" ht="15" hidden="false" customHeight="false" outlineLevel="0" collapsed="false">
      <c r="A557" s="6"/>
      <c r="B557" s="8"/>
      <c r="C557" s="8"/>
      <c r="D557" s="22"/>
      <c r="E557" s="23"/>
      <c r="F557" s="11"/>
      <c r="G557" s="11"/>
      <c r="H557" s="12"/>
      <c r="I557" s="12"/>
      <c r="J557" s="13"/>
      <c r="K557" s="12"/>
      <c r="L557" s="9"/>
      <c r="M557" s="6"/>
    </row>
    <row r="558" customFormat="false" ht="15" hidden="false" customHeight="false" outlineLevel="0" collapsed="false">
      <c r="A558" s="6"/>
      <c r="B558" s="8"/>
      <c r="C558" s="8"/>
      <c r="D558" s="22"/>
      <c r="E558" s="23"/>
      <c r="F558" s="11"/>
      <c r="G558" s="11"/>
      <c r="H558" s="12"/>
      <c r="I558" s="12"/>
      <c r="J558" s="13"/>
      <c r="K558" s="12"/>
      <c r="L558" s="9"/>
      <c r="M558" s="6"/>
    </row>
    <row r="559" customFormat="false" ht="15" hidden="false" customHeight="false" outlineLevel="0" collapsed="false">
      <c r="A559" s="6"/>
      <c r="B559" s="8"/>
      <c r="C559" s="8"/>
      <c r="D559" s="22"/>
      <c r="E559" s="23"/>
      <c r="F559" s="11"/>
      <c r="G559" s="11"/>
      <c r="H559" s="12"/>
      <c r="I559" s="12"/>
      <c r="J559" s="13"/>
      <c r="K559" s="12"/>
      <c r="L559" s="9"/>
      <c r="M559" s="6"/>
    </row>
    <row r="560" customFormat="false" ht="15" hidden="false" customHeight="false" outlineLevel="0" collapsed="false">
      <c r="A560" s="6"/>
      <c r="B560" s="8"/>
      <c r="C560" s="8"/>
      <c r="D560" s="22"/>
      <c r="E560" s="23"/>
      <c r="F560" s="11"/>
      <c r="G560" s="11"/>
      <c r="H560" s="12"/>
      <c r="I560" s="12"/>
      <c r="J560" s="13"/>
      <c r="K560" s="12"/>
      <c r="L560" s="9"/>
      <c r="M560" s="6"/>
    </row>
    <row r="561" customFormat="false" ht="15" hidden="false" customHeight="false" outlineLevel="0" collapsed="false">
      <c r="A561" s="6"/>
      <c r="B561" s="8"/>
      <c r="C561" s="8"/>
      <c r="D561" s="22"/>
      <c r="E561" s="23"/>
      <c r="F561" s="11"/>
      <c r="G561" s="11"/>
      <c r="H561" s="12"/>
      <c r="I561" s="12"/>
      <c r="J561" s="13"/>
      <c r="K561" s="12"/>
      <c r="L561" s="9"/>
      <c r="M561" s="6"/>
    </row>
    <row r="562" customFormat="false" ht="15" hidden="false" customHeight="false" outlineLevel="0" collapsed="false">
      <c r="A562" s="6"/>
      <c r="B562" s="8"/>
      <c r="C562" s="8"/>
      <c r="D562" s="22"/>
      <c r="E562" s="23"/>
      <c r="F562" s="11"/>
      <c r="G562" s="11"/>
      <c r="H562" s="12"/>
      <c r="I562" s="12"/>
      <c r="J562" s="13"/>
      <c r="K562" s="12"/>
      <c r="L562" s="9"/>
      <c r="M562" s="6"/>
    </row>
    <row r="563" customFormat="false" ht="15" hidden="false" customHeight="false" outlineLevel="0" collapsed="false">
      <c r="A563" s="6"/>
      <c r="B563" s="8"/>
      <c r="C563" s="8"/>
      <c r="D563" s="22"/>
      <c r="E563" s="23"/>
      <c r="F563" s="11"/>
      <c r="G563" s="11"/>
      <c r="H563" s="12"/>
      <c r="I563" s="12"/>
      <c r="J563" s="13"/>
      <c r="K563" s="12"/>
      <c r="L563" s="9"/>
      <c r="M563" s="6"/>
    </row>
    <row r="564" customFormat="false" ht="15" hidden="false" customHeight="false" outlineLevel="0" collapsed="false">
      <c r="A564" s="6"/>
      <c r="B564" s="8"/>
      <c r="C564" s="8"/>
      <c r="D564" s="22"/>
      <c r="E564" s="23"/>
      <c r="F564" s="11"/>
      <c r="G564" s="11"/>
      <c r="H564" s="12"/>
      <c r="I564" s="12"/>
      <c r="J564" s="13"/>
      <c r="K564" s="12"/>
      <c r="L564" s="9"/>
      <c r="M564" s="6"/>
    </row>
    <row r="565" customFormat="false" ht="15" hidden="false" customHeight="false" outlineLevel="0" collapsed="false">
      <c r="A565" s="6"/>
      <c r="B565" s="8"/>
      <c r="C565" s="8"/>
      <c r="D565" s="22"/>
      <c r="E565" s="23"/>
      <c r="F565" s="11"/>
      <c r="G565" s="11"/>
      <c r="H565" s="12"/>
      <c r="I565" s="12"/>
      <c r="J565" s="13"/>
      <c r="K565" s="12"/>
      <c r="L565" s="9"/>
      <c r="M565" s="6"/>
    </row>
    <row r="566" customFormat="false" ht="15" hidden="false" customHeight="false" outlineLevel="0" collapsed="false">
      <c r="A566" s="6"/>
      <c r="B566" s="8"/>
      <c r="C566" s="8"/>
      <c r="D566" s="22"/>
      <c r="E566" s="23"/>
      <c r="F566" s="11"/>
      <c r="G566" s="11"/>
      <c r="H566" s="12"/>
      <c r="I566" s="12"/>
      <c r="J566" s="13"/>
      <c r="K566" s="12"/>
      <c r="L566" s="9"/>
      <c r="M566" s="6"/>
    </row>
    <row r="567" customFormat="false" ht="15" hidden="false" customHeight="false" outlineLevel="0" collapsed="false">
      <c r="A567" s="6"/>
      <c r="B567" s="8"/>
      <c r="C567" s="8"/>
      <c r="D567" s="22"/>
      <c r="E567" s="23"/>
      <c r="F567" s="11"/>
      <c r="G567" s="11"/>
      <c r="H567" s="12"/>
      <c r="I567" s="12"/>
      <c r="J567" s="13"/>
      <c r="K567" s="12"/>
      <c r="L567" s="9"/>
      <c r="M567" s="6"/>
    </row>
    <row r="568" customFormat="false" ht="15" hidden="false" customHeight="false" outlineLevel="0" collapsed="false">
      <c r="A568" s="6"/>
      <c r="B568" s="8"/>
      <c r="C568" s="8"/>
      <c r="D568" s="22"/>
      <c r="E568" s="23"/>
      <c r="F568" s="11"/>
      <c r="G568" s="11"/>
      <c r="H568" s="12"/>
      <c r="I568" s="12"/>
      <c r="J568" s="13"/>
      <c r="K568" s="12"/>
      <c r="L568" s="9"/>
      <c r="M568" s="6"/>
    </row>
    <row r="569" customFormat="false" ht="15" hidden="false" customHeight="false" outlineLevel="0" collapsed="false">
      <c r="A569" s="6"/>
      <c r="B569" s="8"/>
      <c r="C569" s="8"/>
      <c r="D569" s="22"/>
      <c r="E569" s="23"/>
      <c r="F569" s="11"/>
      <c r="G569" s="11"/>
      <c r="H569" s="12"/>
      <c r="I569" s="12"/>
      <c r="J569" s="13"/>
      <c r="K569" s="12"/>
      <c r="L569" s="9"/>
      <c r="M569" s="6"/>
    </row>
    <row r="570" customFormat="false" ht="15" hidden="false" customHeight="false" outlineLevel="0" collapsed="false">
      <c r="A570" s="6"/>
      <c r="B570" s="8"/>
      <c r="C570" s="8"/>
      <c r="D570" s="22"/>
      <c r="E570" s="23"/>
      <c r="F570" s="11"/>
      <c r="G570" s="11"/>
      <c r="H570" s="12"/>
      <c r="I570" s="12"/>
      <c r="J570" s="13"/>
      <c r="K570" s="12"/>
      <c r="L570" s="9"/>
      <c r="M570" s="6"/>
    </row>
    <row r="571" customFormat="false" ht="15" hidden="false" customHeight="false" outlineLevel="0" collapsed="false">
      <c r="A571" s="6"/>
      <c r="B571" s="8"/>
      <c r="C571" s="8"/>
      <c r="D571" s="22"/>
      <c r="E571" s="23"/>
      <c r="F571" s="11"/>
      <c r="G571" s="11"/>
      <c r="H571" s="12"/>
      <c r="I571" s="12"/>
      <c r="J571" s="13"/>
      <c r="K571" s="12"/>
      <c r="L571" s="9"/>
      <c r="M571" s="6"/>
    </row>
    <row r="572" customFormat="false" ht="15" hidden="false" customHeight="false" outlineLevel="0" collapsed="false">
      <c r="A572" s="6"/>
      <c r="B572" s="8"/>
      <c r="C572" s="8"/>
      <c r="D572" s="22"/>
      <c r="E572" s="23"/>
      <c r="F572" s="11"/>
      <c r="G572" s="11"/>
      <c r="H572" s="12"/>
      <c r="I572" s="12"/>
      <c r="J572" s="13"/>
      <c r="K572" s="12"/>
      <c r="L572" s="9"/>
      <c r="M572" s="6"/>
    </row>
    <row r="573" customFormat="false" ht="15" hidden="false" customHeight="false" outlineLevel="0" collapsed="false">
      <c r="A573" s="6"/>
      <c r="B573" s="8"/>
      <c r="C573" s="8"/>
      <c r="D573" s="22"/>
      <c r="E573" s="23"/>
      <c r="F573" s="11"/>
      <c r="G573" s="11"/>
      <c r="H573" s="12"/>
      <c r="I573" s="12"/>
      <c r="J573" s="13"/>
      <c r="K573" s="12"/>
      <c r="L573" s="9"/>
      <c r="M573" s="6"/>
    </row>
    <row r="574" customFormat="false" ht="15" hidden="false" customHeight="false" outlineLevel="0" collapsed="false">
      <c r="A574" s="6"/>
      <c r="B574" s="8"/>
      <c r="C574" s="8"/>
      <c r="D574" s="22"/>
      <c r="E574" s="23"/>
      <c r="F574" s="11"/>
      <c r="G574" s="11"/>
      <c r="H574" s="12"/>
      <c r="I574" s="12"/>
      <c r="J574" s="13"/>
      <c r="K574" s="12"/>
      <c r="L574" s="9"/>
      <c r="M574" s="6"/>
    </row>
    <row r="575" customFormat="false" ht="15" hidden="false" customHeight="false" outlineLevel="0" collapsed="false">
      <c r="A575" s="6"/>
      <c r="B575" s="8"/>
      <c r="C575" s="8"/>
      <c r="D575" s="22"/>
      <c r="E575" s="23"/>
      <c r="F575" s="11"/>
      <c r="G575" s="11"/>
      <c r="H575" s="12"/>
      <c r="I575" s="12"/>
      <c r="J575" s="13"/>
      <c r="K575" s="12"/>
      <c r="L575" s="9"/>
      <c r="M575" s="6"/>
    </row>
    <row r="576" customFormat="false" ht="15" hidden="false" customHeight="false" outlineLevel="0" collapsed="false">
      <c r="A576" s="6"/>
      <c r="B576" s="8"/>
      <c r="C576" s="8"/>
      <c r="D576" s="22"/>
      <c r="E576" s="23"/>
      <c r="F576" s="11"/>
      <c r="G576" s="11"/>
      <c r="H576" s="12"/>
      <c r="I576" s="12"/>
      <c r="J576" s="13"/>
      <c r="K576" s="12"/>
      <c r="L576" s="9"/>
      <c r="M576" s="6"/>
    </row>
    <row r="577" customFormat="false" ht="15" hidden="false" customHeight="false" outlineLevel="0" collapsed="false">
      <c r="A577" s="6"/>
      <c r="B577" s="8"/>
      <c r="C577" s="8"/>
      <c r="D577" s="22"/>
      <c r="E577" s="23"/>
      <c r="F577" s="11"/>
      <c r="G577" s="11"/>
      <c r="H577" s="12"/>
      <c r="I577" s="12"/>
      <c r="J577" s="13"/>
      <c r="K577" s="12"/>
      <c r="L577" s="9"/>
      <c r="M577" s="6"/>
    </row>
    <row r="578" customFormat="false" ht="15" hidden="false" customHeight="false" outlineLevel="0" collapsed="false">
      <c r="A578" s="6"/>
      <c r="B578" s="8"/>
      <c r="C578" s="8"/>
      <c r="D578" s="22"/>
      <c r="E578" s="23"/>
      <c r="F578" s="11"/>
      <c r="G578" s="11"/>
      <c r="H578" s="12"/>
      <c r="I578" s="12"/>
      <c r="J578" s="13"/>
      <c r="K578" s="12"/>
      <c r="L578" s="9"/>
      <c r="M578" s="6"/>
    </row>
    <row r="579" customFormat="false" ht="15" hidden="false" customHeight="false" outlineLevel="0" collapsed="false">
      <c r="A579" s="6"/>
      <c r="B579" s="8"/>
      <c r="C579" s="8"/>
      <c r="D579" s="22"/>
      <c r="E579" s="23"/>
      <c r="F579" s="11"/>
      <c r="G579" s="11"/>
      <c r="H579" s="12"/>
      <c r="I579" s="12"/>
      <c r="J579" s="13"/>
      <c r="K579" s="12"/>
      <c r="L579" s="9"/>
      <c r="M579" s="6"/>
    </row>
    <row r="580" customFormat="false" ht="15" hidden="false" customHeight="false" outlineLevel="0" collapsed="false">
      <c r="A580" s="6"/>
      <c r="B580" s="8"/>
      <c r="C580" s="8"/>
      <c r="D580" s="22"/>
      <c r="E580" s="23"/>
      <c r="F580" s="11"/>
      <c r="G580" s="11"/>
      <c r="H580" s="12"/>
      <c r="I580" s="12"/>
      <c r="J580" s="13"/>
      <c r="K580" s="12"/>
      <c r="L580" s="9"/>
      <c r="M580" s="6"/>
    </row>
    <row r="581" customFormat="false" ht="15" hidden="false" customHeight="false" outlineLevel="0" collapsed="false">
      <c r="A581" s="6"/>
      <c r="B581" s="8"/>
      <c r="C581" s="8"/>
      <c r="D581" s="22"/>
      <c r="E581" s="23"/>
      <c r="F581" s="11"/>
      <c r="G581" s="11"/>
      <c r="H581" s="12"/>
      <c r="I581" s="12"/>
      <c r="J581" s="13"/>
      <c r="K581" s="12"/>
      <c r="L581" s="9"/>
      <c r="M581" s="6"/>
    </row>
    <row r="582" customFormat="false" ht="15" hidden="false" customHeight="false" outlineLevel="0" collapsed="false">
      <c r="A582" s="6"/>
      <c r="B582" s="8"/>
      <c r="C582" s="8"/>
      <c r="D582" s="22"/>
      <c r="E582" s="23"/>
      <c r="F582" s="11"/>
      <c r="G582" s="11"/>
      <c r="H582" s="12"/>
      <c r="I582" s="12"/>
      <c r="J582" s="13"/>
      <c r="K582" s="12"/>
      <c r="L582" s="9"/>
      <c r="M582" s="6"/>
    </row>
    <row r="583" customFormat="false" ht="15" hidden="false" customHeight="false" outlineLevel="0" collapsed="false">
      <c r="A583" s="6"/>
      <c r="B583" s="8"/>
      <c r="C583" s="8"/>
      <c r="D583" s="22"/>
      <c r="E583" s="23"/>
      <c r="F583" s="11"/>
      <c r="G583" s="11"/>
      <c r="H583" s="12"/>
      <c r="I583" s="12"/>
      <c r="J583" s="13"/>
      <c r="K583" s="12"/>
      <c r="L583" s="9"/>
      <c r="M583" s="6"/>
    </row>
    <row r="584" customFormat="false" ht="15" hidden="false" customHeight="false" outlineLevel="0" collapsed="false">
      <c r="A584" s="6"/>
      <c r="B584" s="8"/>
      <c r="C584" s="8"/>
      <c r="D584" s="22"/>
      <c r="E584" s="23"/>
      <c r="F584" s="11"/>
      <c r="G584" s="11"/>
      <c r="H584" s="12"/>
      <c r="I584" s="12"/>
      <c r="J584" s="13"/>
      <c r="K584" s="12"/>
      <c r="L584" s="9"/>
      <c r="M584" s="6"/>
    </row>
    <row r="585" customFormat="false" ht="15" hidden="false" customHeight="false" outlineLevel="0" collapsed="false">
      <c r="A585" s="6"/>
      <c r="B585" s="8"/>
      <c r="C585" s="8"/>
      <c r="D585" s="22"/>
      <c r="E585" s="23"/>
      <c r="F585" s="11"/>
      <c r="G585" s="11"/>
      <c r="H585" s="12"/>
      <c r="I585" s="12"/>
      <c r="J585" s="13"/>
      <c r="K585" s="12"/>
      <c r="L585" s="9"/>
      <c r="M585" s="6"/>
    </row>
    <row r="586" customFormat="false" ht="15" hidden="false" customHeight="false" outlineLevel="0" collapsed="false">
      <c r="A586" s="6"/>
      <c r="B586" s="8"/>
      <c r="C586" s="8"/>
      <c r="D586" s="22"/>
      <c r="E586" s="23"/>
      <c r="F586" s="11"/>
      <c r="G586" s="11"/>
      <c r="H586" s="12"/>
      <c r="I586" s="12"/>
      <c r="J586" s="13"/>
      <c r="K586" s="12"/>
      <c r="L586" s="9"/>
      <c r="M586" s="6"/>
    </row>
    <row r="587" customFormat="false" ht="15" hidden="false" customHeight="false" outlineLevel="0" collapsed="false">
      <c r="A587" s="6"/>
      <c r="B587" s="8"/>
      <c r="C587" s="8"/>
      <c r="D587" s="22"/>
      <c r="E587" s="23"/>
      <c r="F587" s="11"/>
      <c r="G587" s="11"/>
      <c r="H587" s="12"/>
      <c r="I587" s="12"/>
      <c r="J587" s="13"/>
      <c r="K587" s="12"/>
      <c r="L587" s="9"/>
      <c r="M587" s="6"/>
    </row>
    <row r="588" customFormat="false" ht="15" hidden="false" customHeight="false" outlineLevel="0" collapsed="false">
      <c r="A588" s="6"/>
      <c r="B588" s="8"/>
      <c r="C588" s="8"/>
      <c r="D588" s="22"/>
      <c r="E588" s="23"/>
      <c r="F588" s="11"/>
      <c r="G588" s="11"/>
      <c r="H588" s="12"/>
      <c r="I588" s="12"/>
      <c r="J588" s="13"/>
      <c r="K588" s="12"/>
      <c r="L588" s="9"/>
      <c r="M588" s="6"/>
    </row>
    <row r="589" customFormat="false" ht="15" hidden="false" customHeight="false" outlineLevel="0" collapsed="false">
      <c r="A589" s="6"/>
      <c r="B589" s="8"/>
      <c r="C589" s="8"/>
      <c r="D589" s="22"/>
      <c r="E589" s="23"/>
      <c r="F589" s="11"/>
      <c r="G589" s="11"/>
      <c r="H589" s="12"/>
      <c r="I589" s="12"/>
      <c r="J589" s="13"/>
      <c r="K589" s="12"/>
      <c r="L589" s="9"/>
      <c r="M589" s="6"/>
    </row>
    <row r="590" customFormat="false" ht="15" hidden="false" customHeight="false" outlineLevel="0" collapsed="false">
      <c r="A590" s="6"/>
      <c r="B590" s="8"/>
      <c r="C590" s="8"/>
      <c r="D590" s="22"/>
      <c r="E590" s="23"/>
      <c r="F590" s="11"/>
      <c r="G590" s="11"/>
      <c r="H590" s="12"/>
      <c r="I590" s="12"/>
      <c r="J590" s="13"/>
      <c r="K590" s="12"/>
      <c r="L590" s="9"/>
      <c r="M590" s="6"/>
    </row>
    <row r="591" customFormat="false" ht="15" hidden="false" customHeight="false" outlineLevel="0" collapsed="false">
      <c r="A591" s="6"/>
      <c r="B591" s="8"/>
      <c r="C591" s="8"/>
      <c r="D591" s="22"/>
      <c r="E591" s="23"/>
      <c r="F591" s="11"/>
      <c r="G591" s="11"/>
      <c r="H591" s="12"/>
      <c r="I591" s="12"/>
      <c r="J591" s="13"/>
      <c r="K591" s="12"/>
      <c r="L591" s="9"/>
      <c r="M591" s="6"/>
    </row>
    <row r="592" customFormat="false" ht="15" hidden="false" customHeight="false" outlineLevel="0" collapsed="false">
      <c r="A592" s="6"/>
      <c r="B592" s="8"/>
      <c r="C592" s="8"/>
      <c r="D592" s="22"/>
      <c r="E592" s="23"/>
      <c r="F592" s="11"/>
      <c r="G592" s="11"/>
      <c r="H592" s="12"/>
      <c r="I592" s="12"/>
      <c r="J592" s="13"/>
      <c r="K592" s="12"/>
      <c r="L592" s="9"/>
      <c r="M592" s="6"/>
    </row>
    <row r="593" customFormat="false" ht="15" hidden="false" customHeight="false" outlineLevel="0" collapsed="false">
      <c r="A593" s="6"/>
      <c r="B593" s="8"/>
      <c r="C593" s="8"/>
      <c r="D593" s="22"/>
      <c r="E593" s="23"/>
      <c r="F593" s="11"/>
      <c r="G593" s="11"/>
      <c r="H593" s="12"/>
      <c r="I593" s="12"/>
      <c r="J593" s="13"/>
      <c r="K593" s="12"/>
      <c r="L593" s="9"/>
      <c r="M593" s="6"/>
    </row>
    <row r="594" customFormat="false" ht="15" hidden="false" customHeight="false" outlineLevel="0" collapsed="false">
      <c r="A594" s="6"/>
      <c r="B594" s="8"/>
      <c r="C594" s="8"/>
      <c r="D594" s="22"/>
      <c r="E594" s="23"/>
      <c r="F594" s="11"/>
      <c r="G594" s="11"/>
      <c r="H594" s="12"/>
      <c r="I594" s="12"/>
      <c r="J594" s="13"/>
      <c r="K594" s="12"/>
      <c r="L594" s="9"/>
      <c r="M594" s="6"/>
    </row>
    <row r="595" customFormat="false" ht="15" hidden="false" customHeight="false" outlineLevel="0" collapsed="false">
      <c r="A595" s="6"/>
      <c r="B595" s="8"/>
      <c r="C595" s="8"/>
      <c r="D595" s="22"/>
      <c r="E595" s="23"/>
      <c r="F595" s="11"/>
      <c r="G595" s="11"/>
      <c r="H595" s="12"/>
      <c r="I595" s="12"/>
      <c r="J595" s="13"/>
      <c r="K595" s="12"/>
      <c r="L595" s="9"/>
      <c r="M595" s="6"/>
    </row>
    <row r="596" customFormat="false" ht="15" hidden="false" customHeight="false" outlineLevel="0" collapsed="false">
      <c r="A596" s="6"/>
      <c r="B596" s="8"/>
      <c r="C596" s="8"/>
      <c r="D596" s="22"/>
      <c r="E596" s="23"/>
      <c r="F596" s="11"/>
      <c r="G596" s="11"/>
      <c r="H596" s="12"/>
      <c r="I596" s="12"/>
      <c r="J596" s="13"/>
      <c r="K596" s="12"/>
      <c r="L596" s="9"/>
      <c r="M596" s="6"/>
    </row>
    <row r="597" customFormat="false" ht="15" hidden="false" customHeight="false" outlineLevel="0" collapsed="false">
      <c r="A597" s="6"/>
      <c r="B597" s="8"/>
      <c r="C597" s="8"/>
      <c r="D597" s="22"/>
      <c r="E597" s="23"/>
      <c r="F597" s="11"/>
      <c r="G597" s="11"/>
      <c r="H597" s="12"/>
      <c r="I597" s="12"/>
      <c r="J597" s="13"/>
      <c r="K597" s="12"/>
      <c r="L597" s="9"/>
      <c r="M597" s="6"/>
    </row>
    <row r="598" customFormat="false" ht="15" hidden="false" customHeight="false" outlineLevel="0" collapsed="false">
      <c r="A598" s="6"/>
      <c r="B598" s="8"/>
      <c r="C598" s="8"/>
      <c r="D598" s="22"/>
      <c r="E598" s="23"/>
      <c r="F598" s="11"/>
      <c r="G598" s="11"/>
      <c r="H598" s="12"/>
      <c r="I598" s="12"/>
      <c r="J598" s="13"/>
      <c r="K598" s="12"/>
      <c r="L598" s="9"/>
      <c r="M598" s="6"/>
    </row>
    <row r="599" customFormat="false" ht="15" hidden="false" customHeight="false" outlineLevel="0" collapsed="false">
      <c r="A599" s="6"/>
      <c r="B599" s="8"/>
      <c r="C599" s="8"/>
      <c r="D599" s="22"/>
      <c r="E599" s="23"/>
      <c r="F599" s="11"/>
      <c r="G599" s="11"/>
      <c r="H599" s="12"/>
      <c r="I599" s="12"/>
      <c r="J599" s="13"/>
      <c r="K599" s="12"/>
      <c r="L599" s="9"/>
      <c r="M599" s="6"/>
    </row>
    <row r="600" customFormat="false" ht="15" hidden="false" customHeight="false" outlineLevel="0" collapsed="false">
      <c r="A600" s="6"/>
      <c r="B600" s="8"/>
      <c r="C600" s="8"/>
      <c r="D600" s="22"/>
      <c r="E600" s="23"/>
      <c r="F600" s="11"/>
      <c r="G600" s="11"/>
      <c r="H600" s="12"/>
      <c r="I600" s="12"/>
      <c r="J600" s="13"/>
      <c r="K600" s="12"/>
      <c r="L600" s="9"/>
      <c r="M600" s="6"/>
    </row>
    <row r="601" customFormat="false" ht="15" hidden="false" customHeight="false" outlineLevel="0" collapsed="false">
      <c r="A601" s="6"/>
      <c r="B601" s="8"/>
      <c r="C601" s="8"/>
      <c r="D601" s="22"/>
      <c r="E601" s="23"/>
      <c r="F601" s="11"/>
      <c r="G601" s="11"/>
      <c r="H601" s="12"/>
      <c r="I601" s="12"/>
      <c r="J601" s="13"/>
      <c r="K601" s="12"/>
      <c r="L601" s="9"/>
      <c r="M601" s="6"/>
    </row>
    <row r="602" customFormat="false" ht="15" hidden="false" customHeight="false" outlineLevel="0" collapsed="false">
      <c r="A602" s="6"/>
      <c r="B602" s="8"/>
      <c r="C602" s="8"/>
      <c r="D602" s="22"/>
      <c r="E602" s="23"/>
      <c r="F602" s="11"/>
      <c r="G602" s="11"/>
      <c r="H602" s="12"/>
      <c r="I602" s="12"/>
      <c r="J602" s="13"/>
      <c r="K602" s="12"/>
      <c r="L602" s="9"/>
      <c r="M602" s="6"/>
    </row>
    <row r="603" customFormat="false" ht="15" hidden="false" customHeight="false" outlineLevel="0" collapsed="false">
      <c r="A603" s="6"/>
      <c r="B603" s="8"/>
      <c r="C603" s="8"/>
      <c r="D603" s="22"/>
      <c r="E603" s="23"/>
      <c r="F603" s="11"/>
      <c r="G603" s="11"/>
      <c r="H603" s="12"/>
      <c r="I603" s="12"/>
      <c r="J603" s="13"/>
      <c r="K603" s="12"/>
      <c r="L603" s="9"/>
      <c r="M603" s="6"/>
    </row>
    <row r="604" customFormat="false" ht="15" hidden="false" customHeight="false" outlineLevel="0" collapsed="false">
      <c r="A604" s="6"/>
      <c r="B604" s="8"/>
      <c r="C604" s="8"/>
      <c r="D604" s="22"/>
      <c r="E604" s="23"/>
      <c r="F604" s="11"/>
      <c r="G604" s="11"/>
      <c r="H604" s="12"/>
      <c r="I604" s="12"/>
      <c r="J604" s="13"/>
      <c r="K604" s="12"/>
      <c r="L604" s="9"/>
      <c r="M604" s="6"/>
    </row>
    <row r="605" customFormat="false" ht="15" hidden="false" customHeight="false" outlineLevel="0" collapsed="false">
      <c r="A605" s="6"/>
      <c r="B605" s="8"/>
      <c r="C605" s="8"/>
      <c r="D605" s="22"/>
      <c r="E605" s="23"/>
      <c r="F605" s="11"/>
      <c r="G605" s="11"/>
      <c r="H605" s="12"/>
      <c r="I605" s="12"/>
      <c r="J605" s="13"/>
      <c r="K605" s="12"/>
      <c r="L605" s="9"/>
      <c r="M605" s="6"/>
    </row>
    <row r="606" customFormat="false" ht="15" hidden="false" customHeight="false" outlineLevel="0" collapsed="false">
      <c r="A606" s="6"/>
      <c r="B606" s="8"/>
      <c r="C606" s="8"/>
      <c r="D606" s="22"/>
      <c r="E606" s="23"/>
      <c r="F606" s="11"/>
      <c r="G606" s="11"/>
      <c r="H606" s="12"/>
      <c r="I606" s="12"/>
      <c r="J606" s="13"/>
      <c r="K606" s="12"/>
      <c r="L606" s="9"/>
      <c r="M606" s="6"/>
    </row>
    <row r="607" customFormat="false" ht="15" hidden="false" customHeight="false" outlineLevel="0" collapsed="false">
      <c r="A607" s="6"/>
      <c r="B607" s="8"/>
      <c r="C607" s="8"/>
      <c r="D607" s="22"/>
      <c r="E607" s="23"/>
      <c r="F607" s="11"/>
      <c r="G607" s="11"/>
      <c r="H607" s="12"/>
      <c r="I607" s="12"/>
      <c r="J607" s="13"/>
      <c r="K607" s="12"/>
      <c r="L607" s="9"/>
      <c r="M607" s="6"/>
    </row>
    <row r="608" customFormat="false" ht="15" hidden="false" customHeight="false" outlineLevel="0" collapsed="false">
      <c r="A608" s="6"/>
      <c r="B608" s="8"/>
      <c r="C608" s="8"/>
      <c r="D608" s="22"/>
      <c r="E608" s="23"/>
      <c r="F608" s="11"/>
      <c r="G608" s="11"/>
      <c r="H608" s="12"/>
      <c r="I608" s="12"/>
      <c r="J608" s="13"/>
      <c r="K608" s="12"/>
      <c r="L608" s="9"/>
      <c r="M608" s="6"/>
    </row>
    <row r="609" customFormat="false" ht="15" hidden="false" customHeight="false" outlineLevel="0" collapsed="false">
      <c r="A609" s="6"/>
      <c r="B609" s="8"/>
      <c r="C609" s="8"/>
      <c r="D609" s="22"/>
      <c r="E609" s="23"/>
      <c r="F609" s="11"/>
      <c r="G609" s="11"/>
      <c r="H609" s="12"/>
      <c r="I609" s="12"/>
      <c r="J609" s="13"/>
      <c r="K609" s="12"/>
      <c r="L609" s="9"/>
      <c r="M609" s="6"/>
    </row>
    <row r="610" customFormat="false" ht="15" hidden="false" customHeight="false" outlineLevel="0" collapsed="false">
      <c r="A610" s="6"/>
      <c r="B610" s="8"/>
      <c r="C610" s="8"/>
      <c r="D610" s="22"/>
      <c r="E610" s="23"/>
      <c r="F610" s="11"/>
      <c r="G610" s="11"/>
      <c r="H610" s="12"/>
      <c r="I610" s="12"/>
      <c r="J610" s="13"/>
      <c r="K610" s="12"/>
      <c r="L610" s="9"/>
      <c r="M610" s="6"/>
    </row>
    <row r="611" customFormat="false" ht="15" hidden="false" customHeight="false" outlineLevel="0" collapsed="false">
      <c r="A611" s="6"/>
      <c r="B611" s="8"/>
      <c r="C611" s="8"/>
      <c r="D611" s="22"/>
      <c r="E611" s="23"/>
      <c r="F611" s="11"/>
      <c r="G611" s="11"/>
      <c r="H611" s="12"/>
      <c r="I611" s="12"/>
      <c r="J611" s="13"/>
      <c r="K611" s="12"/>
      <c r="L611" s="9"/>
      <c r="M611" s="6"/>
    </row>
    <row r="612" customFormat="false" ht="15" hidden="false" customHeight="false" outlineLevel="0" collapsed="false">
      <c r="A612" s="6"/>
      <c r="B612" s="8"/>
      <c r="C612" s="8"/>
      <c r="D612" s="22"/>
      <c r="E612" s="23"/>
      <c r="F612" s="11"/>
      <c r="G612" s="11"/>
      <c r="H612" s="12"/>
      <c r="I612" s="12"/>
      <c r="J612" s="13"/>
      <c r="K612" s="12"/>
      <c r="L612" s="9"/>
      <c r="M612" s="6"/>
    </row>
    <row r="613" customFormat="false" ht="15" hidden="false" customHeight="false" outlineLevel="0" collapsed="false">
      <c r="A613" s="6"/>
      <c r="B613" s="8"/>
      <c r="C613" s="8"/>
      <c r="D613" s="22"/>
      <c r="E613" s="23"/>
      <c r="F613" s="11"/>
      <c r="G613" s="11"/>
      <c r="H613" s="12"/>
      <c r="I613" s="12"/>
      <c r="J613" s="13"/>
      <c r="K613" s="12"/>
      <c r="L613" s="9"/>
      <c r="M613" s="6"/>
    </row>
    <row r="614" customFormat="false" ht="15" hidden="false" customHeight="false" outlineLevel="0" collapsed="false">
      <c r="A614" s="6"/>
      <c r="B614" s="8"/>
      <c r="C614" s="8"/>
      <c r="D614" s="22"/>
      <c r="E614" s="23"/>
      <c r="F614" s="11"/>
      <c r="G614" s="11"/>
      <c r="H614" s="12"/>
      <c r="I614" s="12"/>
      <c r="J614" s="13"/>
      <c r="K614" s="12"/>
      <c r="L614" s="9"/>
      <c r="M614" s="6"/>
    </row>
    <row r="615" customFormat="false" ht="15" hidden="false" customHeight="false" outlineLevel="0" collapsed="false">
      <c r="A615" s="6"/>
      <c r="B615" s="8"/>
      <c r="C615" s="8"/>
      <c r="D615" s="22"/>
      <c r="E615" s="23"/>
      <c r="F615" s="11"/>
      <c r="G615" s="11"/>
      <c r="H615" s="12"/>
      <c r="I615" s="12"/>
      <c r="J615" s="13"/>
      <c r="K615" s="12"/>
      <c r="L615" s="9"/>
      <c r="M615" s="6"/>
    </row>
    <row r="616" customFormat="false" ht="15" hidden="false" customHeight="false" outlineLevel="0" collapsed="false">
      <c r="A616" s="6"/>
      <c r="B616" s="8"/>
      <c r="C616" s="8"/>
      <c r="D616" s="22"/>
      <c r="E616" s="23"/>
      <c r="F616" s="11"/>
      <c r="G616" s="11"/>
      <c r="H616" s="12"/>
      <c r="I616" s="12"/>
      <c r="J616" s="13"/>
      <c r="K616" s="12"/>
      <c r="L616" s="9"/>
      <c r="M616" s="6"/>
    </row>
    <row r="617" customFormat="false" ht="15" hidden="false" customHeight="false" outlineLevel="0" collapsed="false">
      <c r="A617" s="6"/>
      <c r="B617" s="8"/>
      <c r="C617" s="8"/>
      <c r="D617" s="22"/>
      <c r="E617" s="23"/>
      <c r="F617" s="11"/>
      <c r="G617" s="11"/>
      <c r="H617" s="12"/>
      <c r="I617" s="12"/>
      <c r="J617" s="13"/>
      <c r="K617" s="12"/>
      <c r="L617" s="9"/>
      <c r="M617" s="6"/>
    </row>
    <row r="618" customFormat="false" ht="15" hidden="false" customHeight="false" outlineLevel="0" collapsed="false">
      <c r="A618" s="6"/>
      <c r="B618" s="8"/>
      <c r="C618" s="8"/>
      <c r="D618" s="22"/>
      <c r="E618" s="23"/>
      <c r="F618" s="11"/>
      <c r="G618" s="11"/>
      <c r="H618" s="12"/>
      <c r="I618" s="12"/>
      <c r="J618" s="13"/>
      <c r="K618" s="12"/>
      <c r="L618" s="9"/>
      <c r="M618" s="6"/>
    </row>
    <row r="619" customFormat="false" ht="15" hidden="false" customHeight="false" outlineLevel="0" collapsed="false">
      <c r="A619" s="6"/>
      <c r="B619" s="8"/>
      <c r="C619" s="8"/>
      <c r="D619" s="22"/>
      <c r="E619" s="23"/>
      <c r="F619" s="11"/>
      <c r="G619" s="11"/>
      <c r="H619" s="12"/>
      <c r="I619" s="12"/>
      <c r="J619" s="13"/>
      <c r="K619" s="12"/>
      <c r="L619" s="9"/>
      <c r="M619" s="6"/>
    </row>
    <row r="620" customFormat="false" ht="15" hidden="false" customHeight="false" outlineLevel="0" collapsed="false">
      <c r="A620" s="6"/>
      <c r="B620" s="8"/>
      <c r="C620" s="8"/>
      <c r="D620" s="22"/>
      <c r="E620" s="23"/>
      <c r="F620" s="11"/>
      <c r="G620" s="11"/>
      <c r="H620" s="12"/>
      <c r="I620" s="12"/>
      <c r="J620" s="13"/>
      <c r="K620" s="12"/>
      <c r="L620" s="9"/>
      <c r="M620" s="6"/>
    </row>
    <row r="621" customFormat="false" ht="15" hidden="false" customHeight="false" outlineLevel="0" collapsed="false">
      <c r="A621" s="6"/>
      <c r="B621" s="8"/>
      <c r="C621" s="8"/>
      <c r="D621" s="22"/>
      <c r="E621" s="23"/>
      <c r="F621" s="11"/>
      <c r="G621" s="11"/>
      <c r="H621" s="12"/>
      <c r="I621" s="12"/>
      <c r="J621" s="13"/>
      <c r="K621" s="12"/>
      <c r="L621" s="9"/>
      <c r="M621" s="6"/>
    </row>
    <row r="622" customFormat="false" ht="15" hidden="false" customHeight="false" outlineLevel="0" collapsed="false">
      <c r="A622" s="6"/>
      <c r="B622" s="8"/>
      <c r="C622" s="8"/>
      <c r="D622" s="22"/>
      <c r="E622" s="23"/>
      <c r="F622" s="11"/>
      <c r="G622" s="11"/>
      <c r="H622" s="12"/>
      <c r="I622" s="12"/>
      <c r="J622" s="13"/>
      <c r="K622" s="12"/>
      <c r="L622" s="9"/>
      <c r="M622" s="6"/>
    </row>
    <row r="623" customFormat="false" ht="15" hidden="false" customHeight="false" outlineLevel="0" collapsed="false">
      <c r="A623" s="6"/>
      <c r="B623" s="8"/>
      <c r="C623" s="8"/>
      <c r="D623" s="22"/>
      <c r="E623" s="23"/>
      <c r="F623" s="11"/>
      <c r="G623" s="11"/>
      <c r="H623" s="12"/>
      <c r="I623" s="12"/>
      <c r="J623" s="13"/>
      <c r="K623" s="12"/>
      <c r="L623" s="9"/>
      <c r="M623" s="6"/>
    </row>
    <row r="624" customFormat="false" ht="15" hidden="false" customHeight="false" outlineLevel="0" collapsed="false">
      <c r="A624" s="6"/>
      <c r="B624" s="8"/>
      <c r="C624" s="8"/>
      <c r="D624" s="22"/>
      <c r="E624" s="23"/>
      <c r="F624" s="11"/>
      <c r="G624" s="11"/>
      <c r="H624" s="12"/>
      <c r="I624" s="12"/>
      <c r="J624" s="13"/>
      <c r="K624" s="12"/>
      <c r="L624" s="9"/>
      <c r="M624" s="6"/>
    </row>
    <row r="625" customFormat="false" ht="15" hidden="false" customHeight="false" outlineLevel="0" collapsed="false">
      <c r="A625" s="6"/>
      <c r="B625" s="8"/>
      <c r="C625" s="8"/>
      <c r="D625" s="22"/>
      <c r="E625" s="23"/>
      <c r="F625" s="11"/>
      <c r="G625" s="11"/>
      <c r="H625" s="12"/>
      <c r="I625" s="12"/>
      <c r="J625" s="13"/>
      <c r="K625" s="12"/>
      <c r="L625" s="9"/>
      <c r="M625" s="6"/>
    </row>
    <row r="626" customFormat="false" ht="15" hidden="false" customHeight="false" outlineLevel="0" collapsed="false">
      <c r="A626" s="6"/>
      <c r="B626" s="8"/>
      <c r="C626" s="8"/>
      <c r="D626" s="22"/>
      <c r="E626" s="23"/>
      <c r="F626" s="11"/>
      <c r="G626" s="11"/>
      <c r="H626" s="12"/>
      <c r="I626" s="12"/>
      <c r="J626" s="13"/>
      <c r="K626" s="12"/>
      <c r="L626" s="9"/>
      <c r="M626" s="6"/>
    </row>
    <row r="627" customFormat="false" ht="15" hidden="false" customHeight="false" outlineLevel="0" collapsed="false">
      <c r="A627" s="6"/>
      <c r="B627" s="8"/>
      <c r="C627" s="8"/>
      <c r="D627" s="22"/>
      <c r="E627" s="23"/>
      <c r="F627" s="11"/>
      <c r="G627" s="11"/>
      <c r="H627" s="12"/>
      <c r="I627" s="12"/>
      <c r="J627" s="13"/>
      <c r="K627" s="12"/>
      <c r="L627" s="9"/>
      <c r="M627" s="6"/>
    </row>
    <row r="628" customFormat="false" ht="15" hidden="false" customHeight="false" outlineLevel="0" collapsed="false">
      <c r="A628" s="6"/>
      <c r="B628" s="8"/>
      <c r="C628" s="8"/>
      <c r="D628" s="22"/>
      <c r="E628" s="23"/>
      <c r="F628" s="11"/>
      <c r="G628" s="11"/>
      <c r="H628" s="12"/>
      <c r="I628" s="12"/>
      <c r="J628" s="13"/>
      <c r="K628" s="12"/>
      <c r="L628" s="9"/>
      <c r="M628" s="6"/>
    </row>
    <row r="629" customFormat="false" ht="15" hidden="false" customHeight="false" outlineLevel="0" collapsed="false">
      <c r="A629" s="6"/>
      <c r="B629" s="8"/>
      <c r="C629" s="8"/>
      <c r="D629" s="22"/>
      <c r="E629" s="23"/>
      <c r="F629" s="11"/>
      <c r="G629" s="11"/>
      <c r="H629" s="12"/>
      <c r="I629" s="12"/>
      <c r="J629" s="13"/>
      <c r="K629" s="12"/>
      <c r="L629" s="9"/>
      <c r="M629" s="6"/>
    </row>
    <row r="630" customFormat="false" ht="15" hidden="false" customHeight="false" outlineLevel="0" collapsed="false">
      <c r="A630" s="6"/>
      <c r="B630" s="8"/>
      <c r="C630" s="8"/>
      <c r="D630" s="22"/>
      <c r="E630" s="23"/>
      <c r="F630" s="11"/>
      <c r="G630" s="11"/>
      <c r="H630" s="12"/>
      <c r="I630" s="12"/>
      <c r="J630" s="13"/>
      <c r="K630" s="12"/>
      <c r="L630" s="9"/>
      <c r="M630" s="6"/>
    </row>
    <row r="631" customFormat="false" ht="15" hidden="false" customHeight="false" outlineLevel="0" collapsed="false">
      <c r="A631" s="6"/>
      <c r="B631" s="8"/>
      <c r="C631" s="8"/>
      <c r="D631" s="22"/>
      <c r="E631" s="23"/>
      <c r="F631" s="11"/>
      <c r="G631" s="11"/>
      <c r="H631" s="12"/>
      <c r="I631" s="12"/>
      <c r="J631" s="13"/>
      <c r="K631" s="12"/>
      <c r="L631" s="9"/>
      <c r="M631" s="6"/>
    </row>
    <row r="632" customFormat="false" ht="15" hidden="false" customHeight="false" outlineLevel="0" collapsed="false">
      <c r="A632" s="6"/>
      <c r="B632" s="8"/>
      <c r="C632" s="8"/>
      <c r="D632" s="22"/>
      <c r="E632" s="23"/>
      <c r="F632" s="11"/>
      <c r="G632" s="11"/>
      <c r="H632" s="12"/>
      <c r="I632" s="12"/>
      <c r="J632" s="13"/>
      <c r="K632" s="12"/>
      <c r="L632" s="9"/>
      <c r="M632" s="6"/>
    </row>
    <row r="633" customFormat="false" ht="15" hidden="false" customHeight="false" outlineLevel="0" collapsed="false">
      <c r="A633" s="6"/>
      <c r="B633" s="8"/>
      <c r="C633" s="8"/>
      <c r="D633" s="22"/>
      <c r="E633" s="23"/>
      <c r="F633" s="11"/>
      <c r="G633" s="11"/>
      <c r="H633" s="12"/>
      <c r="I633" s="12"/>
      <c r="J633" s="13"/>
      <c r="K633" s="12"/>
      <c r="L633" s="9"/>
      <c r="M633" s="6"/>
    </row>
    <row r="634" customFormat="false" ht="15" hidden="false" customHeight="false" outlineLevel="0" collapsed="false">
      <c r="A634" s="6"/>
      <c r="B634" s="8"/>
      <c r="C634" s="8"/>
      <c r="D634" s="22"/>
      <c r="E634" s="23"/>
      <c r="F634" s="11"/>
      <c r="G634" s="11"/>
      <c r="H634" s="12"/>
      <c r="I634" s="12"/>
      <c r="J634" s="13"/>
      <c r="K634" s="12"/>
      <c r="L634" s="9"/>
      <c r="M634" s="6"/>
    </row>
    <row r="635" customFormat="false" ht="15" hidden="false" customHeight="false" outlineLevel="0" collapsed="false">
      <c r="A635" s="6"/>
      <c r="B635" s="8"/>
      <c r="C635" s="8"/>
      <c r="D635" s="22"/>
      <c r="E635" s="23"/>
      <c r="F635" s="11"/>
      <c r="G635" s="11"/>
      <c r="H635" s="12"/>
      <c r="I635" s="12"/>
      <c r="J635" s="13"/>
      <c r="K635" s="12"/>
      <c r="L635" s="9"/>
      <c r="M635" s="6"/>
    </row>
    <row r="636" customFormat="false" ht="15" hidden="false" customHeight="false" outlineLevel="0" collapsed="false">
      <c r="A636" s="6"/>
      <c r="B636" s="8"/>
      <c r="C636" s="8"/>
      <c r="D636" s="22"/>
      <c r="E636" s="23"/>
      <c r="F636" s="11"/>
      <c r="G636" s="11"/>
      <c r="H636" s="12"/>
      <c r="I636" s="12"/>
      <c r="J636" s="13"/>
      <c r="K636" s="12"/>
      <c r="L636" s="9"/>
      <c r="M636" s="6"/>
    </row>
    <row r="637" customFormat="false" ht="15" hidden="false" customHeight="false" outlineLevel="0" collapsed="false">
      <c r="A637" s="6"/>
      <c r="B637" s="8"/>
      <c r="C637" s="8"/>
      <c r="D637" s="22"/>
      <c r="E637" s="23"/>
      <c r="F637" s="11"/>
      <c r="G637" s="11"/>
      <c r="H637" s="12"/>
      <c r="I637" s="12"/>
      <c r="J637" s="13"/>
      <c r="K637" s="12"/>
      <c r="L637" s="9"/>
      <c r="M637" s="6"/>
    </row>
    <row r="638" customFormat="false" ht="15" hidden="false" customHeight="false" outlineLevel="0" collapsed="false">
      <c r="A638" s="6"/>
      <c r="B638" s="8"/>
      <c r="C638" s="8"/>
      <c r="D638" s="22"/>
      <c r="E638" s="23"/>
      <c r="F638" s="11"/>
      <c r="G638" s="11"/>
      <c r="H638" s="12"/>
      <c r="I638" s="12"/>
      <c r="J638" s="13"/>
      <c r="K638" s="12"/>
      <c r="L638" s="9"/>
      <c r="M638" s="6"/>
    </row>
    <row r="639" customFormat="false" ht="15" hidden="false" customHeight="false" outlineLevel="0" collapsed="false">
      <c r="A639" s="6"/>
      <c r="B639" s="8"/>
      <c r="C639" s="8"/>
      <c r="D639" s="22"/>
      <c r="E639" s="23"/>
      <c r="F639" s="11"/>
      <c r="G639" s="11"/>
      <c r="H639" s="12"/>
      <c r="I639" s="12"/>
      <c r="J639" s="13"/>
      <c r="K639" s="12"/>
      <c r="L639" s="9"/>
      <c r="M639" s="6"/>
    </row>
    <row r="640" customFormat="false" ht="15" hidden="false" customHeight="false" outlineLevel="0" collapsed="false">
      <c r="A640" s="6"/>
      <c r="B640" s="8"/>
      <c r="C640" s="8"/>
      <c r="D640" s="22"/>
      <c r="E640" s="23"/>
      <c r="F640" s="11"/>
      <c r="G640" s="11"/>
      <c r="H640" s="12"/>
      <c r="I640" s="12"/>
      <c r="J640" s="13"/>
      <c r="K640" s="12"/>
      <c r="L640" s="9"/>
      <c r="M640" s="6"/>
    </row>
    <row r="641" customFormat="false" ht="15" hidden="false" customHeight="false" outlineLevel="0" collapsed="false">
      <c r="A641" s="6"/>
      <c r="B641" s="8"/>
      <c r="C641" s="8"/>
      <c r="D641" s="22"/>
      <c r="E641" s="23"/>
      <c r="F641" s="11"/>
      <c r="G641" s="11"/>
      <c r="H641" s="12"/>
      <c r="I641" s="12"/>
      <c r="J641" s="13"/>
      <c r="K641" s="12"/>
      <c r="L641" s="9"/>
      <c r="M641" s="6"/>
    </row>
    <row r="642" customFormat="false" ht="15" hidden="false" customHeight="false" outlineLevel="0" collapsed="false">
      <c r="A642" s="6"/>
      <c r="B642" s="8"/>
      <c r="C642" s="8"/>
      <c r="D642" s="22"/>
      <c r="E642" s="23"/>
      <c r="F642" s="11"/>
      <c r="G642" s="11"/>
      <c r="H642" s="12"/>
      <c r="I642" s="12"/>
      <c r="J642" s="13"/>
      <c r="K642" s="12"/>
      <c r="L642" s="9"/>
      <c r="M642" s="6"/>
    </row>
    <row r="643" customFormat="false" ht="15" hidden="false" customHeight="false" outlineLevel="0" collapsed="false">
      <c r="A643" s="6"/>
      <c r="B643" s="8"/>
      <c r="C643" s="8"/>
      <c r="D643" s="22"/>
      <c r="E643" s="23"/>
      <c r="F643" s="11"/>
      <c r="G643" s="11"/>
      <c r="H643" s="12"/>
      <c r="I643" s="12"/>
      <c r="J643" s="13"/>
      <c r="K643" s="12"/>
      <c r="L643" s="9"/>
      <c r="M643" s="6"/>
    </row>
    <row r="644" customFormat="false" ht="15" hidden="false" customHeight="false" outlineLevel="0" collapsed="false">
      <c r="A644" s="6"/>
      <c r="B644" s="8"/>
      <c r="C644" s="8"/>
      <c r="D644" s="22"/>
      <c r="E644" s="23"/>
      <c r="F644" s="11"/>
      <c r="G644" s="11"/>
      <c r="H644" s="12"/>
      <c r="I644" s="12"/>
      <c r="J644" s="13"/>
      <c r="K644" s="12"/>
      <c r="L644" s="9"/>
      <c r="M644" s="6"/>
    </row>
    <row r="645" customFormat="false" ht="15" hidden="false" customHeight="false" outlineLevel="0" collapsed="false">
      <c r="A645" s="6"/>
      <c r="B645" s="8"/>
      <c r="C645" s="8"/>
      <c r="D645" s="22"/>
      <c r="E645" s="23"/>
      <c r="F645" s="11"/>
      <c r="G645" s="11"/>
      <c r="H645" s="12"/>
      <c r="I645" s="12"/>
      <c r="J645" s="13"/>
      <c r="K645" s="12"/>
      <c r="L645" s="9"/>
      <c r="M645" s="6"/>
    </row>
    <row r="646" customFormat="false" ht="15" hidden="false" customHeight="false" outlineLevel="0" collapsed="false">
      <c r="A646" s="6"/>
      <c r="B646" s="6"/>
      <c r="C646" s="24"/>
      <c r="D646" s="25"/>
      <c r="E646" s="23"/>
      <c r="F646" s="23"/>
      <c r="G646" s="11"/>
      <c r="H646" s="11"/>
      <c r="I646" s="12"/>
      <c r="J646" s="26"/>
      <c r="K646" s="13"/>
      <c r="L646" s="12"/>
      <c r="M646" s="9"/>
      <c r="N646" s="6"/>
    </row>
    <row r="647" customFormat="false" ht="15" hidden="false" customHeight="false" outlineLevel="0" collapsed="false">
      <c r="A647" s="6"/>
      <c r="B647" s="6"/>
      <c r="C647" s="24"/>
      <c r="D647" s="25"/>
      <c r="E647" s="23"/>
      <c r="F647" s="23"/>
      <c r="G647" s="11"/>
      <c r="H647" s="11"/>
      <c r="I647" s="12"/>
      <c r="J647" s="26"/>
      <c r="K647" s="13"/>
      <c r="L647" s="12"/>
      <c r="M647" s="9"/>
      <c r="N647" s="6"/>
    </row>
    <row r="648" customFormat="false" ht="15" hidden="false" customHeight="false" outlineLevel="0" collapsed="false">
      <c r="A648" s="6"/>
      <c r="B648" s="6"/>
      <c r="C648" s="24"/>
      <c r="D648" s="25"/>
      <c r="E648" s="23"/>
      <c r="F648" s="23"/>
      <c r="G648" s="11"/>
      <c r="H648" s="11"/>
      <c r="I648" s="12"/>
      <c r="J648" s="26"/>
      <c r="K648" s="13"/>
      <c r="L648" s="12"/>
      <c r="M648" s="9"/>
      <c r="N648" s="6"/>
    </row>
    <row r="649" customFormat="false" ht="15" hidden="false" customHeight="false" outlineLevel="0" collapsed="false">
      <c r="A649" s="6"/>
      <c r="B649" s="6"/>
      <c r="C649" s="24"/>
      <c r="D649" s="25"/>
      <c r="E649" s="23"/>
      <c r="F649" s="23"/>
      <c r="G649" s="11"/>
      <c r="H649" s="11"/>
      <c r="I649" s="12"/>
      <c r="J649" s="26"/>
      <c r="K649" s="13"/>
      <c r="L649" s="12"/>
      <c r="M649" s="9"/>
      <c r="N649" s="6"/>
    </row>
    <row r="650" customFormat="false" ht="15" hidden="false" customHeight="false" outlineLevel="0" collapsed="false">
      <c r="A650" s="6"/>
      <c r="B650" s="6"/>
      <c r="C650" s="24"/>
      <c r="D650" s="25"/>
      <c r="E650" s="23"/>
      <c r="F650" s="23"/>
      <c r="G650" s="11"/>
      <c r="H650" s="11"/>
      <c r="I650" s="12"/>
      <c r="J650" s="26"/>
      <c r="K650" s="13"/>
      <c r="L650" s="12"/>
      <c r="M650" s="9"/>
      <c r="N650" s="6"/>
    </row>
    <row r="651" customFormat="false" ht="15" hidden="false" customHeight="false" outlineLevel="0" collapsed="false">
      <c r="A651" s="6"/>
      <c r="B651" s="6"/>
      <c r="C651" s="24"/>
      <c r="D651" s="25"/>
      <c r="E651" s="23"/>
      <c r="F651" s="23"/>
      <c r="G651" s="11"/>
      <c r="H651" s="11"/>
      <c r="I651" s="12"/>
      <c r="J651" s="26"/>
      <c r="K651" s="13"/>
      <c r="L651" s="12"/>
      <c r="M651" s="9"/>
      <c r="N651" s="6"/>
    </row>
    <row r="652" customFormat="false" ht="15" hidden="false" customHeight="false" outlineLevel="0" collapsed="false">
      <c r="A652" s="6"/>
      <c r="B652" s="6"/>
      <c r="C652" s="24"/>
      <c r="D652" s="25"/>
      <c r="E652" s="23"/>
      <c r="F652" s="23"/>
      <c r="G652" s="11"/>
      <c r="H652" s="11"/>
      <c r="I652" s="12"/>
      <c r="J652" s="26"/>
      <c r="K652" s="13"/>
      <c r="L652" s="12"/>
      <c r="M652" s="9"/>
      <c r="N652" s="6"/>
    </row>
    <row r="653" customFormat="false" ht="15" hidden="false" customHeight="false" outlineLevel="0" collapsed="false">
      <c r="A653" s="6"/>
      <c r="B653" s="6"/>
      <c r="C653" s="24"/>
      <c r="D653" s="25"/>
      <c r="E653" s="23"/>
      <c r="F653" s="23"/>
      <c r="G653" s="11"/>
      <c r="H653" s="11"/>
      <c r="I653" s="12"/>
      <c r="J653" s="26"/>
      <c r="K653" s="13"/>
      <c r="L653" s="12"/>
      <c r="M653" s="9"/>
      <c r="N653" s="6"/>
    </row>
    <row r="654" customFormat="false" ht="15" hidden="false" customHeight="false" outlineLevel="0" collapsed="false">
      <c r="A654" s="6"/>
      <c r="B654" s="6"/>
      <c r="C654" s="24"/>
      <c r="D654" s="25"/>
      <c r="E654" s="23"/>
      <c r="F654" s="23"/>
      <c r="G654" s="11"/>
      <c r="H654" s="11"/>
      <c r="I654" s="12"/>
      <c r="J654" s="26"/>
      <c r="K654" s="13"/>
      <c r="L654" s="12"/>
      <c r="M654" s="9"/>
      <c r="N654" s="6"/>
    </row>
    <row r="655" customFormat="false" ht="15" hidden="false" customHeight="false" outlineLevel="0" collapsed="false">
      <c r="A655" s="6"/>
      <c r="B655" s="6"/>
      <c r="C655" s="24"/>
      <c r="D655" s="25"/>
      <c r="E655" s="23"/>
      <c r="F655" s="23"/>
      <c r="G655" s="11"/>
      <c r="H655" s="11"/>
      <c r="I655" s="12"/>
      <c r="J655" s="26"/>
      <c r="K655" s="13"/>
      <c r="L655" s="12"/>
      <c r="M655" s="9"/>
      <c r="N655" s="6"/>
    </row>
    <row r="656" customFormat="false" ht="15" hidden="false" customHeight="false" outlineLevel="0" collapsed="false">
      <c r="A656" s="6"/>
      <c r="B656" s="6"/>
      <c r="C656" s="24"/>
      <c r="D656" s="25"/>
      <c r="E656" s="23"/>
      <c r="F656" s="23"/>
      <c r="G656" s="11"/>
      <c r="H656" s="11"/>
      <c r="I656" s="12"/>
      <c r="J656" s="26"/>
      <c r="K656" s="13"/>
      <c r="L656" s="12"/>
      <c r="M656" s="9"/>
      <c r="N656" s="6"/>
    </row>
    <row r="657" customFormat="false" ht="15" hidden="false" customHeight="false" outlineLevel="0" collapsed="false">
      <c r="A657" s="6"/>
      <c r="B657" s="6"/>
      <c r="C657" s="24"/>
      <c r="D657" s="25"/>
      <c r="E657" s="23"/>
      <c r="F657" s="23"/>
      <c r="G657" s="11"/>
      <c r="H657" s="11"/>
      <c r="I657" s="12"/>
      <c r="J657" s="26"/>
      <c r="K657" s="13"/>
      <c r="L657" s="12"/>
      <c r="M657" s="9"/>
      <c r="N657" s="6"/>
    </row>
    <row r="658" customFormat="false" ht="15" hidden="false" customHeight="false" outlineLevel="0" collapsed="false">
      <c r="B658" s="6"/>
      <c r="C658" s="24"/>
      <c r="D658" s="25"/>
      <c r="E658" s="23"/>
      <c r="F658" s="23"/>
      <c r="G658" s="11"/>
      <c r="H658" s="11"/>
      <c r="I658" s="12"/>
      <c r="J658" s="26"/>
      <c r="K658" s="13"/>
      <c r="L658" s="12"/>
      <c r="M658" s="9"/>
      <c r="N658" s="6"/>
    </row>
    <row r="659" customFormat="false" ht="15" hidden="false" customHeight="false" outlineLevel="0" collapsed="false">
      <c r="A659" s="27"/>
      <c r="B659" s="6"/>
      <c r="C659" s="24"/>
      <c r="D659" s="25"/>
      <c r="E659" s="23"/>
      <c r="F659" s="23"/>
      <c r="G659" s="11"/>
      <c r="H659" s="11"/>
      <c r="I659" s="12"/>
      <c r="J659" s="26"/>
      <c r="K659" s="13"/>
      <c r="L659" s="12"/>
      <c r="M659" s="9"/>
      <c r="N659" s="6"/>
    </row>
    <row r="660" customFormat="false" ht="15" hidden="false" customHeight="false" outlineLevel="0" collapsed="false">
      <c r="A660" s="27"/>
      <c r="B660" s="6"/>
      <c r="C660" s="24"/>
      <c r="D660" s="25"/>
      <c r="E660" s="23"/>
      <c r="F660" s="23"/>
      <c r="G660" s="11"/>
      <c r="H660" s="11"/>
      <c r="I660" s="12"/>
      <c r="J660" s="26"/>
      <c r="K660" s="13"/>
      <c r="L660" s="12"/>
      <c r="M660" s="9"/>
      <c r="N660" s="6"/>
    </row>
    <row r="661" customFormat="false" ht="15" hidden="false" customHeight="false" outlineLevel="0" collapsed="false">
      <c r="A661" s="6"/>
      <c r="B661" s="6"/>
      <c r="C661" s="24"/>
      <c r="D661" s="25"/>
      <c r="E661" s="23"/>
      <c r="F661" s="23"/>
      <c r="G661" s="11"/>
      <c r="H661" s="11"/>
      <c r="I661" s="12"/>
      <c r="J661" s="26"/>
      <c r="K661" s="13"/>
      <c r="L661" s="12"/>
      <c r="M661" s="9"/>
      <c r="N661" s="6"/>
    </row>
    <row r="662" customFormat="false" ht="15" hidden="false" customHeight="false" outlineLevel="0" collapsed="false">
      <c r="A662" s="6"/>
      <c r="B662" s="6"/>
      <c r="C662" s="24"/>
      <c r="D662" s="25"/>
      <c r="E662" s="23"/>
      <c r="F662" s="23"/>
      <c r="G662" s="11"/>
      <c r="H662" s="11"/>
      <c r="I662" s="12"/>
      <c r="J662" s="26"/>
      <c r="K662" s="13"/>
      <c r="L662" s="12"/>
      <c r="M662" s="9"/>
      <c r="N662" s="6"/>
    </row>
    <row r="663" customFormat="false" ht="15" hidden="false" customHeight="false" outlineLevel="0" collapsed="false">
      <c r="A663" s="6"/>
      <c r="B663" s="6"/>
      <c r="C663" s="24"/>
      <c r="D663" s="25"/>
      <c r="E663" s="23"/>
      <c r="F663" s="23"/>
      <c r="G663" s="11"/>
      <c r="H663" s="11"/>
      <c r="I663" s="12"/>
      <c r="J663" s="26"/>
      <c r="K663" s="13"/>
      <c r="L663" s="12"/>
      <c r="M663" s="9"/>
      <c r="N663" s="6"/>
    </row>
    <row r="664" customFormat="false" ht="15" hidden="false" customHeight="false" outlineLevel="0" collapsed="false">
      <c r="A664" s="6"/>
      <c r="B664" s="6"/>
      <c r="C664" s="24"/>
      <c r="D664" s="25"/>
      <c r="E664" s="23"/>
      <c r="F664" s="23"/>
      <c r="G664" s="11"/>
      <c r="H664" s="11"/>
      <c r="I664" s="12"/>
      <c r="J664" s="26"/>
      <c r="K664" s="13"/>
      <c r="L664" s="12"/>
      <c r="M664" s="9"/>
      <c r="N664" s="6"/>
    </row>
    <row r="665" customFormat="false" ht="15" hidden="false" customHeight="false" outlineLevel="0" collapsed="false">
      <c r="A665" s="6"/>
      <c r="B665" s="6"/>
      <c r="C665" s="24"/>
      <c r="D665" s="25"/>
      <c r="E665" s="23"/>
      <c r="F665" s="23"/>
      <c r="G665" s="11"/>
      <c r="H665" s="11"/>
      <c r="I665" s="12"/>
      <c r="J665" s="26"/>
      <c r="K665" s="13"/>
      <c r="L665" s="12"/>
      <c r="M665" s="9"/>
      <c r="N665" s="6"/>
    </row>
    <row r="666" customFormat="false" ht="15" hidden="false" customHeight="false" outlineLevel="0" collapsed="false">
      <c r="A666" s="6"/>
      <c r="B666" s="6"/>
      <c r="C666" s="24"/>
      <c r="D666" s="25"/>
      <c r="E666" s="23"/>
      <c r="F666" s="23"/>
      <c r="G666" s="11"/>
      <c r="H666" s="11"/>
      <c r="I666" s="12"/>
      <c r="J666" s="26"/>
      <c r="K666" s="13"/>
      <c r="L666" s="12"/>
      <c r="M666" s="9"/>
      <c r="N666" s="6"/>
    </row>
    <row r="667" customFormat="false" ht="15" hidden="false" customHeight="false" outlineLevel="0" collapsed="false">
      <c r="A667" s="6"/>
      <c r="B667" s="6"/>
      <c r="C667" s="24"/>
      <c r="D667" s="25"/>
      <c r="E667" s="23"/>
      <c r="F667" s="23"/>
      <c r="G667" s="11"/>
      <c r="H667" s="11"/>
      <c r="I667" s="12"/>
      <c r="J667" s="26"/>
      <c r="K667" s="13"/>
      <c r="L667" s="12"/>
      <c r="M667" s="9"/>
      <c r="N667" s="6"/>
    </row>
    <row r="668" customFormat="false" ht="15" hidden="false" customHeight="false" outlineLevel="0" collapsed="false">
      <c r="A668" s="6"/>
      <c r="B668" s="6"/>
      <c r="C668" s="24"/>
      <c r="D668" s="25"/>
      <c r="E668" s="23"/>
      <c r="F668" s="23"/>
      <c r="G668" s="11"/>
      <c r="H668" s="11"/>
      <c r="I668" s="12"/>
      <c r="J668" s="26"/>
      <c r="K668" s="13"/>
      <c r="L668" s="12"/>
      <c r="M668" s="9"/>
      <c r="N668" s="6"/>
    </row>
    <row r="669" customFormat="false" ht="15" hidden="false" customHeight="false" outlineLevel="0" collapsed="false">
      <c r="A669" s="6"/>
      <c r="B669" s="6"/>
      <c r="C669" s="24"/>
      <c r="D669" s="25"/>
      <c r="E669" s="23"/>
      <c r="F669" s="23"/>
      <c r="G669" s="11"/>
      <c r="H669" s="11"/>
      <c r="I669" s="12"/>
      <c r="J669" s="26"/>
      <c r="K669" s="13"/>
      <c r="L669" s="12"/>
      <c r="M669" s="9"/>
      <c r="N669" s="6"/>
    </row>
    <row r="670" customFormat="false" ht="15" hidden="false" customHeight="false" outlineLevel="0" collapsed="false">
      <c r="A670" s="6"/>
      <c r="B670" s="6"/>
      <c r="C670" s="24"/>
      <c r="D670" s="25"/>
      <c r="E670" s="23"/>
      <c r="F670" s="23"/>
      <c r="G670" s="11"/>
      <c r="H670" s="11"/>
      <c r="I670" s="12"/>
      <c r="J670" s="26"/>
      <c r="K670" s="13"/>
      <c r="L670" s="12"/>
      <c r="M670" s="9"/>
      <c r="N670" s="6"/>
    </row>
    <row r="671" customFormat="false" ht="15" hidden="false" customHeight="false" outlineLevel="0" collapsed="false">
      <c r="A671" s="6"/>
      <c r="B671" s="6"/>
      <c r="C671" s="24"/>
      <c r="D671" s="25"/>
      <c r="E671" s="23"/>
      <c r="F671" s="23"/>
      <c r="G671" s="11"/>
      <c r="H671" s="11"/>
      <c r="I671" s="12"/>
      <c r="J671" s="26"/>
      <c r="K671" s="13"/>
      <c r="L671" s="12"/>
      <c r="M671" s="9"/>
      <c r="N671" s="6"/>
    </row>
    <row r="672" customFormat="false" ht="15" hidden="false" customHeight="false" outlineLevel="0" collapsed="false">
      <c r="A672" s="6"/>
      <c r="B672" s="6"/>
      <c r="C672" s="24"/>
      <c r="D672" s="25"/>
      <c r="E672" s="23"/>
      <c r="F672" s="23"/>
      <c r="G672" s="11"/>
      <c r="H672" s="11"/>
      <c r="I672" s="12"/>
      <c r="J672" s="26"/>
      <c r="K672" s="13"/>
      <c r="L672" s="12"/>
      <c r="M672" s="9"/>
      <c r="N672" s="6"/>
    </row>
    <row r="673" customFormat="false" ht="15" hidden="false" customHeight="false" outlineLevel="0" collapsed="false">
      <c r="A673" s="6"/>
      <c r="B673" s="21"/>
      <c r="C673" s="28"/>
      <c r="D673" s="29"/>
      <c r="E673" s="21"/>
      <c r="F673" s="6"/>
      <c r="G673" s="6"/>
      <c r="H673" s="6"/>
      <c r="I673" s="6"/>
      <c r="J673" s="30"/>
      <c r="K673" s="6"/>
      <c r="L673" s="29"/>
      <c r="M673" s="6"/>
      <c r="N673" s="6"/>
    </row>
    <row r="674" customFormat="false" ht="15" hidden="false" customHeight="false" outlineLevel="0" collapsed="false">
      <c r="A674" s="6"/>
      <c r="B674" s="21"/>
      <c r="C674" s="28"/>
      <c r="D674" s="29"/>
      <c r="E674" s="21"/>
      <c r="F674" s="6"/>
      <c r="G674" s="6"/>
      <c r="H674" s="6"/>
      <c r="I674" s="6"/>
      <c r="J674" s="30"/>
      <c r="K674" s="6"/>
      <c r="L674" s="29"/>
      <c r="M674" s="6"/>
      <c r="N674" s="6"/>
    </row>
    <row r="675" customFormat="false" ht="15" hidden="false" customHeight="false" outlineLevel="0" collapsed="false">
      <c r="A675" s="6"/>
      <c r="B675" s="21"/>
      <c r="C675" s="28"/>
      <c r="D675" s="29"/>
      <c r="E675" s="21"/>
      <c r="F675" s="6"/>
      <c r="G675" s="6"/>
      <c r="H675" s="6"/>
      <c r="I675" s="6"/>
      <c r="J675" s="30"/>
      <c r="K675" s="6"/>
      <c r="L675" s="29"/>
      <c r="M675" s="6"/>
      <c r="N675" s="6"/>
    </row>
    <row r="676" customFormat="false" ht="15" hidden="false" customHeight="false" outlineLevel="0" collapsed="false">
      <c r="A676" s="6"/>
      <c r="B676" s="21"/>
      <c r="C676" s="28"/>
      <c r="D676" s="29"/>
      <c r="E676" s="21"/>
      <c r="F676" s="6"/>
      <c r="G676" s="6"/>
      <c r="H676" s="6"/>
      <c r="I676" s="6"/>
      <c r="J676" s="30"/>
      <c r="K676" s="6"/>
      <c r="L676" s="29"/>
      <c r="M676" s="6"/>
      <c r="N676" s="6"/>
    </row>
    <row r="677" customFormat="false" ht="15" hidden="false" customHeight="false" outlineLevel="0" collapsed="false">
      <c r="A677" s="6"/>
      <c r="B677" s="21"/>
      <c r="C677" s="28"/>
      <c r="D677" s="29"/>
      <c r="E677" s="21"/>
      <c r="F677" s="6"/>
      <c r="G677" s="6"/>
      <c r="H677" s="6"/>
      <c r="I677" s="6"/>
      <c r="J677" s="30"/>
      <c r="K677" s="6"/>
      <c r="L677" s="29"/>
      <c r="M677" s="6"/>
      <c r="N677" s="6"/>
    </row>
    <row r="678" customFormat="false" ht="15" hidden="false" customHeight="false" outlineLevel="0" collapsed="false">
      <c r="A678" s="6"/>
      <c r="B678" s="21"/>
      <c r="C678" s="28"/>
      <c r="D678" s="29"/>
      <c r="E678" s="21"/>
      <c r="F678" s="6"/>
      <c r="G678" s="6"/>
      <c r="H678" s="6"/>
      <c r="I678" s="6"/>
      <c r="J678" s="30"/>
      <c r="K678" s="6"/>
      <c r="L678" s="29"/>
      <c r="M678" s="6"/>
      <c r="N678" s="6"/>
    </row>
    <row r="679" customFormat="false" ht="15" hidden="false" customHeight="false" outlineLevel="0" collapsed="false">
      <c r="A679" s="6"/>
      <c r="B679" s="21"/>
      <c r="C679" s="28"/>
      <c r="D679" s="29"/>
      <c r="E679" s="21"/>
      <c r="F679" s="6"/>
      <c r="G679" s="6"/>
      <c r="H679" s="6"/>
      <c r="I679" s="6"/>
      <c r="J679" s="30"/>
      <c r="K679" s="6"/>
      <c r="L679" s="29"/>
      <c r="M679" s="6"/>
      <c r="N679" s="6"/>
    </row>
    <row r="680" customFormat="false" ht="15" hidden="false" customHeight="false" outlineLevel="0" collapsed="false">
      <c r="A680" s="6"/>
      <c r="B680" s="21"/>
      <c r="C680" s="28"/>
      <c r="D680" s="29"/>
      <c r="E680" s="21"/>
      <c r="F680" s="6"/>
      <c r="G680" s="6"/>
      <c r="H680" s="6"/>
      <c r="I680" s="6"/>
      <c r="J680" s="30"/>
      <c r="K680" s="6"/>
      <c r="L680" s="29"/>
      <c r="M680" s="6"/>
      <c r="N680" s="6"/>
    </row>
    <row r="681" customFormat="false" ht="15" hidden="false" customHeight="false" outlineLevel="0" collapsed="false">
      <c r="A681" s="6"/>
      <c r="B681" s="21"/>
      <c r="C681" s="28"/>
      <c r="D681" s="29"/>
      <c r="E681" s="21"/>
      <c r="F681" s="6"/>
      <c r="G681" s="6"/>
      <c r="H681" s="6"/>
      <c r="I681" s="6"/>
      <c r="J681" s="30"/>
      <c r="K681" s="6"/>
      <c r="L681" s="29"/>
      <c r="M681" s="6"/>
      <c r="N681" s="6"/>
    </row>
    <row r="682" customFormat="false" ht="15" hidden="false" customHeight="false" outlineLevel="0" collapsed="false">
      <c r="A682" s="6"/>
      <c r="B682" s="21"/>
      <c r="C682" s="28"/>
      <c r="D682" s="29"/>
      <c r="E682" s="21"/>
      <c r="F682" s="6"/>
      <c r="G682" s="6"/>
      <c r="H682" s="6"/>
      <c r="I682" s="6"/>
      <c r="J682" s="30"/>
      <c r="K682" s="6"/>
      <c r="L682" s="29"/>
      <c r="M682" s="6"/>
      <c r="N682" s="6"/>
    </row>
    <row r="683" customFormat="false" ht="15" hidden="false" customHeight="false" outlineLevel="0" collapsed="false">
      <c r="A683" s="6"/>
      <c r="B683" s="21"/>
      <c r="C683" s="28"/>
      <c r="D683" s="29"/>
      <c r="E683" s="21"/>
      <c r="F683" s="6"/>
      <c r="G683" s="6"/>
      <c r="H683" s="6"/>
      <c r="I683" s="6"/>
      <c r="J683" s="30"/>
      <c r="K683" s="6"/>
      <c r="L683" s="29"/>
      <c r="M683" s="6"/>
      <c r="N683" s="6"/>
    </row>
    <row r="684" customFormat="false" ht="15" hidden="false" customHeight="false" outlineLevel="0" collapsed="false">
      <c r="A684" s="6"/>
      <c r="B684" s="21"/>
      <c r="C684" s="28"/>
      <c r="D684" s="29"/>
      <c r="E684" s="21"/>
      <c r="F684" s="6"/>
      <c r="G684" s="6"/>
      <c r="H684" s="6"/>
      <c r="I684" s="6"/>
      <c r="J684" s="30"/>
      <c r="K684" s="6"/>
      <c r="L684" s="29"/>
      <c r="M684" s="6"/>
      <c r="N684" s="6"/>
    </row>
    <row r="685" customFormat="false" ht="15" hidden="false" customHeight="false" outlineLevel="0" collapsed="false">
      <c r="A685" s="6"/>
      <c r="B685" s="21"/>
      <c r="C685" s="28"/>
      <c r="D685" s="29"/>
      <c r="E685" s="21"/>
      <c r="F685" s="6"/>
      <c r="G685" s="6"/>
      <c r="H685" s="6"/>
      <c r="I685" s="6"/>
      <c r="J685" s="30"/>
      <c r="K685" s="6"/>
      <c r="L685" s="29"/>
      <c r="M685" s="6"/>
      <c r="N685" s="6"/>
    </row>
    <row r="686" customFormat="false" ht="15" hidden="false" customHeight="false" outlineLevel="0" collapsed="false">
      <c r="A686" s="6"/>
      <c r="B686" s="21"/>
      <c r="C686" s="28"/>
      <c r="D686" s="29"/>
      <c r="E686" s="21"/>
      <c r="F686" s="6"/>
      <c r="G686" s="6"/>
      <c r="H686" s="6"/>
      <c r="I686" s="6"/>
      <c r="J686" s="30"/>
      <c r="K686" s="6"/>
      <c r="L686" s="29"/>
      <c r="M686" s="6"/>
      <c r="N686" s="6"/>
    </row>
    <row r="687" customFormat="false" ht="15" hidden="false" customHeight="false" outlineLevel="0" collapsed="false">
      <c r="A687" s="6"/>
      <c r="B687" s="21"/>
      <c r="C687" s="28"/>
      <c r="D687" s="29"/>
      <c r="E687" s="21"/>
      <c r="F687" s="6"/>
      <c r="G687" s="6"/>
      <c r="H687" s="6"/>
      <c r="I687" s="6"/>
      <c r="J687" s="30"/>
      <c r="K687" s="6"/>
      <c r="L687" s="29"/>
      <c r="M687" s="6"/>
      <c r="N687" s="6"/>
    </row>
    <row r="688" customFormat="false" ht="15" hidden="false" customHeight="false" outlineLevel="0" collapsed="false">
      <c r="A688" s="6"/>
      <c r="B688" s="21"/>
      <c r="C688" s="28"/>
      <c r="D688" s="29"/>
      <c r="E688" s="21"/>
      <c r="F688" s="6"/>
      <c r="G688" s="6"/>
      <c r="H688" s="6"/>
      <c r="I688" s="6"/>
      <c r="J688" s="30"/>
      <c r="K688" s="6"/>
      <c r="L688" s="29"/>
      <c r="M688" s="6"/>
      <c r="N688" s="6"/>
    </row>
    <row r="689" customFormat="false" ht="15" hidden="false" customHeight="false" outlineLevel="0" collapsed="false">
      <c r="A689" s="6"/>
      <c r="B689" s="21"/>
      <c r="C689" s="28"/>
      <c r="D689" s="29"/>
      <c r="E689" s="21"/>
      <c r="F689" s="6"/>
      <c r="G689" s="6"/>
      <c r="H689" s="6"/>
      <c r="I689" s="6"/>
      <c r="J689" s="30"/>
      <c r="K689" s="6"/>
      <c r="L689" s="29"/>
      <c r="M689" s="6"/>
      <c r="N689" s="6"/>
    </row>
    <row r="690" customFormat="false" ht="15" hidden="false" customHeight="false" outlineLevel="0" collapsed="false">
      <c r="A690" s="6"/>
      <c r="B690" s="21"/>
      <c r="C690" s="28"/>
      <c r="D690" s="29"/>
      <c r="E690" s="21"/>
      <c r="F690" s="6"/>
      <c r="G690" s="6"/>
      <c r="H690" s="6"/>
      <c r="I690" s="6"/>
      <c r="J690" s="30"/>
      <c r="K690" s="6"/>
      <c r="L690" s="29"/>
      <c r="M690" s="6"/>
      <c r="N690" s="6"/>
    </row>
    <row r="691" customFormat="false" ht="15" hidden="false" customHeight="false" outlineLevel="0" collapsed="false">
      <c r="A691" s="6"/>
      <c r="B691" s="21"/>
      <c r="C691" s="28"/>
      <c r="D691" s="29"/>
      <c r="E691" s="21"/>
      <c r="F691" s="6"/>
      <c r="G691" s="6"/>
      <c r="H691" s="6"/>
      <c r="I691" s="6"/>
      <c r="J691" s="30"/>
      <c r="K691" s="6"/>
      <c r="L691" s="29"/>
      <c r="M691" s="6"/>
      <c r="N691" s="6"/>
    </row>
    <row r="692" customFormat="false" ht="15" hidden="false" customHeight="false" outlineLevel="0" collapsed="false">
      <c r="A692" s="6"/>
      <c r="B692" s="21"/>
      <c r="C692" s="28"/>
      <c r="D692" s="29"/>
      <c r="E692" s="21"/>
      <c r="F692" s="6"/>
      <c r="G692" s="6"/>
      <c r="H692" s="6"/>
      <c r="I692" s="6"/>
      <c r="J692" s="30"/>
      <c r="K692" s="6"/>
      <c r="L692" s="29"/>
      <c r="M692" s="6"/>
      <c r="N692" s="6"/>
    </row>
    <row r="693" customFormat="false" ht="15" hidden="false" customHeight="false" outlineLevel="0" collapsed="false">
      <c r="A693" s="6"/>
      <c r="B693" s="21"/>
      <c r="C693" s="28"/>
      <c r="D693" s="29"/>
      <c r="E693" s="21"/>
      <c r="F693" s="6"/>
      <c r="G693" s="6"/>
      <c r="H693" s="6"/>
      <c r="I693" s="6"/>
      <c r="J693" s="30"/>
      <c r="K693" s="6"/>
      <c r="L693" s="29"/>
      <c r="M693" s="6"/>
      <c r="N693" s="6"/>
    </row>
    <row r="694" customFormat="false" ht="15" hidden="false" customHeight="false" outlineLevel="0" collapsed="false">
      <c r="A694" s="6"/>
      <c r="B694" s="21"/>
      <c r="C694" s="28"/>
      <c r="D694" s="29"/>
      <c r="E694" s="21"/>
      <c r="F694" s="6"/>
      <c r="G694" s="6"/>
      <c r="H694" s="6"/>
      <c r="I694" s="6"/>
      <c r="J694" s="30"/>
      <c r="K694" s="6"/>
      <c r="L694" s="29"/>
      <c r="M694" s="6"/>
      <c r="N694" s="6"/>
    </row>
    <row r="695" customFormat="false" ht="15" hidden="false" customHeight="false" outlineLevel="0" collapsed="false">
      <c r="A695" s="6"/>
      <c r="B695" s="21"/>
      <c r="C695" s="28"/>
      <c r="D695" s="29"/>
      <c r="E695" s="21"/>
      <c r="F695" s="6"/>
      <c r="G695" s="6"/>
      <c r="H695" s="6"/>
      <c r="I695" s="6"/>
      <c r="J695" s="30"/>
      <c r="K695" s="6"/>
      <c r="L695" s="29"/>
      <c r="M695" s="6"/>
      <c r="N695" s="6"/>
    </row>
    <row r="696" customFormat="false" ht="15" hidden="false" customHeight="false" outlineLevel="0" collapsed="false">
      <c r="A696" s="6"/>
      <c r="B696" s="21"/>
      <c r="C696" s="28"/>
      <c r="D696" s="29"/>
      <c r="E696" s="21"/>
      <c r="F696" s="6"/>
      <c r="G696" s="6"/>
      <c r="H696" s="6"/>
      <c r="I696" s="6"/>
      <c r="J696" s="30"/>
      <c r="K696" s="6"/>
      <c r="L696" s="29"/>
      <c r="M696" s="6"/>
      <c r="N696" s="6"/>
    </row>
    <row r="697" customFormat="false" ht="15" hidden="false" customHeight="false" outlineLevel="0" collapsed="false">
      <c r="A697" s="6"/>
      <c r="B697" s="21"/>
      <c r="C697" s="28"/>
      <c r="D697" s="29"/>
      <c r="E697" s="21"/>
      <c r="F697" s="6"/>
      <c r="G697" s="6"/>
      <c r="H697" s="6"/>
      <c r="I697" s="6"/>
      <c r="J697" s="30"/>
      <c r="K697" s="6"/>
      <c r="L697" s="29"/>
      <c r="M697" s="6"/>
      <c r="N697" s="6"/>
    </row>
    <row r="698" customFormat="false" ht="15" hidden="false" customHeight="false" outlineLevel="0" collapsed="false">
      <c r="A698" s="6"/>
      <c r="B698" s="21"/>
      <c r="C698" s="28"/>
      <c r="D698" s="29"/>
      <c r="E698" s="21"/>
      <c r="F698" s="6"/>
      <c r="G698" s="6"/>
      <c r="H698" s="6"/>
      <c r="I698" s="6"/>
      <c r="J698" s="30"/>
      <c r="K698" s="6"/>
      <c r="L698" s="29"/>
      <c r="M698" s="6"/>
      <c r="N698" s="6"/>
    </row>
    <row r="699" customFormat="false" ht="15" hidden="false" customHeight="false" outlineLevel="0" collapsed="false">
      <c r="A699" s="6"/>
      <c r="B699" s="21"/>
      <c r="C699" s="28"/>
      <c r="D699" s="29"/>
      <c r="E699" s="21"/>
      <c r="F699" s="6"/>
      <c r="G699" s="6"/>
      <c r="H699" s="6"/>
      <c r="I699" s="6"/>
      <c r="J699" s="30"/>
      <c r="K699" s="6"/>
      <c r="L699" s="29"/>
      <c r="M699" s="6"/>
      <c r="N699" s="6"/>
    </row>
    <row r="700" customFormat="false" ht="15" hidden="false" customHeight="false" outlineLevel="0" collapsed="false">
      <c r="A700" s="6"/>
      <c r="B700" s="21"/>
      <c r="C700" s="28"/>
      <c r="D700" s="29"/>
      <c r="E700" s="21"/>
      <c r="F700" s="6"/>
      <c r="G700" s="6"/>
      <c r="H700" s="6"/>
      <c r="I700" s="6"/>
      <c r="J700" s="30"/>
      <c r="K700" s="6"/>
      <c r="L700" s="29"/>
      <c r="M700" s="6"/>
      <c r="N700" s="6"/>
    </row>
    <row r="701" customFormat="false" ht="15" hidden="false" customHeight="false" outlineLevel="0" collapsed="false">
      <c r="A701" s="6"/>
      <c r="B701" s="21"/>
      <c r="C701" s="28"/>
      <c r="D701" s="29"/>
      <c r="E701" s="21"/>
      <c r="F701" s="6"/>
      <c r="G701" s="6"/>
      <c r="H701" s="6"/>
      <c r="I701" s="6"/>
      <c r="J701" s="30"/>
      <c r="K701" s="6"/>
      <c r="L701" s="29"/>
      <c r="M701" s="6"/>
      <c r="N701" s="6"/>
    </row>
    <row r="702" customFormat="false" ht="15" hidden="false" customHeight="false" outlineLevel="0" collapsed="false">
      <c r="A702" s="6"/>
      <c r="B702" s="21"/>
      <c r="C702" s="28"/>
      <c r="D702" s="29"/>
      <c r="E702" s="21"/>
      <c r="F702" s="6"/>
      <c r="G702" s="6"/>
      <c r="H702" s="6"/>
      <c r="I702" s="6"/>
      <c r="J702" s="30"/>
      <c r="K702" s="6"/>
      <c r="L702" s="29"/>
      <c r="M702" s="6"/>
      <c r="N702" s="6"/>
    </row>
    <row r="703" customFormat="false" ht="15" hidden="false" customHeight="false" outlineLevel="0" collapsed="false">
      <c r="A703" s="6"/>
      <c r="B703" s="21"/>
      <c r="C703" s="28"/>
      <c r="D703" s="29"/>
      <c r="E703" s="21"/>
      <c r="F703" s="6"/>
      <c r="G703" s="6"/>
      <c r="H703" s="6"/>
      <c r="I703" s="6"/>
      <c r="J703" s="30"/>
      <c r="K703" s="6"/>
      <c r="L703" s="29"/>
      <c r="M703" s="6"/>
      <c r="N703" s="6"/>
    </row>
    <row r="704" customFormat="false" ht="15" hidden="false" customHeight="false" outlineLevel="0" collapsed="false">
      <c r="A704" s="6"/>
      <c r="B704" s="21"/>
      <c r="C704" s="28"/>
      <c r="D704" s="29"/>
      <c r="E704" s="21"/>
      <c r="F704" s="6"/>
      <c r="G704" s="6"/>
      <c r="H704" s="6"/>
      <c r="I704" s="6"/>
      <c r="J704" s="30"/>
      <c r="K704" s="6"/>
      <c r="L704" s="29"/>
      <c r="M704" s="6"/>
      <c r="N704" s="6"/>
    </row>
    <row r="705" customFormat="false" ht="15" hidden="false" customHeight="false" outlineLevel="0" collapsed="false">
      <c r="A705" s="6"/>
      <c r="B705" s="21"/>
      <c r="C705" s="28"/>
      <c r="D705" s="29"/>
      <c r="E705" s="21"/>
      <c r="F705" s="6"/>
      <c r="G705" s="6"/>
      <c r="H705" s="6"/>
      <c r="I705" s="6"/>
      <c r="J705" s="30"/>
      <c r="K705" s="6"/>
      <c r="L705" s="29"/>
      <c r="M705" s="6"/>
      <c r="N705" s="6"/>
    </row>
    <row r="706" customFormat="false" ht="15" hidden="false" customHeight="false" outlineLevel="0" collapsed="false">
      <c r="A706" s="6"/>
      <c r="B706" s="21"/>
      <c r="C706" s="28"/>
      <c r="D706" s="29"/>
      <c r="E706" s="21"/>
      <c r="F706" s="6"/>
      <c r="G706" s="6"/>
      <c r="H706" s="6"/>
      <c r="I706" s="6"/>
      <c r="J706" s="30"/>
      <c r="K706" s="6"/>
      <c r="L706" s="29"/>
      <c r="M706" s="6"/>
      <c r="N706" s="6"/>
    </row>
    <row r="707" customFormat="false" ht="15" hidden="false" customHeight="false" outlineLevel="0" collapsed="false">
      <c r="A707" s="6"/>
      <c r="B707" s="21"/>
      <c r="C707" s="28"/>
      <c r="D707" s="29"/>
      <c r="E707" s="21"/>
      <c r="F707" s="6"/>
      <c r="G707" s="6"/>
      <c r="H707" s="6"/>
      <c r="I707" s="6"/>
      <c r="J707" s="30"/>
      <c r="K707" s="6"/>
      <c r="L707" s="29"/>
      <c r="M707" s="6"/>
      <c r="N707" s="6"/>
    </row>
    <row r="708" customFormat="false" ht="15" hidden="false" customHeight="false" outlineLevel="0" collapsed="false">
      <c r="A708" s="6"/>
      <c r="B708" s="21"/>
      <c r="C708" s="28"/>
      <c r="D708" s="29"/>
      <c r="E708" s="21"/>
      <c r="F708" s="6"/>
      <c r="G708" s="6"/>
      <c r="H708" s="6"/>
      <c r="I708" s="6"/>
      <c r="J708" s="30"/>
      <c r="K708" s="6"/>
      <c r="L708" s="29"/>
      <c r="M708" s="6"/>
      <c r="N708" s="6"/>
    </row>
    <row r="709" customFormat="false" ht="15" hidden="false" customHeight="false" outlineLevel="0" collapsed="false">
      <c r="A709" s="6"/>
      <c r="B709" s="21"/>
      <c r="C709" s="28"/>
      <c r="D709" s="29"/>
      <c r="E709" s="21"/>
      <c r="F709" s="6"/>
      <c r="G709" s="6"/>
      <c r="H709" s="6"/>
      <c r="I709" s="6"/>
      <c r="J709" s="30"/>
      <c r="K709" s="6"/>
      <c r="L709" s="29"/>
      <c r="M709" s="6"/>
      <c r="N709" s="6"/>
    </row>
    <row r="710" customFormat="false" ht="15" hidden="false" customHeight="false" outlineLevel="0" collapsed="false">
      <c r="A710" s="6"/>
      <c r="B710" s="21"/>
      <c r="C710" s="28"/>
      <c r="D710" s="29"/>
      <c r="E710" s="21"/>
      <c r="F710" s="6"/>
      <c r="G710" s="6"/>
      <c r="H710" s="6"/>
      <c r="I710" s="6"/>
      <c r="J710" s="30"/>
      <c r="K710" s="6"/>
      <c r="L710" s="29"/>
      <c r="M710" s="6"/>
      <c r="N710" s="6"/>
    </row>
    <row r="711" customFormat="false" ht="15" hidden="false" customHeight="false" outlineLevel="0" collapsed="false">
      <c r="A711" s="6"/>
      <c r="B711" s="21"/>
      <c r="C711" s="28"/>
      <c r="D711" s="29"/>
      <c r="E711" s="21"/>
      <c r="F711" s="6"/>
      <c r="G711" s="6"/>
      <c r="H711" s="6"/>
      <c r="I711" s="6"/>
      <c r="J711" s="30"/>
      <c r="K711" s="6"/>
      <c r="L711" s="29"/>
      <c r="M711" s="6"/>
      <c r="N711" s="6"/>
    </row>
    <row r="712" customFormat="false" ht="15" hidden="false" customHeight="false" outlineLevel="0" collapsed="false">
      <c r="A712" s="6"/>
      <c r="B712" s="21"/>
      <c r="C712" s="28"/>
      <c r="D712" s="29"/>
      <c r="E712" s="21"/>
      <c r="F712" s="6"/>
      <c r="G712" s="6"/>
      <c r="H712" s="6"/>
      <c r="I712" s="6"/>
      <c r="J712" s="30"/>
      <c r="K712" s="6"/>
      <c r="L712" s="29"/>
      <c r="M712" s="6"/>
      <c r="N712" s="6"/>
    </row>
    <row r="713" customFormat="false" ht="15" hidden="false" customHeight="false" outlineLevel="0" collapsed="false">
      <c r="A713" s="6"/>
      <c r="B713" s="21"/>
      <c r="C713" s="28"/>
      <c r="D713" s="29"/>
      <c r="E713" s="21"/>
      <c r="F713" s="6"/>
      <c r="G713" s="6"/>
      <c r="H713" s="6"/>
      <c r="I713" s="6"/>
      <c r="J713" s="30"/>
      <c r="K713" s="6"/>
      <c r="L713" s="29"/>
      <c r="M713" s="6"/>
      <c r="N713" s="6"/>
    </row>
    <row r="714" customFormat="false" ht="15" hidden="false" customHeight="false" outlineLevel="0" collapsed="false">
      <c r="A714" s="6"/>
      <c r="B714" s="21"/>
      <c r="C714" s="28"/>
      <c r="D714" s="29"/>
      <c r="E714" s="21"/>
      <c r="F714" s="6"/>
      <c r="G714" s="6"/>
      <c r="H714" s="6"/>
      <c r="I714" s="6"/>
      <c r="J714" s="30"/>
      <c r="K714" s="6"/>
      <c r="L714" s="29"/>
      <c r="M714" s="6"/>
      <c r="N714" s="6"/>
    </row>
    <row r="715" customFormat="false" ht="15" hidden="false" customHeight="false" outlineLevel="0" collapsed="false">
      <c r="A715" s="6"/>
      <c r="B715" s="21"/>
      <c r="C715" s="28"/>
      <c r="D715" s="29"/>
      <c r="E715" s="21"/>
      <c r="F715" s="6"/>
      <c r="G715" s="6"/>
      <c r="H715" s="6"/>
      <c r="I715" s="6"/>
      <c r="J715" s="30"/>
      <c r="K715" s="6"/>
      <c r="L715" s="29"/>
      <c r="M715" s="6"/>
      <c r="N715" s="6"/>
    </row>
    <row r="716" customFormat="false" ht="15" hidden="false" customHeight="false" outlineLevel="0" collapsed="false">
      <c r="A716" s="6"/>
      <c r="B716" s="21"/>
      <c r="C716" s="28"/>
      <c r="D716" s="29"/>
      <c r="E716" s="21"/>
      <c r="F716" s="6"/>
      <c r="G716" s="6"/>
      <c r="H716" s="6"/>
      <c r="I716" s="6"/>
      <c r="J716" s="30"/>
      <c r="K716" s="6"/>
      <c r="L716" s="29"/>
      <c r="M716" s="6"/>
      <c r="N716" s="6"/>
    </row>
    <row r="717" customFormat="false" ht="15" hidden="false" customHeight="false" outlineLevel="0" collapsed="false">
      <c r="A717" s="6"/>
      <c r="B717" s="21"/>
      <c r="C717" s="28"/>
      <c r="D717" s="29"/>
      <c r="E717" s="21"/>
      <c r="F717" s="6"/>
      <c r="G717" s="6"/>
      <c r="H717" s="6"/>
      <c r="I717" s="6"/>
      <c r="J717" s="30"/>
      <c r="K717" s="6"/>
      <c r="L717" s="29"/>
      <c r="M717" s="6"/>
      <c r="N717" s="6"/>
    </row>
    <row r="718" customFormat="false" ht="15" hidden="false" customHeight="false" outlineLevel="0" collapsed="false">
      <c r="A718" s="6"/>
      <c r="B718" s="21"/>
      <c r="C718" s="28"/>
      <c r="D718" s="29"/>
      <c r="E718" s="21"/>
      <c r="F718" s="6"/>
      <c r="G718" s="6"/>
      <c r="H718" s="6"/>
      <c r="I718" s="6"/>
      <c r="J718" s="30"/>
      <c r="K718" s="6"/>
      <c r="L718" s="29"/>
      <c r="M718" s="6"/>
      <c r="N718" s="6"/>
    </row>
    <row r="719" customFormat="false" ht="15" hidden="false" customHeight="false" outlineLevel="0" collapsed="false">
      <c r="A719" s="6"/>
      <c r="B719" s="21"/>
      <c r="C719" s="28"/>
      <c r="D719" s="29"/>
      <c r="E719" s="21"/>
      <c r="F719" s="6"/>
      <c r="G719" s="6"/>
      <c r="H719" s="6"/>
      <c r="I719" s="6"/>
      <c r="J719" s="30"/>
      <c r="K719" s="6"/>
      <c r="L719" s="29"/>
      <c r="M719" s="6"/>
      <c r="N719" s="6"/>
    </row>
    <row r="720" customFormat="false" ht="15" hidden="false" customHeight="false" outlineLevel="0" collapsed="false">
      <c r="A720" s="6"/>
      <c r="B720" s="21"/>
      <c r="C720" s="28"/>
      <c r="D720" s="29"/>
      <c r="E720" s="21"/>
      <c r="F720" s="6"/>
      <c r="G720" s="6"/>
      <c r="H720" s="6"/>
      <c r="I720" s="6"/>
      <c r="J720" s="30"/>
      <c r="K720" s="6"/>
      <c r="L720" s="29"/>
      <c r="M720" s="6"/>
      <c r="N720" s="6"/>
    </row>
    <row r="721" customFormat="false" ht="15" hidden="false" customHeight="false" outlineLevel="0" collapsed="false">
      <c r="A721" s="6"/>
      <c r="B721" s="21"/>
      <c r="C721" s="28"/>
      <c r="D721" s="29"/>
      <c r="E721" s="21"/>
      <c r="F721" s="6"/>
      <c r="G721" s="6"/>
      <c r="H721" s="6"/>
      <c r="I721" s="6"/>
      <c r="J721" s="30"/>
      <c r="K721" s="6"/>
      <c r="L721" s="29"/>
      <c r="M721" s="6"/>
      <c r="N721" s="6"/>
    </row>
    <row r="722" customFormat="false" ht="15" hidden="false" customHeight="false" outlineLevel="0" collapsed="false">
      <c r="A722" s="6"/>
      <c r="B722" s="21"/>
      <c r="C722" s="28"/>
      <c r="D722" s="29"/>
      <c r="E722" s="21"/>
      <c r="F722" s="6"/>
      <c r="G722" s="6"/>
      <c r="H722" s="6"/>
      <c r="I722" s="6"/>
      <c r="J722" s="30"/>
      <c r="K722" s="6"/>
      <c r="L722" s="29"/>
      <c r="M722" s="6"/>
      <c r="N722" s="6"/>
    </row>
    <row r="723" customFormat="false" ht="15" hidden="false" customHeight="false" outlineLevel="0" collapsed="false">
      <c r="A723" s="6"/>
      <c r="B723" s="21"/>
      <c r="C723" s="28"/>
      <c r="D723" s="29"/>
      <c r="E723" s="21"/>
      <c r="F723" s="6"/>
      <c r="G723" s="6"/>
      <c r="H723" s="6"/>
      <c r="I723" s="6"/>
      <c r="J723" s="30"/>
      <c r="K723" s="6"/>
      <c r="L723" s="29"/>
      <c r="M723" s="6"/>
      <c r="N723" s="6"/>
    </row>
    <row r="724" customFormat="false" ht="15" hidden="false" customHeight="false" outlineLevel="0" collapsed="false">
      <c r="A724" s="6"/>
      <c r="B724" s="21"/>
      <c r="C724" s="28"/>
      <c r="D724" s="29"/>
      <c r="E724" s="21"/>
      <c r="F724" s="6"/>
      <c r="G724" s="6"/>
      <c r="H724" s="6"/>
      <c r="I724" s="6"/>
      <c r="J724" s="30"/>
      <c r="K724" s="6"/>
      <c r="L724" s="29"/>
      <c r="M724" s="6"/>
      <c r="N724" s="6"/>
    </row>
    <row r="725" customFormat="false" ht="15" hidden="false" customHeight="false" outlineLevel="0" collapsed="false">
      <c r="A725" s="6"/>
      <c r="B725" s="21"/>
      <c r="C725" s="28"/>
      <c r="D725" s="29"/>
      <c r="E725" s="21"/>
      <c r="F725" s="6"/>
      <c r="G725" s="6"/>
      <c r="H725" s="6"/>
      <c r="I725" s="6"/>
      <c r="J725" s="30"/>
      <c r="K725" s="6"/>
      <c r="L725" s="29"/>
      <c r="M725" s="6"/>
      <c r="N725" s="6"/>
    </row>
    <row r="726" customFormat="false" ht="15" hidden="false" customHeight="false" outlineLevel="0" collapsed="false">
      <c r="A726" s="6"/>
      <c r="B726" s="21"/>
      <c r="C726" s="28"/>
      <c r="D726" s="29"/>
      <c r="E726" s="21"/>
      <c r="F726" s="6"/>
      <c r="G726" s="6"/>
      <c r="H726" s="6"/>
      <c r="I726" s="6"/>
      <c r="J726" s="30"/>
      <c r="K726" s="6"/>
      <c r="L726" s="29"/>
      <c r="M726" s="6"/>
      <c r="N726" s="6"/>
    </row>
    <row r="727" customFormat="false" ht="15" hidden="false" customHeight="false" outlineLevel="0" collapsed="false">
      <c r="A727" s="6"/>
      <c r="B727" s="21"/>
      <c r="C727" s="28"/>
      <c r="D727" s="29"/>
      <c r="E727" s="21"/>
      <c r="F727" s="6"/>
      <c r="G727" s="6"/>
      <c r="H727" s="6"/>
      <c r="I727" s="6"/>
      <c r="J727" s="30"/>
      <c r="K727" s="6"/>
      <c r="L727" s="29"/>
      <c r="M727" s="6"/>
      <c r="N727" s="6"/>
    </row>
    <row r="728" customFormat="false" ht="15" hidden="false" customHeight="false" outlineLevel="0" collapsed="false">
      <c r="A728" s="6"/>
      <c r="B728" s="21"/>
      <c r="C728" s="28"/>
      <c r="D728" s="29"/>
      <c r="E728" s="21"/>
      <c r="F728" s="6"/>
      <c r="G728" s="6"/>
      <c r="H728" s="6"/>
      <c r="I728" s="6"/>
      <c r="J728" s="30"/>
      <c r="K728" s="6"/>
      <c r="L728" s="29"/>
      <c r="M728" s="6"/>
      <c r="N728" s="6"/>
    </row>
    <row r="729" customFormat="false" ht="15" hidden="false" customHeight="false" outlineLevel="0" collapsed="false">
      <c r="A729" s="6"/>
      <c r="B729" s="21"/>
      <c r="C729" s="28"/>
      <c r="D729" s="29"/>
      <c r="E729" s="21"/>
      <c r="F729" s="6"/>
      <c r="G729" s="6"/>
      <c r="H729" s="6"/>
      <c r="I729" s="6"/>
      <c r="J729" s="30"/>
      <c r="K729" s="6"/>
      <c r="L729" s="29"/>
      <c r="M729" s="6"/>
      <c r="N729" s="6"/>
    </row>
    <row r="730" customFormat="false" ht="15" hidden="false" customHeight="false" outlineLevel="0" collapsed="false">
      <c r="A730" s="6"/>
      <c r="B730" s="21"/>
      <c r="C730" s="28"/>
      <c r="D730" s="29"/>
      <c r="E730" s="21"/>
      <c r="F730" s="6"/>
      <c r="G730" s="6"/>
      <c r="H730" s="6"/>
      <c r="I730" s="6"/>
      <c r="J730" s="30"/>
      <c r="K730" s="6"/>
      <c r="L730" s="29"/>
      <c r="M730" s="6"/>
      <c r="N730" s="6"/>
    </row>
    <row r="731" customFormat="false" ht="15" hidden="false" customHeight="false" outlineLevel="0" collapsed="false">
      <c r="A731" s="6"/>
      <c r="B731" s="21"/>
      <c r="C731" s="28"/>
      <c r="D731" s="29"/>
      <c r="E731" s="21"/>
      <c r="F731" s="6"/>
      <c r="G731" s="6"/>
      <c r="H731" s="6"/>
      <c r="I731" s="6"/>
      <c r="J731" s="30"/>
      <c r="K731" s="6"/>
      <c r="L731" s="29"/>
      <c r="M731" s="6"/>
      <c r="N731" s="6"/>
    </row>
    <row r="732" customFormat="false" ht="15" hidden="false" customHeight="false" outlineLevel="0" collapsed="false">
      <c r="A732" s="6"/>
      <c r="B732" s="21"/>
      <c r="C732" s="28"/>
      <c r="D732" s="29"/>
      <c r="E732" s="21"/>
      <c r="F732" s="6"/>
      <c r="G732" s="6"/>
      <c r="H732" s="6"/>
      <c r="I732" s="6"/>
      <c r="J732" s="30"/>
      <c r="K732" s="6"/>
      <c r="L732" s="29"/>
      <c r="M732" s="6"/>
      <c r="N732" s="6"/>
    </row>
    <row r="733" customFormat="false" ht="15" hidden="false" customHeight="false" outlineLevel="0" collapsed="false">
      <c r="A733" s="6"/>
      <c r="B733" s="21"/>
      <c r="C733" s="28"/>
      <c r="D733" s="29"/>
      <c r="E733" s="21"/>
      <c r="F733" s="6"/>
      <c r="G733" s="6"/>
      <c r="H733" s="6"/>
      <c r="I733" s="6"/>
      <c r="J733" s="30"/>
      <c r="K733" s="6"/>
      <c r="L733" s="29"/>
      <c r="M733" s="6"/>
      <c r="N733" s="6"/>
    </row>
    <row r="734" customFormat="false" ht="15" hidden="false" customHeight="false" outlineLevel="0" collapsed="false">
      <c r="A734" s="6"/>
      <c r="B734" s="21"/>
      <c r="C734" s="28"/>
      <c r="D734" s="29"/>
      <c r="E734" s="21"/>
      <c r="F734" s="6"/>
      <c r="G734" s="6"/>
      <c r="H734" s="6"/>
      <c r="I734" s="6"/>
      <c r="J734" s="30"/>
      <c r="K734" s="6"/>
      <c r="L734" s="29"/>
      <c r="M734" s="6"/>
      <c r="N734" s="6"/>
    </row>
    <row r="735" customFormat="false" ht="15" hidden="false" customHeight="false" outlineLevel="0" collapsed="false">
      <c r="A735" s="6"/>
      <c r="B735" s="21"/>
      <c r="C735" s="28"/>
      <c r="D735" s="29"/>
      <c r="E735" s="21"/>
      <c r="F735" s="6"/>
      <c r="G735" s="6"/>
      <c r="H735" s="6"/>
      <c r="I735" s="6"/>
      <c r="J735" s="30"/>
      <c r="K735" s="6"/>
      <c r="L735" s="29"/>
      <c r="M735" s="6"/>
      <c r="N735" s="6"/>
    </row>
    <row r="736" customFormat="false" ht="15" hidden="false" customHeight="false" outlineLevel="0" collapsed="false">
      <c r="A736" s="6"/>
      <c r="B736" s="21"/>
      <c r="C736" s="28"/>
      <c r="D736" s="29"/>
      <c r="E736" s="21"/>
      <c r="F736" s="6"/>
      <c r="G736" s="6"/>
      <c r="H736" s="6"/>
      <c r="I736" s="6"/>
      <c r="J736" s="30"/>
      <c r="K736" s="6"/>
      <c r="L736" s="29"/>
      <c r="M736" s="6"/>
      <c r="N736" s="6"/>
    </row>
    <row r="737" customFormat="false" ht="15" hidden="false" customHeight="false" outlineLevel="0" collapsed="false">
      <c r="A737" s="6"/>
      <c r="B737" s="21"/>
      <c r="C737" s="28"/>
      <c r="D737" s="29"/>
      <c r="E737" s="21"/>
      <c r="F737" s="6"/>
      <c r="G737" s="6"/>
      <c r="H737" s="6"/>
      <c r="I737" s="6"/>
      <c r="J737" s="30"/>
      <c r="K737" s="6"/>
      <c r="L737" s="29"/>
      <c r="M737" s="6"/>
      <c r="N737" s="6"/>
    </row>
    <row r="738" customFormat="false" ht="15" hidden="false" customHeight="false" outlineLevel="0" collapsed="false">
      <c r="A738" s="6"/>
      <c r="B738" s="21"/>
      <c r="C738" s="28"/>
      <c r="D738" s="29"/>
      <c r="E738" s="21"/>
      <c r="F738" s="6"/>
      <c r="G738" s="6"/>
      <c r="H738" s="6"/>
      <c r="I738" s="6"/>
      <c r="J738" s="30"/>
      <c r="K738" s="6"/>
      <c r="L738" s="29"/>
      <c r="M738" s="6"/>
      <c r="N738" s="6"/>
    </row>
    <row r="739" customFormat="false" ht="15" hidden="false" customHeight="false" outlineLevel="0" collapsed="false">
      <c r="A739" s="6"/>
      <c r="B739" s="21"/>
      <c r="C739" s="28"/>
      <c r="D739" s="29"/>
      <c r="E739" s="21"/>
      <c r="F739" s="6"/>
      <c r="G739" s="6"/>
      <c r="H739" s="6"/>
      <c r="I739" s="6"/>
      <c r="J739" s="30"/>
      <c r="K739" s="6"/>
      <c r="L739" s="29"/>
      <c r="M739" s="6"/>
      <c r="N739" s="6"/>
    </row>
    <row r="740" customFormat="false" ht="15" hidden="false" customHeight="false" outlineLevel="0" collapsed="false">
      <c r="A740" s="6"/>
      <c r="B740" s="21"/>
      <c r="C740" s="28"/>
      <c r="D740" s="29"/>
      <c r="E740" s="21"/>
      <c r="F740" s="6"/>
      <c r="G740" s="6"/>
      <c r="H740" s="6"/>
      <c r="I740" s="6"/>
      <c r="J740" s="30"/>
      <c r="K740" s="6"/>
      <c r="L740" s="29"/>
      <c r="M740" s="6"/>
      <c r="N740" s="6"/>
    </row>
    <row r="741" customFormat="false" ht="15" hidden="false" customHeight="false" outlineLevel="0" collapsed="false">
      <c r="A741" s="6"/>
      <c r="B741" s="21"/>
      <c r="C741" s="28"/>
      <c r="D741" s="29"/>
      <c r="E741" s="21"/>
      <c r="F741" s="6"/>
      <c r="G741" s="6"/>
      <c r="H741" s="6"/>
      <c r="I741" s="6"/>
      <c r="J741" s="30"/>
      <c r="K741" s="6"/>
      <c r="L741" s="29"/>
      <c r="M741" s="6"/>
      <c r="N741" s="6"/>
    </row>
    <row r="742" customFormat="false" ht="15" hidden="false" customHeight="false" outlineLevel="0" collapsed="false">
      <c r="A742" s="6"/>
      <c r="B742" s="21"/>
      <c r="C742" s="28"/>
      <c r="D742" s="29"/>
      <c r="E742" s="21"/>
      <c r="F742" s="6"/>
      <c r="G742" s="6"/>
      <c r="H742" s="6"/>
      <c r="I742" s="6"/>
      <c r="J742" s="30"/>
      <c r="K742" s="6"/>
      <c r="L742" s="29"/>
      <c r="M742" s="6"/>
      <c r="N742" s="6"/>
    </row>
    <row r="743" customFormat="false" ht="15" hidden="false" customHeight="false" outlineLevel="0" collapsed="false">
      <c r="A743" s="6"/>
      <c r="B743" s="21"/>
      <c r="C743" s="28"/>
      <c r="D743" s="29"/>
      <c r="E743" s="21"/>
      <c r="F743" s="6"/>
      <c r="G743" s="6"/>
      <c r="H743" s="6"/>
      <c r="I743" s="6"/>
      <c r="J743" s="30"/>
      <c r="K743" s="6"/>
      <c r="L743" s="29"/>
      <c r="M743" s="6"/>
      <c r="N743" s="6"/>
    </row>
    <row r="744" customFormat="false" ht="15" hidden="false" customHeight="false" outlineLevel="0" collapsed="false">
      <c r="A744" s="6"/>
      <c r="B744" s="21"/>
      <c r="C744" s="28"/>
      <c r="D744" s="29"/>
      <c r="E744" s="21"/>
      <c r="F744" s="6"/>
      <c r="G744" s="6"/>
      <c r="H744" s="6"/>
      <c r="I744" s="6"/>
      <c r="J744" s="30"/>
      <c r="K744" s="6"/>
      <c r="L744" s="29"/>
      <c r="M744" s="6"/>
      <c r="N744" s="6"/>
    </row>
    <row r="745" customFormat="false" ht="15" hidden="false" customHeight="false" outlineLevel="0" collapsed="false">
      <c r="A745" s="6"/>
      <c r="B745" s="21"/>
      <c r="C745" s="28"/>
      <c r="D745" s="29"/>
      <c r="E745" s="21"/>
      <c r="F745" s="6"/>
      <c r="G745" s="6"/>
      <c r="H745" s="6"/>
      <c r="I745" s="6"/>
      <c r="J745" s="30"/>
      <c r="K745" s="6"/>
      <c r="L745" s="29"/>
      <c r="M745" s="6"/>
      <c r="N745" s="6"/>
    </row>
    <row r="746" customFormat="false" ht="15" hidden="false" customHeight="false" outlineLevel="0" collapsed="false">
      <c r="A746" s="6"/>
      <c r="B746" s="21"/>
      <c r="C746" s="28"/>
      <c r="D746" s="29"/>
      <c r="E746" s="21"/>
      <c r="F746" s="6"/>
      <c r="G746" s="6"/>
      <c r="H746" s="6"/>
      <c r="I746" s="6"/>
      <c r="J746" s="30"/>
      <c r="K746" s="6"/>
      <c r="L746" s="29"/>
      <c r="M746" s="6"/>
      <c r="N746" s="6"/>
    </row>
    <row r="747" customFormat="false" ht="15" hidden="false" customHeight="false" outlineLevel="0" collapsed="false">
      <c r="A747" s="6"/>
      <c r="B747" s="21"/>
      <c r="C747" s="28"/>
      <c r="D747" s="29"/>
      <c r="E747" s="21"/>
      <c r="F747" s="6"/>
      <c r="G747" s="6"/>
      <c r="H747" s="6"/>
      <c r="I747" s="6"/>
      <c r="J747" s="30"/>
      <c r="K747" s="6"/>
      <c r="L747" s="29"/>
      <c r="M747" s="6"/>
      <c r="N747" s="6"/>
    </row>
    <row r="748" customFormat="false" ht="15" hidden="false" customHeight="false" outlineLevel="0" collapsed="false">
      <c r="A748" s="6"/>
      <c r="B748" s="21"/>
      <c r="C748" s="28"/>
      <c r="D748" s="29"/>
      <c r="E748" s="21"/>
      <c r="F748" s="6"/>
      <c r="G748" s="6"/>
      <c r="H748" s="6"/>
      <c r="I748" s="6"/>
      <c r="J748" s="30"/>
      <c r="K748" s="6"/>
      <c r="L748" s="29"/>
      <c r="M748" s="6"/>
      <c r="N748" s="6"/>
    </row>
    <row r="749" customFormat="false" ht="15" hidden="false" customHeight="false" outlineLevel="0" collapsed="false">
      <c r="A749" s="6"/>
      <c r="B749" s="21"/>
      <c r="C749" s="28"/>
      <c r="D749" s="29"/>
      <c r="E749" s="21"/>
      <c r="F749" s="6"/>
      <c r="G749" s="6"/>
      <c r="H749" s="6"/>
      <c r="I749" s="6"/>
      <c r="J749" s="30"/>
      <c r="K749" s="6"/>
      <c r="L749" s="29"/>
      <c r="M749" s="6"/>
      <c r="N749" s="6"/>
    </row>
    <row r="750" customFormat="false" ht="15" hidden="false" customHeight="false" outlineLevel="0" collapsed="false">
      <c r="A750" s="6"/>
      <c r="B750" s="21"/>
      <c r="C750" s="28"/>
      <c r="D750" s="29"/>
      <c r="E750" s="21"/>
      <c r="F750" s="6"/>
      <c r="G750" s="6"/>
      <c r="H750" s="6"/>
      <c r="I750" s="6"/>
      <c r="J750" s="30"/>
      <c r="K750" s="6"/>
      <c r="L750" s="29"/>
      <c r="M750" s="6"/>
      <c r="N750" s="6"/>
    </row>
    <row r="751" customFormat="false" ht="15" hidden="false" customHeight="false" outlineLevel="0" collapsed="false">
      <c r="A751" s="6"/>
      <c r="B751" s="21"/>
      <c r="C751" s="28"/>
      <c r="D751" s="29"/>
      <c r="E751" s="21"/>
      <c r="F751" s="6"/>
      <c r="G751" s="6"/>
      <c r="H751" s="6"/>
      <c r="I751" s="6"/>
      <c r="J751" s="30"/>
      <c r="K751" s="6"/>
      <c r="L751" s="29"/>
      <c r="M751" s="6"/>
      <c r="N751" s="6"/>
    </row>
    <row r="752" customFormat="false" ht="15" hidden="false" customHeight="false" outlineLevel="0" collapsed="false">
      <c r="A752" s="6"/>
      <c r="B752" s="21"/>
      <c r="C752" s="28"/>
      <c r="D752" s="29"/>
      <c r="E752" s="21"/>
      <c r="F752" s="6"/>
      <c r="G752" s="6"/>
      <c r="H752" s="6"/>
      <c r="I752" s="6"/>
      <c r="J752" s="30"/>
      <c r="K752" s="6"/>
      <c r="L752" s="29"/>
      <c r="M752" s="6"/>
      <c r="N752" s="6"/>
    </row>
    <row r="753" customFormat="false" ht="15" hidden="false" customHeight="false" outlineLevel="0" collapsed="false">
      <c r="A753" s="6"/>
      <c r="B753" s="21"/>
      <c r="C753" s="28"/>
      <c r="D753" s="29"/>
      <c r="E753" s="21"/>
      <c r="F753" s="6"/>
      <c r="G753" s="6"/>
      <c r="H753" s="6"/>
      <c r="I753" s="6"/>
      <c r="J753" s="30"/>
      <c r="K753" s="6"/>
      <c r="L753" s="29"/>
      <c r="M753" s="6"/>
      <c r="N753" s="6"/>
    </row>
    <row r="754" customFormat="false" ht="15" hidden="false" customHeight="false" outlineLevel="0" collapsed="false">
      <c r="A754" s="6"/>
      <c r="B754" s="21"/>
      <c r="C754" s="28"/>
      <c r="D754" s="29"/>
      <c r="E754" s="21"/>
      <c r="F754" s="6"/>
      <c r="G754" s="6"/>
      <c r="H754" s="6"/>
      <c r="I754" s="6"/>
      <c r="J754" s="30"/>
      <c r="K754" s="6"/>
      <c r="L754" s="29"/>
      <c r="M754" s="6"/>
      <c r="N754" s="6"/>
    </row>
    <row r="755" customFormat="false" ht="15" hidden="false" customHeight="false" outlineLevel="0" collapsed="false">
      <c r="A755" s="6"/>
      <c r="B755" s="21"/>
      <c r="C755" s="28"/>
      <c r="D755" s="29"/>
      <c r="E755" s="21"/>
      <c r="F755" s="6"/>
      <c r="G755" s="6"/>
      <c r="H755" s="6"/>
      <c r="I755" s="6"/>
      <c r="J755" s="30"/>
      <c r="K755" s="6"/>
      <c r="L755" s="29"/>
      <c r="M755" s="6"/>
      <c r="N755" s="6"/>
    </row>
    <row r="756" customFormat="false" ht="15" hidden="false" customHeight="false" outlineLevel="0" collapsed="false">
      <c r="A756" s="6"/>
      <c r="B756" s="21"/>
      <c r="C756" s="28"/>
      <c r="D756" s="29"/>
      <c r="E756" s="21"/>
      <c r="F756" s="6"/>
      <c r="G756" s="6"/>
      <c r="H756" s="6"/>
      <c r="I756" s="6"/>
      <c r="J756" s="30"/>
      <c r="K756" s="6"/>
      <c r="L756" s="29"/>
      <c r="M756" s="6"/>
      <c r="N756" s="6"/>
    </row>
    <row r="757" customFormat="false" ht="15" hidden="false" customHeight="false" outlineLevel="0" collapsed="false">
      <c r="A757" s="6"/>
      <c r="B757" s="21"/>
      <c r="C757" s="28"/>
      <c r="D757" s="29"/>
      <c r="E757" s="21"/>
      <c r="F757" s="6"/>
      <c r="G757" s="6"/>
      <c r="H757" s="6"/>
      <c r="I757" s="6"/>
      <c r="J757" s="30"/>
      <c r="K757" s="6"/>
      <c r="L757" s="29"/>
      <c r="M757" s="6"/>
      <c r="N757" s="6"/>
    </row>
    <row r="758" customFormat="false" ht="15" hidden="false" customHeight="false" outlineLevel="0" collapsed="false">
      <c r="A758" s="6"/>
      <c r="B758" s="21"/>
      <c r="C758" s="28"/>
      <c r="D758" s="29"/>
      <c r="E758" s="21"/>
      <c r="F758" s="6"/>
      <c r="G758" s="6"/>
      <c r="H758" s="6"/>
      <c r="I758" s="6"/>
      <c r="J758" s="30"/>
      <c r="K758" s="6"/>
      <c r="L758" s="29"/>
      <c r="M758" s="6"/>
      <c r="N758" s="6"/>
    </row>
    <row r="759" customFormat="false" ht="15" hidden="false" customHeight="false" outlineLevel="0" collapsed="false">
      <c r="A759" s="6"/>
      <c r="B759" s="21"/>
      <c r="C759" s="28"/>
      <c r="D759" s="29"/>
      <c r="E759" s="21"/>
      <c r="F759" s="6"/>
      <c r="G759" s="6"/>
      <c r="H759" s="6"/>
      <c r="I759" s="6"/>
      <c r="J759" s="30"/>
      <c r="K759" s="6"/>
      <c r="L759" s="29"/>
      <c r="M759" s="6"/>
      <c r="N759" s="6"/>
    </row>
    <row r="760" customFormat="false" ht="15" hidden="false" customHeight="false" outlineLevel="0" collapsed="false">
      <c r="A760" s="6"/>
      <c r="B760" s="21"/>
      <c r="C760" s="28"/>
      <c r="D760" s="29"/>
      <c r="E760" s="21"/>
      <c r="F760" s="6"/>
      <c r="G760" s="6"/>
      <c r="H760" s="6"/>
      <c r="I760" s="6"/>
      <c r="J760" s="30"/>
      <c r="K760" s="6"/>
      <c r="L760" s="29"/>
      <c r="M760" s="6"/>
      <c r="N760" s="6"/>
    </row>
    <row r="761" customFormat="false" ht="15" hidden="false" customHeight="false" outlineLevel="0" collapsed="false">
      <c r="A761" s="6"/>
      <c r="B761" s="21"/>
      <c r="C761" s="28"/>
      <c r="D761" s="29"/>
      <c r="E761" s="21"/>
      <c r="F761" s="6"/>
      <c r="G761" s="6"/>
      <c r="H761" s="6"/>
      <c r="I761" s="6"/>
      <c r="J761" s="30"/>
      <c r="K761" s="6"/>
      <c r="L761" s="29"/>
      <c r="M761" s="6"/>
      <c r="N761" s="6"/>
    </row>
    <row r="762" customFormat="false" ht="15" hidden="false" customHeight="false" outlineLevel="0" collapsed="false">
      <c r="A762" s="6"/>
      <c r="B762" s="21"/>
      <c r="C762" s="28"/>
      <c r="D762" s="29"/>
      <c r="E762" s="21"/>
      <c r="F762" s="6"/>
      <c r="G762" s="6"/>
      <c r="H762" s="6"/>
      <c r="I762" s="6"/>
      <c r="J762" s="30"/>
      <c r="K762" s="6"/>
      <c r="L762" s="29"/>
      <c r="M762" s="6"/>
      <c r="N762" s="6"/>
    </row>
    <row r="763" customFormat="false" ht="15" hidden="false" customHeight="false" outlineLevel="0" collapsed="false">
      <c r="A763" s="6"/>
      <c r="B763" s="21"/>
      <c r="C763" s="28"/>
      <c r="D763" s="29"/>
      <c r="E763" s="21"/>
      <c r="F763" s="6"/>
      <c r="G763" s="6"/>
      <c r="H763" s="6"/>
      <c r="I763" s="6"/>
      <c r="J763" s="30"/>
      <c r="K763" s="6"/>
      <c r="L763" s="29"/>
      <c r="M763" s="6"/>
      <c r="N763" s="6"/>
    </row>
    <row r="764" customFormat="false" ht="15" hidden="false" customHeight="false" outlineLevel="0" collapsed="false">
      <c r="A764" s="6"/>
      <c r="B764" s="21"/>
      <c r="C764" s="28"/>
      <c r="D764" s="29"/>
      <c r="E764" s="21"/>
      <c r="F764" s="6"/>
      <c r="G764" s="6"/>
      <c r="H764" s="6"/>
      <c r="I764" s="6"/>
      <c r="J764" s="30"/>
      <c r="K764" s="6"/>
      <c r="L764" s="29"/>
      <c r="M764" s="6"/>
      <c r="N764" s="6"/>
    </row>
    <row r="765" customFormat="false" ht="15" hidden="false" customHeight="false" outlineLevel="0" collapsed="false">
      <c r="A765" s="6"/>
      <c r="B765" s="21"/>
      <c r="C765" s="28"/>
      <c r="D765" s="29"/>
      <c r="E765" s="21"/>
      <c r="F765" s="6"/>
      <c r="G765" s="6"/>
      <c r="H765" s="6"/>
      <c r="I765" s="6"/>
      <c r="J765" s="30"/>
      <c r="K765" s="6"/>
      <c r="L765" s="29"/>
      <c r="M765" s="6"/>
      <c r="N765" s="6"/>
    </row>
    <row r="766" customFormat="false" ht="15" hidden="false" customHeight="false" outlineLevel="0" collapsed="false">
      <c r="A766" s="6"/>
      <c r="B766" s="21"/>
      <c r="C766" s="28"/>
      <c r="D766" s="29"/>
      <c r="E766" s="21"/>
      <c r="F766" s="6"/>
      <c r="G766" s="6"/>
      <c r="H766" s="6"/>
      <c r="I766" s="6"/>
      <c r="J766" s="30"/>
      <c r="K766" s="6"/>
      <c r="L766" s="29"/>
      <c r="M766" s="6"/>
      <c r="N766" s="6"/>
    </row>
    <row r="767" customFormat="false" ht="15" hidden="false" customHeight="false" outlineLevel="0" collapsed="false">
      <c r="A767" s="6"/>
      <c r="B767" s="21"/>
      <c r="C767" s="28"/>
      <c r="D767" s="29"/>
      <c r="E767" s="21"/>
      <c r="F767" s="6"/>
      <c r="G767" s="6"/>
      <c r="H767" s="6"/>
      <c r="I767" s="6"/>
      <c r="J767" s="30"/>
      <c r="K767" s="6"/>
      <c r="L767" s="29"/>
      <c r="M767" s="6"/>
      <c r="N767" s="6"/>
    </row>
    <row r="768" customFormat="false" ht="15" hidden="false" customHeight="false" outlineLevel="0" collapsed="false">
      <c r="A768" s="6"/>
      <c r="B768" s="21"/>
      <c r="C768" s="28"/>
      <c r="D768" s="29"/>
      <c r="E768" s="21"/>
      <c r="F768" s="6"/>
      <c r="G768" s="6"/>
      <c r="H768" s="6"/>
      <c r="I768" s="6"/>
      <c r="J768" s="30"/>
      <c r="K768" s="6"/>
      <c r="L768" s="29"/>
      <c r="M768" s="6"/>
      <c r="N768" s="6"/>
    </row>
    <row r="769" customFormat="false" ht="15" hidden="false" customHeight="false" outlineLevel="0" collapsed="false">
      <c r="A769" s="6"/>
      <c r="B769" s="21"/>
      <c r="C769" s="28"/>
      <c r="D769" s="29"/>
      <c r="E769" s="21"/>
      <c r="F769" s="6"/>
      <c r="G769" s="6"/>
      <c r="H769" s="6"/>
      <c r="I769" s="6"/>
      <c r="J769" s="30"/>
      <c r="K769" s="6"/>
      <c r="L769" s="29"/>
      <c r="M769" s="6"/>
      <c r="N769" s="6"/>
    </row>
    <row r="770" customFormat="false" ht="15" hidden="false" customHeight="false" outlineLevel="0" collapsed="false">
      <c r="A770" s="6"/>
      <c r="B770" s="21"/>
      <c r="C770" s="28"/>
      <c r="D770" s="29"/>
      <c r="E770" s="21"/>
      <c r="F770" s="6"/>
      <c r="G770" s="6"/>
      <c r="H770" s="6"/>
      <c r="I770" s="6"/>
      <c r="J770" s="30"/>
      <c r="K770" s="6"/>
      <c r="L770" s="29"/>
      <c r="M770" s="6"/>
      <c r="N770" s="6"/>
    </row>
    <row r="771" customFormat="false" ht="15" hidden="false" customHeight="false" outlineLevel="0" collapsed="false">
      <c r="A771" s="6"/>
      <c r="B771" s="21"/>
      <c r="C771" s="28"/>
      <c r="D771" s="29"/>
      <c r="E771" s="21"/>
      <c r="F771" s="6"/>
      <c r="G771" s="6"/>
      <c r="H771" s="6"/>
      <c r="I771" s="6"/>
      <c r="J771" s="30"/>
      <c r="K771" s="6"/>
      <c r="L771" s="29"/>
      <c r="M771" s="6"/>
      <c r="N771" s="6"/>
    </row>
    <row r="772" customFormat="false" ht="15" hidden="false" customHeight="false" outlineLevel="0" collapsed="false">
      <c r="A772" s="6"/>
      <c r="B772" s="21"/>
      <c r="C772" s="28"/>
      <c r="D772" s="29"/>
      <c r="E772" s="21"/>
      <c r="F772" s="6"/>
      <c r="G772" s="6"/>
      <c r="H772" s="6"/>
      <c r="I772" s="6"/>
      <c r="J772" s="30"/>
      <c r="K772" s="6"/>
      <c r="L772" s="29"/>
      <c r="M772" s="6"/>
      <c r="N772" s="6"/>
    </row>
    <row r="773" customFormat="false" ht="15" hidden="false" customHeight="false" outlineLevel="0" collapsed="false">
      <c r="A773" s="6"/>
      <c r="B773" s="21"/>
      <c r="C773" s="28"/>
      <c r="D773" s="29"/>
      <c r="E773" s="21"/>
      <c r="F773" s="6"/>
      <c r="G773" s="6"/>
      <c r="H773" s="6"/>
      <c r="I773" s="6"/>
      <c r="J773" s="30"/>
      <c r="K773" s="6"/>
      <c r="L773" s="29"/>
      <c r="M773" s="6"/>
      <c r="N773" s="6"/>
    </row>
    <row r="774" customFormat="false" ht="15" hidden="false" customHeight="false" outlineLevel="0" collapsed="false">
      <c r="A774" s="6"/>
      <c r="B774" s="21"/>
      <c r="C774" s="28"/>
      <c r="D774" s="29"/>
      <c r="E774" s="21"/>
      <c r="F774" s="6"/>
      <c r="G774" s="6"/>
      <c r="H774" s="6"/>
      <c r="I774" s="6"/>
      <c r="J774" s="30"/>
      <c r="K774" s="6"/>
      <c r="L774" s="29"/>
      <c r="M774" s="6"/>
      <c r="N774" s="6"/>
    </row>
    <row r="775" customFormat="false" ht="15" hidden="false" customHeight="false" outlineLevel="0" collapsed="false">
      <c r="A775" s="6"/>
      <c r="B775" s="21"/>
      <c r="C775" s="28"/>
      <c r="D775" s="29"/>
      <c r="E775" s="21"/>
      <c r="F775" s="6"/>
      <c r="G775" s="6"/>
      <c r="H775" s="6"/>
      <c r="I775" s="6"/>
      <c r="J775" s="30"/>
      <c r="K775" s="6"/>
      <c r="L775" s="29"/>
      <c r="M775" s="6"/>
      <c r="N775" s="6"/>
    </row>
    <row r="776" customFormat="false" ht="15" hidden="false" customHeight="false" outlineLevel="0" collapsed="false">
      <c r="A776" s="6"/>
      <c r="B776" s="21"/>
      <c r="C776" s="28"/>
      <c r="D776" s="29"/>
      <c r="E776" s="21"/>
      <c r="F776" s="6"/>
      <c r="G776" s="6"/>
      <c r="H776" s="6"/>
      <c r="I776" s="6"/>
      <c r="J776" s="30"/>
      <c r="K776" s="6"/>
      <c r="L776" s="29"/>
      <c r="M776" s="6"/>
      <c r="N776" s="6"/>
    </row>
    <row r="777" customFormat="false" ht="15" hidden="false" customHeight="false" outlineLevel="0" collapsed="false">
      <c r="A777" s="6"/>
      <c r="B777" s="21"/>
      <c r="C777" s="28"/>
      <c r="D777" s="29"/>
      <c r="E777" s="21"/>
      <c r="F777" s="6"/>
      <c r="G777" s="6"/>
      <c r="H777" s="6"/>
      <c r="I777" s="6"/>
      <c r="J777" s="30"/>
      <c r="K777" s="6"/>
      <c r="L777" s="29"/>
      <c r="M777" s="6"/>
      <c r="N777" s="6"/>
    </row>
    <row r="778" customFormat="false" ht="15" hidden="false" customHeight="false" outlineLevel="0" collapsed="false">
      <c r="A778" s="6"/>
      <c r="B778" s="21"/>
      <c r="C778" s="28"/>
      <c r="D778" s="29"/>
      <c r="E778" s="21"/>
      <c r="F778" s="6"/>
      <c r="G778" s="6"/>
      <c r="H778" s="6"/>
      <c r="I778" s="6"/>
      <c r="J778" s="30"/>
      <c r="K778" s="6"/>
      <c r="L778" s="29"/>
      <c r="M778" s="6"/>
      <c r="N778" s="6"/>
    </row>
    <row r="779" customFormat="false" ht="15" hidden="false" customHeight="false" outlineLevel="0" collapsed="false">
      <c r="A779" s="6"/>
      <c r="B779" s="21"/>
      <c r="C779" s="28"/>
      <c r="D779" s="29"/>
      <c r="E779" s="21"/>
      <c r="F779" s="6"/>
      <c r="G779" s="6"/>
      <c r="H779" s="6"/>
      <c r="I779" s="6"/>
      <c r="J779" s="30"/>
      <c r="K779" s="6"/>
      <c r="L779" s="29"/>
      <c r="M779" s="6"/>
      <c r="N779" s="6"/>
    </row>
    <row r="780" customFormat="false" ht="15" hidden="false" customHeight="false" outlineLevel="0" collapsed="false">
      <c r="A780" s="6"/>
      <c r="B780" s="21"/>
      <c r="C780" s="28"/>
      <c r="D780" s="29"/>
      <c r="E780" s="21"/>
      <c r="F780" s="6"/>
      <c r="G780" s="6"/>
      <c r="H780" s="6"/>
      <c r="I780" s="6"/>
      <c r="J780" s="30"/>
      <c r="K780" s="6"/>
      <c r="L780" s="29"/>
      <c r="M780" s="6"/>
      <c r="N780" s="6"/>
    </row>
    <row r="781" customFormat="false" ht="15" hidden="false" customHeight="false" outlineLevel="0" collapsed="false">
      <c r="A781" s="6"/>
      <c r="B781" s="21"/>
      <c r="C781" s="28"/>
      <c r="D781" s="29"/>
      <c r="E781" s="21"/>
      <c r="F781" s="6"/>
      <c r="G781" s="6"/>
      <c r="H781" s="6"/>
      <c r="I781" s="6"/>
      <c r="J781" s="30"/>
      <c r="K781" s="6"/>
      <c r="L781" s="29"/>
      <c r="M781" s="6"/>
      <c r="N781" s="6"/>
    </row>
    <row r="782" customFormat="false" ht="15" hidden="false" customHeight="false" outlineLevel="0" collapsed="false">
      <c r="A782" s="6"/>
      <c r="B782" s="21"/>
      <c r="C782" s="28"/>
      <c r="D782" s="29"/>
      <c r="E782" s="21"/>
      <c r="F782" s="6"/>
      <c r="G782" s="6"/>
      <c r="H782" s="6"/>
      <c r="I782" s="6"/>
      <c r="J782" s="30"/>
      <c r="K782" s="6"/>
      <c r="L782" s="29"/>
      <c r="M782" s="6"/>
      <c r="N782" s="6"/>
    </row>
    <row r="783" customFormat="false" ht="15" hidden="false" customHeight="false" outlineLevel="0" collapsed="false">
      <c r="A783" s="6"/>
      <c r="B783" s="21"/>
      <c r="C783" s="28"/>
      <c r="D783" s="29"/>
      <c r="E783" s="21"/>
      <c r="F783" s="6"/>
      <c r="G783" s="6"/>
      <c r="H783" s="6"/>
      <c r="I783" s="6"/>
      <c r="J783" s="30"/>
      <c r="K783" s="6"/>
      <c r="L783" s="29"/>
      <c r="M783" s="6"/>
      <c r="N783" s="6"/>
    </row>
    <row r="784" customFormat="false" ht="15" hidden="false" customHeight="false" outlineLevel="0" collapsed="false">
      <c r="A784" s="6"/>
      <c r="B784" s="21"/>
      <c r="C784" s="28"/>
      <c r="D784" s="29"/>
      <c r="E784" s="21"/>
      <c r="F784" s="6"/>
      <c r="G784" s="6"/>
      <c r="H784" s="6"/>
      <c r="I784" s="6"/>
      <c r="J784" s="30"/>
      <c r="K784" s="6"/>
      <c r="L784" s="29"/>
      <c r="M784" s="6"/>
      <c r="N784" s="6"/>
    </row>
    <row r="785" customFormat="false" ht="15" hidden="false" customHeight="false" outlineLevel="0" collapsed="false">
      <c r="A785" s="6"/>
      <c r="B785" s="21"/>
      <c r="C785" s="28"/>
      <c r="D785" s="29"/>
      <c r="E785" s="21"/>
      <c r="F785" s="6"/>
      <c r="G785" s="6"/>
      <c r="H785" s="6"/>
      <c r="I785" s="6"/>
      <c r="J785" s="30"/>
      <c r="K785" s="6"/>
      <c r="L785" s="29"/>
      <c r="M785" s="6"/>
      <c r="N785" s="6"/>
    </row>
    <row r="786" customFormat="false" ht="15" hidden="false" customHeight="false" outlineLevel="0" collapsed="false">
      <c r="A786" s="6"/>
      <c r="B786" s="21"/>
      <c r="C786" s="28"/>
      <c r="D786" s="29"/>
      <c r="E786" s="21"/>
      <c r="F786" s="6"/>
      <c r="G786" s="6"/>
      <c r="H786" s="6"/>
      <c r="I786" s="6"/>
      <c r="J786" s="30"/>
      <c r="K786" s="6"/>
      <c r="L786" s="29"/>
      <c r="M786" s="6"/>
      <c r="N786" s="6"/>
    </row>
    <row r="787" customFormat="false" ht="15" hidden="false" customHeight="false" outlineLevel="0" collapsed="false">
      <c r="A787" s="6"/>
      <c r="B787" s="21"/>
      <c r="C787" s="28"/>
      <c r="D787" s="29"/>
      <c r="E787" s="21"/>
      <c r="F787" s="6"/>
      <c r="G787" s="6"/>
      <c r="H787" s="6"/>
      <c r="I787" s="6"/>
      <c r="J787" s="30"/>
      <c r="K787" s="6"/>
      <c r="L787" s="29"/>
      <c r="M787" s="6"/>
      <c r="N787" s="6"/>
    </row>
    <row r="788" customFormat="false" ht="15" hidden="false" customHeight="false" outlineLevel="0" collapsed="false">
      <c r="A788" s="6"/>
      <c r="B788" s="21"/>
      <c r="C788" s="28"/>
      <c r="D788" s="29"/>
      <c r="E788" s="21"/>
      <c r="F788" s="6"/>
      <c r="G788" s="6"/>
      <c r="H788" s="6"/>
      <c r="I788" s="6"/>
      <c r="J788" s="30"/>
      <c r="K788" s="6"/>
      <c r="L788" s="29"/>
      <c r="M788" s="6"/>
      <c r="N788" s="6"/>
    </row>
    <row r="789" customFormat="false" ht="15" hidden="false" customHeight="false" outlineLevel="0" collapsed="false">
      <c r="A789" s="6"/>
      <c r="B789" s="21"/>
      <c r="C789" s="28"/>
      <c r="D789" s="29"/>
      <c r="E789" s="21"/>
      <c r="F789" s="6"/>
      <c r="G789" s="6"/>
      <c r="H789" s="6"/>
      <c r="I789" s="6"/>
      <c r="J789" s="30"/>
      <c r="K789" s="6"/>
      <c r="L789" s="29"/>
      <c r="M789" s="6"/>
      <c r="N789" s="6"/>
    </row>
    <row r="790" customFormat="false" ht="15" hidden="false" customHeight="false" outlineLevel="0" collapsed="false">
      <c r="A790" s="6"/>
      <c r="B790" s="21"/>
      <c r="C790" s="28"/>
      <c r="D790" s="29"/>
      <c r="E790" s="21"/>
      <c r="F790" s="6"/>
      <c r="G790" s="6"/>
      <c r="H790" s="6"/>
      <c r="I790" s="6"/>
      <c r="J790" s="30"/>
      <c r="K790" s="6"/>
      <c r="L790" s="29"/>
      <c r="M790" s="6"/>
      <c r="N790" s="6"/>
    </row>
    <row r="791" customFormat="false" ht="15" hidden="false" customHeight="false" outlineLevel="0" collapsed="false">
      <c r="A791" s="6"/>
      <c r="B791" s="21"/>
      <c r="C791" s="28"/>
      <c r="D791" s="29"/>
      <c r="E791" s="21"/>
      <c r="F791" s="6"/>
      <c r="G791" s="6"/>
      <c r="H791" s="6"/>
      <c r="I791" s="6"/>
      <c r="J791" s="30"/>
      <c r="K791" s="6"/>
      <c r="L791" s="29"/>
      <c r="M791" s="6"/>
      <c r="N791" s="6"/>
    </row>
    <row r="792" customFormat="false" ht="15" hidden="false" customHeight="false" outlineLevel="0" collapsed="false">
      <c r="A792" s="6"/>
      <c r="B792" s="21"/>
      <c r="C792" s="28"/>
      <c r="D792" s="29"/>
      <c r="E792" s="21"/>
      <c r="F792" s="6"/>
      <c r="G792" s="6"/>
      <c r="H792" s="6"/>
      <c r="I792" s="6"/>
      <c r="J792" s="30"/>
      <c r="K792" s="6"/>
      <c r="L792" s="29"/>
      <c r="M792" s="6"/>
      <c r="N792" s="6"/>
    </row>
    <row r="793" customFormat="false" ht="15" hidden="false" customHeight="false" outlineLevel="0" collapsed="false">
      <c r="A793" s="6"/>
      <c r="B793" s="21"/>
      <c r="C793" s="28"/>
      <c r="D793" s="29"/>
      <c r="E793" s="21"/>
      <c r="F793" s="6"/>
      <c r="G793" s="6"/>
      <c r="H793" s="6"/>
      <c r="I793" s="6"/>
      <c r="J793" s="30"/>
      <c r="K793" s="6"/>
      <c r="L793" s="29"/>
      <c r="M793" s="6"/>
      <c r="N793" s="6"/>
    </row>
    <row r="794" customFormat="false" ht="15" hidden="false" customHeight="false" outlineLevel="0" collapsed="false">
      <c r="A794" s="6"/>
      <c r="B794" s="21"/>
      <c r="C794" s="28"/>
      <c r="D794" s="29"/>
      <c r="E794" s="21"/>
      <c r="F794" s="6"/>
      <c r="G794" s="6"/>
      <c r="H794" s="6"/>
      <c r="I794" s="6"/>
      <c r="J794" s="30"/>
      <c r="K794" s="6"/>
      <c r="L794" s="29"/>
      <c r="M794" s="6"/>
      <c r="N794" s="6"/>
    </row>
    <row r="795" customFormat="false" ht="15" hidden="false" customHeight="false" outlineLevel="0" collapsed="false">
      <c r="A795" s="6"/>
      <c r="B795" s="21"/>
      <c r="C795" s="28"/>
      <c r="D795" s="29"/>
      <c r="E795" s="21"/>
      <c r="F795" s="6"/>
      <c r="G795" s="6"/>
      <c r="H795" s="6"/>
      <c r="I795" s="6"/>
      <c r="J795" s="30"/>
      <c r="K795" s="6"/>
      <c r="L795" s="29"/>
      <c r="M795" s="6"/>
      <c r="N795" s="6"/>
    </row>
    <row r="796" customFormat="false" ht="15" hidden="false" customHeight="false" outlineLevel="0" collapsed="false">
      <c r="A796" s="6"/>
      <c r="B796" s="21"/>
      <c r="C796" s="28"/>
      <c r="D796" s="29"/>
      <c r="E796" s="21"/>
      <c r="F796" s="6"/>
      <c r="G796" s="6"/>
      <c r="H796" s="6"/>
      <c r="I796" s="6"/>
      <c r="J796" s="30"/>
      <c r="K796" s="6"/>
      <c r="L796" s="29"/>
      <c r="M796" s="6"/>
      <c r="N796" s="6"/>
    </row>
    <row r="797" customFormat="false" ht="15" hidden="false" customHeight="false" outlineLevel="0" collapsed="false">
      <c r="A797" s="6"/>
      <c r="B797" s="21"/>
      <c r="C797" s="28"/>
      <c r="D797" s="29"/>
      <c r="E797" s="21"/>
      <c r="F797" s="6"/>
      <c r="G797" s="6"/>
      <c r="H797" s="6"/>
      <c r="I797" s="6"/>
      <c r="J797" s="30"/>
      <c r="K797" s="6"/>
      <c r="L797" s="29"/>
      <c r="M797" s="6"/>
      <c r="N797" s="6"/>
    </row>
    <row r="798" customFormat="false" ht="15" hidden="false" customHeight="false" outlineLevel="0" collapsed="false">
      <c r="A798" s="6"/>
      <c r="B798" s="21"/>
      <c r="C798" s="28"/>
      <c r="D798" s="29"/>
      <c r="E798" s="21"/>
      <c r="F798" s="6"/>
      <c r="G798" s="6"/>
      <c r="H798" s="6"/>
      <c r="I798" s="6"/>
      <c r="J798" s="30"/>
      <c r="K798" s="6"/>
      <c r="L798" s="29"/>
      <c r="M798" s="6"/>
      <c r="N798" s="6"/>
    </row>
    <row r="799" customFormat="false" ht="15" hidden="false" customHeight="false" outlineLevel="0" collapsed="false">
      <c r="A799" s="6"/>
      <c r="B799" s="21"/>
      <c r="C799" s="28"/>
      <c r="D799" s="29"/>
      <c r="E799" s="21"/>
      <c r="F799" s="6"/>
      <c r="G799" s="6"/>
      <c r="H799" s="6"/>
      <c r="I799" s="6"/>
      <c r="J799" s="30"/>
      <c r="K799" s="6"/>
      <c r="L799" s="29"/>
      <c r="M799" s="6"/>
      <c r="N799" s="6"/>
    </row>
    <row r="800" customFormat="false" ht="15" hidden="false" customHeight="false" outlineLevel="0" collapsed="false">
      <c r="A800" s="6"/>
      <c r="B800" s="21"/>
      <c r="C800" s="28"/>
      <c r="D800" s="29"/>
      <c r="E800" s="21"/>
      <c r="F800" s="6"/>
      <c r="G800" s="6"/>
      <c r="H800" s="6"/>
      <c r="I800" s="6"/>
      <c r="J800" s="30"/>
      <c r="K800" s="6"/>
      <c r="L800" s="29"/>
      <c r="M800" s="6"/>
      <c r="N800" s="6"/>
    </row>
    <row r="801" customFormat="false" ht="15" hidden="false" customHeight="false" outlineLevel="0" collapsed="false">
      <c r="A801" s="6"/>
      <c r="B801" s="21"/>
      <c r="C801" s="28"/>
      <c r="D801" s="29"/>
      <c r="E801" s="21"/>
      <c r="F801" s="6"/>
      <c r="G801" s="6"/>
      <c r="H801" s="6"/>
      <c r="I801" s="6"/>
      <c r="J801" s="30"/>
      <c r="K801" s="6"/>
      <c r="L801" s="29"/>
      <c r="M801" s="6"/>
      <c r="N801" s="6"/>
    </row>
    <row r="802" customFormat="false" ht="15" hidden="false" customHeight="false" outlineLevel="0" collapsed="false">
      <c r="A802" s="6"/>
      <c r="B802" s="21"/>
      <c r="C802" s="28"/>
      <c r="D802" s="29"/>
      <c r="E802" s="21"/>
      <c r="F802" s="6"/>
      <c r="G802" s="6"/>
      <c r="H802" s="6"/>
      <c r="I802" s="6"/>
      <c r="J802" s="30"/>
      <c r="K802" s="6"/>
      <c r="L802" s="29"/>
      <c r="M802" s="6"/>
      <c r="N802" s="6"/>
    </row>
    <row r="803" customFormat="false" ht="15" hidden="false" customHeight="false" outlineLevel="0" collapsed="false">
      <c r="A803" s="6"/>
      <c r="B803" s="21"/>
      <c r="C803" s="28"/>
      <c r="D803" s="29"/>
      <c r="E803" s="21"/>
      <c r="F803" s="6"/>
      <c r="G803" s="6"/>
      <c r="H803" s="6"/>
      <c r="I803" s="6"/>
      <c r="J803" s="30"/>
      <c r="K803" s="6"/>
      <c r="L803" s="29"/>
      <c r="M803" s="6"/>
      <c r="N803" s="6"/>
    </row>
    <row r="804" customFormat="false" ht="15" hidden="false" customHeight="false" outlineLevel="0" collapsed="false">
      <c r="A804" s="6"/>
      <c r="B804" s="21"/>
      <c r="C804" s="28"/>
      <c r="D804" s="29"/>
      <c r="E804" s="21"/>
      <c r="F804" s="6"/>
      <c r="G804" s="6"/>
      <c r="H804" s="6"/>
      <c r="I804" s="6"/>
      <c r="J804" s="30"/>
      <c r="K804" s="6"/>
      <c r="L804" s="29"/>
      <c r="M804" s="6"/>
      <c r="N804" s="6"/>
    </row>
    <row r="805" customFormat="false" ht="15" hidden="false" customHeight="false" outlineLevel="0" collapsed="false">
      <c r="A805" s="6"/>
      <c r="B805" s="21"/>
      <c r="C805" s="28"/>
      <c r="D805" s="29"/>
      <c r="E805" s="21"/>
      <c r="F805" s="6"/>
      <c r="G805" s="6"/>
      <c r="H805" s="6"/>
      <c r="I805" s="6"/>
      <c r="J805" s="30"/>
      <c r="K805" s="6"/>
      <c r="L805" s="29"/>
      <c r="M805" s="6"/>
      <c r="N805" s="6"/>
    </row>
    <row r="806" customFormat="false" ht="15" hidden="false" customHeight="false" outlineLevel="0" collapsed="false">
      <c r="A806" s="6"/>
      <c r="B806" s="21"/>
      <c r="C806" s="28"/>
      <c r="D806" s="29"/>
      <c r="E806" s="21"/>
      <c r="F806" s="6"/>
      <c r="G806" s="6"/>
      <c r="H806" s="6"/>
      <c r="I806" s="6"/>
      <c r="J806" s="30"/>
      <c r="K806" s="6"/>
      <c r="L806" s="29"/>
      <c r="M806" s="6"/>
      <c r="N806" s="6"/>
    </row>
    <row r="807" customFormat="false" ht="15" hidden="false" customHeight="false" outlineLevel="0" collapsed="false">
      <c r="A807" s="6"/>
      <c r="B807" s="21"/>
      <c r="C807" s="28"/>
      <c r="D807" s="29"/>
      <c r="E807" s="21"/>
      <c r="F807" s="6"/>
      <c r="G807" s="6"/>
      <c r="H807" s="6"/>
      <c r="I807" s="6"/>
      <c r="J807" s="30"/>
      <c r="K807" s="6"/>
      <c r="L807" s="29"/>
      <c r="M807" s="6"/>
      <c r="N807" s="6"/>
    </row>
    <row r="808" customFormat="false" ht="15" hidden="false" customHeight="false" outlineLevel="0" collapsed="false">
      <c r="A808" s="6"/>
      <c r="B808" s="21"/>
      <c r="C808" s="28"/>
      <c r="D808" s="29"/>
      <c r="E808" s="21"/>
      <c r="F808" s="6"/>
      <c r="G808" s="6"/>
      <c r="H808" s="6"/>
      <c r="I808" s="6"/>
      <c r="J808" s="30"/>
      <c r="K808" s="6"/>
      <c r="L808" s="29"/>
      <c r="M808" s="6"/>
      <c r="N808" s="6"/>
    </row>
    <row r="809" customFormat="false" ht="15" hidden="false" customHeight="false" outlineLevel="0" collapsed="false">
      <c r="A809" s="6"/>
      <c r="B809" s="21"/>
      <c r="C809" s="28"/>
      <c r="D809" s="29"/>
      <c r="E809" s="21"/>
      <c r="F809" s="6"/>
      <c r="G809" s="6"/>
      <c r="H809" s="6"/>
      <c r="I809" s="6"/>
      <c r="J809" s="30"/>
      <c r="K809" s="6"/>
      <c r="L809" s="29"/>
      <c r="M809" s="6"/>
      <c r="N809" s="6"/>
    </row>
    <row r="810" customFormat="false" ht="15" hidden="false" customHeight="false" outlineLevel="0" collapsed="false">
      <c r="A810" s="6"/>
      <c r="B810" s="21"/>
      <c r="C810" s="28"/>
      <c r="D810" s="29"/>
      <c r="E810" s="21"/>
      <c r="F810" s="6"/>
      <c r="G810" s="6"/>
      <c r="H810" s="6"/>
      <c r="I810" s="6"/>
      <c r="J810" s="30"/>
      <c r="K810" s="6"/>
      <c r="L810" s="29"/>
      <c r="M810" s="6"/>
      <c r="N810" s="6"/>
    </row>
    <row r="811" customFormat="false" ht="15" hidden="false" customHeight="false" outlineLevel="0" collapsed="false">
      <c r="A811" s="6"/>
      <c r="B811" s="21"/>
      <c r="C811" s="28"/>
      <c r="D811" s="29"/>
      <c r="E811" s="21"/>
      <c r="F811" s="6"/>
      <c r="G811" s="6"/>
      <c r="H811" s="6"/>
      <c r="I811" s="6"/>
      <c r="J811" s="30"/>
      <c r="K811" s="6"/>
      <c r="L811" s="29"/>
      <c r="M811" s="6"/>
      <c r="N811" s="6"/>
    </row>
    <row r="812" customFormat="false" ht="15" hidden="false" customHeight="false" outlineLevel="0" collapsed="false">
      <c r="A812" s="6"/>
      <c r="B812" s="21"/>
      <c r="C812" s="28"/>
      <c r="D812" s="29"/>
      <c r="E812" s="21"/>
      <c r="F812" s="6"/>
      <c r="G812" s="6"/>
      <c r="H812" s="6"/>
      <c r="I812" s="6"/>
      <c r="J812" s="30"/>
      <c r="K812" s="6"/>
      <c r="L812" s="29"/>
      <c r="M812" s="6"/>
      <c r="N812" s="6"/>
    </row>
    <row r="813" customFormat="false" ht="15" hidden="false" customHeight="false" outlineLevel="0" collapsed="false">
      <c r="A813" s="6"/>
      <c r="B813" s="21"/>
      <c r="C813" s="28"/>
      <c r="D813" s="29"/>
      <c r="E813" s="21"/>
      <c r="F813" s="6"/>
      <c r="G813" s="6"/>
      <c r="H813" s="6"/>
      <c r="I813" s="6"/>
      <c r="J813" s="30"/>
      <c r="K813" s="6"/>
      <c r="L813" s="29"/>
      <c r="M813" s="6"/>
      <c r="N813" s="6"/>
    </row>
    <row r="814" customFormat="false" ht="15" hidden="false" customHeight="false" outlineLevel="0" collapsed="false">
      <c r="A814" s="6"/>
      <c r="B814" s="21"/>
      <c r="C814" s="28"/>
      <c r="D814" s="29"/>
      <c r="E814" s="21"/>
      <c r="F814" s="6"/>
      <c r="G814" s="6"/>
      <c r="H814" s="6"/>
      <c r="I814" s="6"/>
      <c r="J814" s="30"/>
      <c r="K814" s="6"/>
      <c r="L814" s="29"/>
      <c r="M814" s="6"/>
      <c r="N814" s="6"/>
    </row>
    <row r="815" customFormat="false" ht="15" hidden="false" customHeight="false" outlineLevel="0" collapsed="false">
      <c r="A815" s="6"/>
      <c r="B815" s="21"/>
      <c r="C815" s="28"/>
      <c r="D815" s="29"/>
      <c r="E815" s="21"/>
      <c r="F815" s="6"/>
      <c r="G815" s="6"/>
      <c r="H815" s="6"/>
      <c r="I815" s="6"/>
      <c r="J815" s="30"/>
      <c r="K815" s="6"/>
      <c r="L815" s="29"/>
      <c r="M815" s="6"/>
      <c r="N815" s="6"/>
    </row>
    <row r="816" customFormat="false" ht="15" hidden="false" customHeight="false" outlineLevel="0" collapsed="false">
      <c r="A816" s="6"/>
      <c r="B816" s="21"/>
      <c r="C816" s="28"/>
      <c r="D816" s="29"/>
      <c r="E816" s="21"/>
      <c r="F816" s="6"/>
      <c r="G816" s="6"/>
      <c r="H816" s="6"/>
      <c r="I816" s="6"/>
      <c r="J816" s="30"/>
      <c r="K816" s="6"/>
      <c r="L816" s="29"/>
      <c r="M816" s="6"/>
      <c r="N816" s="6"/>
    </row>
    <row r="817" customFormat="false" ht="15" hidden="false" customHeight="false" outlineLevel="0" collapsed="false">
      <c r="A817" s="6"/>
      <c r="B817" s="21"/>
      <c r="C817" s="28"/>
      <c r="D817" s="29"/>
      <c r="E817" s="21"/>
      <c r="F817" s="6"/>
      <c r="G817" s="6"/>
      <c r="H817" s="6"/>
      <c r="I817" s="6"/>
      <c r="J817" s="30"/>
      <c r="K817" s="6"/>
      <c r="L817" s="29"/>
      <c r="M817" s="6"/>
      <c r="N817" s="6"/>
    </row>
    <row r="818" customFormat="false" ht="15" hidden="false" customHeight="false" outlineLevel="0" collapsed="false">
      <c r="A818" s="6"/>
      <c r="B818" s="21"/>
      <c r="C818" s="28"/>
      <c r="D818" s="29"/>
      <c r="E818" s="21"/>
      <c r="F818" s="6"/>
      <c r="G818" s="6"/>
      <c r="H818" s="6"/>
      <c r="I818" s="6"/>
      <c r="J818" s="30"/>
      <c r="K818" s="6"/>
      <c r="L818" s="29"/>
      <c r="M818" s="6"/>
      <c r="N818" s="6"/>
    </row>
    <row r="819" customFormat="false" ht="15" hidden="false" customHeight="false" outlineLevel="0" collapsed="false">
      <c r="A819" s="6"/>
      <c r="B819" s="21"/>
      <c r="C819" s="28"/>
      <c r="D819" s="29"/>
      <c r="E819" s="21"/>
      <c r="F819" s="6"/>
      <c r="G819" s="6"/>
      <c r="H819" s="6"/>
      <c r="I819" s="6"/>
      <c r="J819" s="30"/>
      <c r="K819" s="6"/>
      <c r="L819" s="29"/>
      <c r="M819" s="6"/>
      <c r="N819" s="6"/>
    </row>
    <row r="820" customFormat="false" ht="15" hidden="false" customHeight="false" outlineLevel="0" collapsed="false">
      <c r="A820" s="6"/>
      <c r="B820" s="21"/>
      <c r="C820" s="28"/>
      <c r="D820" s="29"/>
      <c r="E820" s="21"/>
      <c r="F820" s="6"/>
      <c r="G820" s="6"/>
      <c r="H820" s="6"/>
      <c r="I820" s="6"/>
      <c r="J820" s="30"/>
      <c r="K820" s="6"/>
      <c r="L820" s="29"/>
      <c r="M820" s="6"/>
      <c r="N820" s="6"/>
    </row>
    <row r="821" customFormat="false" ht="15" hidden="false" customHeight="false" outlineLevel="0" collapsed="false">
      <c r="A821" s="6"/>
      <c r="B821" s="21"/>
      <c r="C821" s="28"/>
      <c r="D821" s="29"/>
      <c r="E821" s="21"/>
      <c r="F821" s="6"/>
      <c r="G821" s="6"/>
      <c r="H821" s="6"/>
      <c r="I821" s="6"/>
      <c r="J821" s="30"/>
      <c r="K821" s="6"/>
      <c r="L821" s="29"/>
      <c r="M821" s="6"/>
      <c r="N821" s="6"/>
    </row>
    <row r="822" customFormat="false" ht="15" hidden="false" customHeight="false" outlineLevel="0" collapsed="false">
      <c r="A822" s="6"/>
      <c r="B822" s="21"/>
      <c r="C822" s="28"/>
      <c r="D822" s="29"/>
      <c r="E822" s="21"/>
      <c r="F822" s="6"/>
      <c r="G822" s="6"/>
      <c r="H822" s="6"/>
      <c r="I822" s="6"/>
      <c r="J822" s="30"/>
      <c r="K822" s="6"/>
      <c r="L822" s="29"/>
      <c r="M822" s="6"/>
      <c r="N822" s="6"/>
    </row>
    <row r="823" customFormat="false" ht="15" hidden="false" customHeight="false" outlineLevel="0" collapsed="false">
      <c r="A823" s="6"/>
      <c r="B823" s="21"/>
      <c r="C823" s="28"/>
      <c r="D823" s="29"/>
      <c r="E823" s="21"/>
      <c r="F823" s="6"/>
      <c r="G823" s="6"/>
      <c r="H823" s="6"/>
      <c r="I823" s="6"/>
      <c r="J823" s="30"/>
      <c r="K823" s="6"/>
      <c r="L823" s="29"/>
      <c r="M823" s="6"/>
      <c r="N823" s="6"/>
    </row>
    <row r="824" customFormat="false" ht="15" hidden="false" customHeight="false" outlineLevel="0" collapsed="false">
      <c r="A824" s="6"/>
      <c r="B824" s="21"/>
      <c r="C824" s="28"/>
      <c r="D824" s="29"/>
      <c r="E824" s="21"/>
      <c r="F824" s="6"/>
      <c r="G824" s="6"/>
      <c r="H824" s="6"/>
      <c r="I824" s="6"/>
      <c r="J824" s="30"/>
      <c r="K824" s="6"/>
      <c r="L824" s="29"/>
      <c r="M824" s="6"/>
      <c r="N824" s="6"/>
    </row>
    <row r="825" customFormat="false" ht="15" hidden="false" customHeight="false" outlineLevel="0" collapsed="false">
      <c r="A825" s="6"/>
      <c r="B825" s="21"/>
      <c r="C825" s="28"/>
      <c r="D825" s="29"/>
      <c r="E825" s="21"/>
      <c r="F825" s="6"/>
      <c r="G825" s="6"/>
      <c r="H825" s="6"/>
      <c r="I825" s="6"/>
      <c r="J825" s="30"/>
      <c r="K825" s="6"/>
      <c r="L825" s="29"/>
      <c r="M825" s="6"/>
      <c r="N825" s="6"/>
    </row>
    <row r="826" customFormat="false" ht="15" hidden="false" customHeight="false" outlineLevel="0" collapsed="false">
      <c r="A826" s="6"/>
      <c r="B826" s="21"/>
      <c r="C826" s="28"/>
      <c r="D826" s="29"/>
      <c r="E826" s="21"/>
      <c r="F826" s="6"/>
      <c r="G826" s="6"/>
      <c r="H826" s="6"/>
      <c r="I826" s="6"/>
      <c r="J826" s="30"/>
      <c r="K826" s="6"/>
      <c r="L826" s="29"/>
      <c r="M826" s="6"/>
      <c r="N826" s="6"/>
    </row>
    <row r="827" customFormat="false" ht="15" hidden="false" customHeight="false" outlineLevel="0" collapsed="false">
      <c r="A827" s="6"/>
      <c r="B827" s="21"/>
      <c r="C827" s="28"/>
      <c r="D827" s="29"/>
      <c r="E827" s="21"/>
      <c r="F827" s="6"/>
      <c r="G827" s="6"/>
      <c r="H827" s="6"/>
      <c r="I827" s="6"/>
      <c r="J827" s="30"/>
      <c r="K827" s="6"/>
      <c r="L827" s="29"/>
      <c r="M827" s="6"/>
      <c r="N827" s="6"/>
    </row>
    <row r="828" customFormat="false" ht="15" hidden="false" customHeight="false" outlineLevel="0" collapsed="false">
      <c r="A828" s="6"/>
      <c r="B828" s="21"/>
      <c r="C828" s="28"/>
      <c r="D828" s="29"/>
      <c r="E828" s="21"/>
      <c r="F828" s="6"/>
      <c r="G828" s="6"/>
      <c r="H828" s="6"/>
      <c r="I828" s="6"/>
      <c r="J828" s="30"/>
      <c r="K828" s="6"/>
      <c r="L828" s="29"/>
      <c r="M828" s="6"/>
      <c r="N828" s="6"/>
    </row>
    <row r="829" customFormat="false" ht="15" hidden="false" customHeight="false" outlineLevel="0" collapsed="false">
      <c r="A829" s="6"/>
      <c r="B829" s="21"/>
      <c r="C829" s="28"/>
      <c r="D829" s="29"/>
      <c r="E829" s="21"/>
      <c r="F829" s="6"/>
      <c r="G829" s="6"/>
      <c r="H829" s="6"/>
      <c r="I829" s="6"/>
      <c r="J829" s="30"/>
      <c r="K829" s="6"/>
      <c r="L829" s="29"/>
      <c r="M829" s="6"/>
      <c r="N829" s="6"/>
    </row>
    <row r="830" customFormat="false" ht="15" hidden="false" customHeight="false" outlineLevel="0" collapsed="false">
      <c r="A830" s="6"/>
      <c r="B830" s="21"/>
      <c r="C830" s="28"/>
      <c r="D830" s="29"/>
      <c r="E830" s="21"/>
      <c r="F830" s="6"/>
      <c r="G830" s="6"/>
      <c r="H830" s="6"/>
      <c r="I830" s="6"/>
      <c r="J830" s="30"/>
      <c r="K830" s="6"/>
      <c r="L830" s="29"/>
      <c r="M830" s="6"/>
      <c r="N830" s="6"/>
    </row>
    <row r="831" customFormat="false" ht="15" hidden="false" customHeight="false" outlineLevel="0" collapsed="false">
      <c r="A831" s="6"/>
      <c r="B831" s="21"/>
      <c r="C831" s="28"/>
      <c r="D831" s="29"/>
      <c r="E831" s="21"/>
      <c r="F831" s="6"/>
      <c r="G831" s="6"/>
      <c r="H831" s="6"/>
      <c r="I831" s="6"/>
      <c r="J831" s="30"/>
      <c r="K831" s="6"/>
      <c r="L831" s="29"/>
      <c r="M831" s="6"/>
      <c r="N831" s="6"/>
    </row>
    <row r="832" customFormat="false" ht="15" hidden="false" customHeight="false" outlineLevel="0" collapsed="false">
      <c r="A832" s="6"/>
      <c r="B832" s="21"/>
      <c r="C832" s="28"/>
      <c r="D832" s="29"/>
      <c r="E832" s="21"/>
      <c r="F832" s="6"/>
      <c r="G832" s="6"/>
      <c r="H832" s="6"/>
      <c r="I832" s="6"/>
      <c r="J832" s="30"/>
      <c r="K832" s="6"/>
      <c r="L832" s="29"/>
      <c r="M832" s="6"/>
      <c r="N832" s="6"/>
    </row>
    <row r="833" customFormat="false" ht="15" hidden="false" customHeight="false" outlineLevel="0" collapsed="false">
      <c r="A833" s="6"/>
      <c r="B833" s="21"/>
      <c r="C833" s="28"/>
      <c r="D833" s="29"/>
      <c r="E833" s="21"/>
      <c r="F833" s="6"/>
      <c r="G833" s="6"/>
      <c r="H833" s="6"/>
      <c r="I833" s="6"/>
      <c r="J833" s="30"/>
      <c r="K833" s="6"/>
      <c r="L833" s="29"/>
      <c r="M833" s="6"/>
      <c r="N833" s="6"/>
    </row>
    <row r="834" customFormat="false" ht="15" hidden="false" customHeight="false" outlineLevel="0" collapsed="false">
      <c r="A834" s="6"/>
      <c r="B834" s="21"/>
      <c r="C834" s="28"/>
      <c r="D834" s="29"/>
      <c r="E834" s="21"/>
      <c r="F834" s="6"/>
      <c r="G834" s="6"/>
      <c r="H834" s="6"/>
      <c r="I834" s="6"/>
      <c r="J834" s="30"/>
      <c r="K834" s="6"/>
      <c r="L834" s="29"/>
      <c r="M834" s="6"/>
      <c r="N834" s="6"/>
    </row>
    <row r="835" customFormat="false" ht="15" hidden="false" customHeight="false" outlineLevel="0" collapsed="false">
      <c r="A835" s="6"/>
      <c r="B835" s="21"/>
      <c r="C835" s="28"/>
      <c r="D835" s="29"/>
      <c r="E835" s="21"/>
      <c r="F835" s="6"/>
      <c r="G835" s="6"/>
      <c r="H835" s="6"/>
      <c r="I835" s="6"/>
      <c r="J835" s="30"/>
      <c r="K835" s="6"/>
      <c r="L835" s="29"/>
      <c r="M835" s="6"/>
      <c r="N835" s="6"/>
    </row>
    <row r="836" customFormat="false" ht="15" hidden="false" customHeight="false" outlineLevel="0" collapsed="false">
      <c r="A836" s="6"/>
      <c r="B836" s="21"/>
      <c r="C836" s="28"/>
      <c r="D836" s="29"/>
      <c r="E836" s="21"/>
      <c r="F836" s="6"/>
      <c r="G836" s="6"/>
      <c r="H836" s="6"/>
      <c r="I836" s="6"/>
      <c r="J836" s="30"/>
      <c r="K836" s="6"/>
      <c r="L836" s="29"/>
      <c r="M836" s="6"/>
      <c r="N836" s="6"/>
    </row>
    <row r="837" customFormat="false" ht="15" hidden="false" customHeight="false" outlineLevel="0" collapsed="false">
      <c r="A837" s="6"/>
      <c r="B837" s="21"/>
      <c r="C837" s="28"/>
      <c r="D837" s="29"/>
      <c r="E837" s="21"/>
      <c r="F837" s="6"/>
      <c r="G837" s="6"/>
      <c r="H837" s="6"/>
      <c r="I837" s="6"/>
      <c r="J837" s="30"/>
      <c r="K837" s="6"/>
      <c r="L837" s="29"/>
      <c r="M837" s="6"/>
      <c r="N837" s="6"/>
    </row>
    <row r="838" customFormat="false" ht="15" hidden="false" customHeight="false" outlineLevel="0" collapsed="false">
      <c r="A838" s="6"/>
      <c r="B838" s="21"/>
      <c r="C838" s="28"/>
      <c r="D838" s="29"/>
      <c r="E838" s="21"/>
      <c r="F838" s="6"/>
      <c r="G838" s="6"/>
      <c r="H838" s="6"/>
      <c r="I838" s="6"/>
      <c r="J838" s="30"/>
      <c r="K838" s="6"/>
      <c r="L838" s="29"/>
      <c r="M838" s="6"/>
      <c r="N838" s="6"/>
    </row>
    <row r="839" customFormat="false" ht="15" hidden="false" customHeight="false" outlineLevel="0" collapsed="false">
      <c r="A839" s="6"/>
      <c r="B839" s="21"/>
      <c r="C839" s="28"/>
      <c r="D839" s="29"/>
      <c r="E839" s="21"/>
      <c r="F839" s="6"/>
      <c r="G839" s="6"/>
      <c r="H839" s="6"/>
      <c r="I839" s="6"/>
      <c r="J839" s="30"/>
      <c r="K839" s="6"/>
      <c r="L839" s="29"/>
      <c r="M839" s="6"/>
      <c r="N839" s="6"/>
    </row>
    <row r="840" customFormat="false" ht="15" hidden="false" customHeight="false" outlineLevel="0" collapsed="false">
      <c r="A840" s="6"/>
      <c r="B840" s="21"/>
      <c r="C840" s="28"/>
      <c r="D840" s="29"/>
      <c r="E840" s="21"/>
      <c r="F840" s="6"/>
      <c r="G840" s="6"/>
      <c r="H840" s="6"/>
      <c r="I840" s="6"/>
      <c r="J840" s="30"/>
      <c r="K840" s="6"/>
      <c r="L840" s="29"/>
      <c r="M840" s="6"/>
      <c r="N840" s="6"/>
    </row>
    <row r="841" customFormat="false" ht="15" hidden="false" customHeight="false" outlineLevel="0" collapsed="false">
      <c r="A841" s="6"/>
      <c r="B841" s="21"/>
      <c r="C841" s="28"/>
      <c r="D841" s="29"/>
      <c r="E841" s="21"/>
      <c r="F841" s="6"/>
      <c r="G841" s="6"/>
      <c r="H841" s="6"/>
      <c r="I841" s="6"/>
      <c r="J841" s="30"/>
      <c r="K841" s="6"/>
      <c r="L841" s="29"/>
      <c r="M841" s="6"/>
      <c r="N841" s="6"/>
    </row>
    <row r="842" customFormat="false" ht="15" hidden="false" customHeight="false" outlineLevel="0" collapsed="false">
      <c r="A842" s="6"/>
      <c r="B842" s="21"/>
      <c r="C842" s="28"/>
      <c r="D842" s="29"/>
      <c r="E842" s="21"/>
      <c r="F842" s="6"/>
      <c r="G842" s="6"/>
      <c r="H842" s="6"/>
      <c r="I842" s="6"/>
      <c r="J842" s="30"/>
      <c r="K842" s="6"/>
      <c r="L842" s="29"/>
      <c r="M842" s="6"/>
      <c r="N842" s="6"/>
    </row>
    <row r="843" customFormat="false" ht="15" hidden="false" customHeight="false" outlineLevel="0" collapsed="false">
      <c r="A843" s="6"/>
      <c r="B843" s="21"/>
      <c r="C843" s="28"/>
      <c r="D843" s="29"/>
      <c r="E843" s="21"/>
      <c r="F843" s="6"/>
      <c r="G843" s="6"/>
      <c r="H843" s="6"/>
      <c r="I843" s="6"/>
      <c r="J843" s="30"/>
      <c r="K843" s="6"/>
      <c r="L843" s="29"/>
      <c r="M843" s="6"/>
      <c r="N843" s="6"/>
    </row>
    <row r="844" customFormat="false" ht="15" hidden="false" customHeight="false" outlineLevel="0" collapsed="false">
      <c r="A844" s="6"/>
      <c r="B844" s="21"/>
      <c r="C844" s="28"/>
      <c r="D844" s="29"/>
      <c r="E844" s="21"/>
      <c r="F844" s="6"/>
      <c r="G844" s="6"/>
      <c r="H844" s="6"/>
      <c r="I844" s="6"/>
      <c r="J844" s="30"/>
      <c r="K844" s="6"/>
      <c r="L844" s="29"/>
      <c r="M844" s="6"/>
      <c r="N844" s="6"/>
    </row>
    <row r="845" customFormat="false" ht="15" hidden="false" customHeight="false" outlineLevel="0" collapsed="false">
      <c r="A845" s="6"/>
      <c r="B845" s="21"/>
      <c r="C845" s="28"/>
      <c r="D845" s="29"/>
      <c r="E845" s="21"/>
      <c r="F845" s="6"/>
      <c r="G845" s="6"/>
      <c r="H845" s="6"/>
      <c r="I845" s="6"/>
      <c r="J845" s="30"/>
      <c r="K845" s="6"/>
      <c r="L845" s="29"/>
      <c r="M845" s="6"/>
      <c r="N845" s="6"/>
    </row>
    <row r="846" customFormat="false" ht="15" hidden="false" customHeight="false" outlineLevel="0" collapsed="false">
      <c r="A846" s="6"/>
      <c r="B846" s="21"/>
      <c r="C846" s="28"/>
      <c r="D846" s="29"/>
      <c r="E846" s="21"/>
      <c r="F846" s="6"/>
      <c r="G846" s="6"/>
      <c r="H846" s="6"/>
      <c r="I846" s="6"/>
      <c r="J846" s="30"/>
      <c r="K846" s="6"/>
      <c r="L846" s="29"/>
      <c r="M846" s="6"/>
      <c r="N846" s="6"/>
    </row>
    <row r="847" customFormat="false" ht="15" hidden="false" customHeight="false" outlineLevel="0" collapsed="false">
      <c r="A847" s="6"/>
      <c r="B847" s="21"/>
      <c r="C847" s="28"/>
      <c r="D847" s="29"/>
      <c r="E847" s="21"/>
      <c r="F847" s="6"/>
      <c r="G847" s="6"/>
      <c r="H847" s="6"/>
      <c r="I847" s="6"/>
      <c r="J847" s="30"/>
      <c r="K847" s="6"/>
      <c r="L847" s="29"/>
      <c r="M847" s="6"/>
      <c r="N847" s="6"/>
    </row>
    <row r="848" customFormat="false" ht="15" hidden="false" customHeight="false" outlineLevel="0" collapsed="false">
      <c r="A848" s="6"/>
      <c r="B848" s="21"/>
      <c r="C848" s="28"/>
      <c r="D848" s="29"/>
      <c r="E848" s="21"/>
      <c r="F848" s="6"/>
      <c r="G848" s="6"/>
      <c r="H848" s="6"/>
      <c r="I848" s="6"/>
      <c r="J848" s="30"/>
      <c r="K848" s="6"/>
      <c r="L848" s="29"/>
      <c r="M848" s="6"/>
      <c r="N848" s="6"/>
    </row>
    <row r="849" customFormat="false" ht="15" hidden="false" customHeight="false" outlineLevel="0" collapsed="false">
      <c r="A849" s="6"/>
      <c r="B849" s="21"/>
      <c r="C849" s="28"/>
      <c r="D849" s="29"/>
      <c r="E849" s="21"/>
      <c r="F849" s="6"/>
      <c r="G849" s="6"/>
      <c r="H849" s="6"/>
      <c r="I849" s="6"/>
      <c r="J849" s="30"/>
      <c r="K849" s="6"/>
      <c r="L849" s="29"/>
      <c r="M849" s="6"/>
      <c r="N849" s="6"/>
    </row>
    <row r="850" customFormat="false" ht="15" hidden="false" customHeight="false" outlineLevel="0" collapsed="false">
      <c r="A850" s="6"/>
      <c r="B850" s="21"/>
      <c r="C850" s="28"/>
      <c r="D850" s="29"/>
      <c r="E850" s="21"/>
      <c r="F850" s="6"/>
      <c r="G850" s="6"/>
      <c r="H850" s="6"/>
      <c r="I850" s="6"/>
      <c r="J850" s="30"/>
      <c r="K850" s="6"/>
      <c r="L850" s="29"/>
      <c r="M850" s="6"/>
      <c r="N850" s="6"/>
    </row>
    <row r="851" customFormat="false" ht="15" hidden="false" customHeight="false" outlineLevel="0" collapsed="false">
      <c r="A851" s="6"/>
      <c r="B851" s="21"/>
      <c r="C851" s="28"/>
      <c r="D851" s="29"/>
      <c r="E851" s="21"/>
      <c r="F851" s="6"/>
      <c r="G851" s="6"/>
      <c r="H851" s="6"/>
      <c r="I851" s="6"/>
      <c r="J851" s="30"/>
      <c r="K851" s="6"/>
      <c r="L851" s="29"/>
      <c r="M851" s="6"/>
      <c r="N851" s="6"/>
    </row>
    <row r="852" customFormat="false" ht="15" hidden="false" customHeight="false" outlineLevel="0" collapsed="false">
      <c r="A852" s="6"/>
      <c r="B852" s="21"/>
      <c r="C852" s="28"/>
      <c r="D852" s="29"/>
      <c r="E852" s="21"/>
      <c r="F852" s="6"/>
      <c r="G852" s="6"/>
      <c r="H852" s="6"/>
      <c r="I852" s="6"/>
      <c r="J852" s="30"/>
      <c r="K852" s="6"/>
      <c r="L852" s="29"/>
      <c r="M852" s="6"/>
      <c r="N852" s="6"/>
    </row>
    <row r="853" customFormat="false" ht="15" hidden="false" customHeight="false" outlineLevel="0" collapsed="false">
      <c r="A853" s="6"/>
      <c r="B853" s="21"/>
      <c r="C853" s="28"/>
      <c r="D853" s="29"/>
      <c r="E853" s="21"/>
      <c r="F853" s="6"/>
      <c r="G853" s="6"/>
      <c r="H853" s="6"/>
      <c r="I853" s="6"/>
      <c r="J853" s="30"/>
      <c r="K853" s="6"/>
      <c r="L853" s="29"/>
      <c r="M853" s="6"/>
      <c r="N853" s="6"/>
    </row>
    <row r="854" customFormat="false" ht="15" hidden="false" customHeight="false" outlineLevel="0" collapsed="false">
      <c r="A854" s="6"/>
      <c r="B854" s="21"/>
      <c r="C854" s="28"/>
      <c r="D854" s="29"/>
      <c r="E854" s="21"/>
      <c r="F854" s="6"/>
      <c r="G854" s="6"/>
      <c r="H854" s="6"/>
      <c r="I854" s="6"/>
      <c r="J854" s="30"/>
      <c r="K854" s="6"/>
      <c r="L854" s="29"/>
      <c r="M854" s="6"/>
      <c r="N854" s="6"/>
    </row>
    <row r="855" customFormat="false" ht="15" hidden="false" customHeight="false" outlineLevel="0" collapsed="false">
      <c r="A855" s="6"/>
      <c r="B855" s="21"/>
      <c r="C855" s="28"/>
      <c r="D855" s="29"/>
      <c r="E855" s="21"/>
      <c r="F855" s="6"/>
      <c r="G855" s="6"/>
      <c r="H855" s="6"/>
      <c r="I855" s="6"/>
      <c r="J855" s="30"/>
      <c r="K855" s="6"/>
      <c r="L855" s="29"/>
      <c r="M855" s="6"/>
      <c r="N855" s="6"/>
    </row>
    <row r="856" customFormat="false" ht="15" hidden="false" customHeight="false" outlineLevel="0" collapsed="false">
      <c r="A856" s="6"/>
      <c r="B856" s="21"/>
      <c r="C856" s="28"/>
      <c r="D856" s="29"/>
      <c r="E856" s="21"/>
      <c r="F856" s="6"/>
      <c r="G856" s="6"/>
      <c r="H856" s="6"/>
      <c r="I856" s="6"/>
      <c r="J856" s="30"/>
      <c r="K856" s="6"/>
      <c r="L856" s="29"/>
      <c r="M856" s="6"/>
      <c r="N856" s="6"/>
    </row>
    <row r="857" customFormat="false" ht="15" hidden="false" customHeight="false" outlineLevel="0" collapsed="false">
      <c r="A857" s="6"/>
      <c r="B857" s="21"/>
      <c r="C857" s="28"/>
      <c r="D857" s="29"/>
      <c r="E857" s="21"/>
      <c r="F857" s="6"/>
      <c r="G857" s="6"/>
      <c r="H857" s="6"/>
      <c r="I857" s="6"/>
      <c r="J857" s="30"/>
      <c r="K857" s="6"/>
      <c r="L857" s="29"/>
      <c r="M857" s="6"/>
      <c r="N857" s="6"/>
    </row>
    <row r="858" customFormat="false" ht="15" hidden="false" customHeight="false" outlineLevel="0" collapsed="false">
      <c r="A858" s="6"/>
      <c r="B858" s="21"/>
      <c r="C858" s="28"/>
      <c r="D858" s="29"/>
      <c r="E858" s="21"/>
      <c r="F858" s="6"/>
      <c r="G858" s="6"/>
      <c r="H858" s="6"/>
      <c r="I858" s="6"/>
      <c r="J858" s="30"/>
      <c r="K858" s="6"/>
      <c r="L858" s="29"/>
      <c r="M858" s="6"/>
      <c r="N858" s="6"/>
    </row>
    <row r="859" customFormat="false" ht="15" hidden="false" customHeight="false" outlineLevel="0" collapsed="false">
      <c r="A859" s="6"/>
      <c r="B859" s="21"/>
      <c r="C859" s="28"/>
      <c r="D859" s="29"/>
      <c r="E859" s="21"/>
      <c r="F859" s="6"/>
      <c r="G859" s="6"/>
      <c r="H859" s="6"/>
      <c r="I859" s="6"/>
      <c r="J859" s="30"/>
      <c r="K859" s="6"/>
      <c r="L859" s="29"/>
      <c r="M859" s="6"/>
      <c r="N859" s="6"/>
    </row>
    <row r="860" customFormat="false" ht="15" hidden="false" customHeight="false" outlineLevel="0" collapsed="false">
      <c r="A860" s="6"/>
      <c r="B860" s="21"/>
      <c r="C860" s="28"/>
      <c r="D860" s="29"/>
      <c r="E860" s="21"/>
      <c r="F860" s="6"/>
      <c r="G860" s="6"/>
      <c r="H860" s="6"/>
      <c r="I860" s="6"/>
      <c r="J860" s="30"/>
      <c r="K860" s="6"/>
      <c r="L860" s="29"/>
      <c r="M860" s="6"/>
      <c r="N860" s="6"/>
    </row>
    <row r="861" customFormat="false" ht="15" hidden="false" customHeight="false" outlineLevel="0" collapsed="false">
      <c r="A861" s="6"/>
      <c r="B861" s="21"/>
      <c r="C861" s="28"/>
      <c r="D861" s="29"/>
      <c r="E861" s="21"/>
      <c r="F861" s="6"/>
      <c r="G861" s="6"/>
      <c r="H861" s="6"/>
      <c r="I861" s="6"/>
      <c r="J861" s="30"/>
      <c r="K861" s="6"/>
      <c r="L861" s="29"/>
      <c r="M861" s="6"/>
      <c r="N861" s="6"/>
    </row>
    <row r="862" customFormat="false" ht="15" hidden="false" customHeight="false" outlineLevel="0" collapsed="false">
      <c r="A862" s="6"/>
      <c r="B862" s="21"/>
      <c r="C862" s="28"/>
      <c r="D862" s="29"/>
      <c r="E862" s="21"/>
      <c r="F862" s="6"/>
      <c r="G862" s="6"/>
      <c r="H862" s="6"/>
      <c r="I862" s="6"/>
      <c r="J862" s="30"/>
      <c r="K862" s="6"/>
      <c r="L862" s="29"/>
      <c r="M862" s="6"/>
      <c r="N862" s="6"/>
    </row>
    <row r="863" customFormat="false" ht="15" hidden="false" customHeight="false" outlineLevel="0" collapsed="false">
      <c r="A863" s="6"/>
      <c r="B863" s="21"/>
      <c r="C863" s="28"/>
      <c r="D863" s="29"/>
      <c r="E863" s="21"/>
      <c r="F863" s="6"/>
      <c r="G863" s="6"/>
      <c r="H863" s="6"/>
      <c r="I863" s="6"/>
      <c r="J863" s="30"/>
      <c r="K863" s="6"/>
      <c r="L863" s="29"/>
      <c r="M863" s="6"/>
      <c r="N863" s="6"/>
    </row>
    <row r="864" customFormat="false" ht="15" hidden="false" customHeight="false" outlineLevel="0" collapsed="false">
      <c r="A864" s="6"/>
      <c r="B864" s="21"/>
      <c r="C864" s="28"/>
      <c r="D864" s="29"/>
      <c r="E864" s="21"/>
      <c r="F864" s="6"/>
      <c r="G864" s="6"/>
      <c r="H864" s="6"/>
      <c r="I864" s="6"/>
      <c r="J864" s="30"/>
      <c r="K864" s="6"/>
      <c r="L864" s="29"/>
      <c r="M864" s="6"/>
      <c r="N864" s="6"/>
    </row>
    <row r="865" customFormat="false" ht="15" hidden="false" customHeight="false" outlineLevel="0" collapsed="false">
      <c r="A865" s="6"/>
      <c r="B865" s="21"/>
      <c r="C865" s="28"/>
      <c r="D865" s="29"/>
      <c r="E865" s="21"/>
      <c r="F865" s="6"/>
      <c r="G865" s="6"/>
      <c r="H865" s="6"/>
      <c r="I865" s="6"/>
      <c r="J865" s="30"/>
      <c r="K865" s="6"/>
      <c r="L865" s="29"/>
      <c r="M865" s="6"/>
      <c r="N865" s="6"/>
    </row>
    <row r="866" customFormat="false" ht="15" hidden="false" customHeight="false" outlineLevel="0" collapsed="false">
      <c r="A866" s="6"/>
      <c r="B866" s="21"/>
      <c r="C866" s="28"/>
      <c r="D866" s="29"/>
      <c r="E866" s="21"/>
      <c r="F866" s="6"/>
      <c r="G866" s="6"/>
      <c r="H866" s="6"/>
      <c r="I866" s="6"/>
      <c r="J866" s="30"/>
      <c r="K866" s="6"/>
      <c r="L866" s="29"/>
      <c r="M866" s="6"/>
      <c r="N866" s="6"/>
    </row>
    <row r="867" customFormat="false" ht="15" hidden="false" customHeight="false" outlineLevel="0" collapsed="false">
      <c r="A867" s="6"/>
      <c r="B867" s="21"/>
      <c r="C867" s="28"/>
      <c r="D867" s="29"/>
      <c r="E867" s="21"/>
      <c r="F867" s="6"/>
      <c r="G867" s="6"/>
      <c r="H867" s="6"/>
      <c r="I867" s="6"/>
      <c r="J867" s="30"/>
      <c r="K867" s="6"/>
      <c r="L867" s="29"/>
      <c r="M867" s="6"/>
      <c r="N867" s="6"/>
    </row>
    <row r="868" customFormat="false" ht="15" hidden="false" customHeight="false" outlineLevel="0" collapsed="false">
      <c r="A868" s="6"/>
      <c r="B868" s="21"/>
      <c r="C868" s="28"/>
      <c r="D868" s="29"/>
      <c r="E868" s="21"/>
      <c r="F868" s="6"/>
      <c r="G868" s="6"/>
      <c r="H868" s="6"/>
      <c r="I868" s="6"/>
      <c r="J868" s="30"/>
      <c r="K868" s="6"/>
      <c r="L868" s="29"/>
      <c r="M868" s="6"/>
      <c r="N868" s="6"/>
    </row>
    <row r="869" customFormat="false" ht="15" hidden="false" customHeight="false" outlineLevel="0" collapsed="false">
      <c r="A869" s="6"/>
      <c r="B869" s="21"/>
      <c r="C869" s="28"/>
      <c r="D869" s="29"/>
      <c r="E869" s="21"/>
      <c r="F869" s="6"/>
      <c r="G869" s="6"/>
      <c r="H869" s="6"/>
      <c r="I869" s="6"/>
      <c r="J869" s="30"/>
      <c r="K869" s="6"/>
      <c r="L869" s="29"/>
      <c r="M869" s="6"/>
      <c r="N869" s="6"/>
    </row>
    <row r="870" customFormat="false" ht="15" hidden="false" customHeight="false" outlineLevel="0" collapsed="false">
      <c r="A870" s="6"/>
      <c r="B870" s="21"/>
      <c r="C870" s="28"/>
      <c r="D870" s="29"/>
      <c r="E870" s="21"/>
      <c r="F870" s="6"/>
      <c r="G870" s="6"/>
      <c r="H870" s="6"/>
      <c r="I870" s="6"/>
      <c r="J870" s="30"/>
      <c r="K870" s="6"/>
      <c r="L870" s="29"/>
      <c r="M870" s="6"/>
      <c r="N870" s="6"/>
    </row>
    <row r="871" customFormat="false" ht="15" hidden="false" customHeight="false" outlineLevel="0" collapsed="false">
      <c r="A871" s="6"/>
      <c r="B871" s="21"/>
      <c r="C871" s="28"/>
      <c r="D871" s="29"/>
      <c r="E871" s="21"/>
      <c r="F871" s="6"/>
      <c r="G871" s="6"/>
      <c r="H871" s="6"/>
      <c r="I871" s="6"/>
      <c r="J871" s="30"/>
      <c r="K871" s="6"/>
      <c r="L871" s="29"/>
      <c r="M871" s="6"/>
      <c r="N871" s="6"/>
    </row>
    <row r="872" customFormat="false" ht="15" hidden="false" customHeight="false" outlineLevel="0" collapsed="false">
      <c r="A872" s="6"/>
      <c r="B872" s="21"/>
      <c r="C872" s="28"/>
      <c r="D872" s="29"/>
      <c r="E872" s="21"/>
      <c r="F872" s="6"/>
      <c r="G872" s="6"/>
      <c r="H872" s="6"/>
      <c r="I872" s="6"/>
      <c r="J872" s="30"/>
      <c r="K872" s="6"/>
      <c r="L872" s="29"/>
      <c r="M872" s="6"/>
      <c r="N872" s="6"/>
    </row>
    <row r="873" customFormat="false" ht="15" hidden="false" customHeight="false" outlineLevel="0" collapsed="false">
      <c r="A873" s="6"/>
      <c r="B873" s="21"/>
      <c r="C873" s="28"/>
      <c r="D873" s="29"/>
      <c r="E873" s="21"/>
      <c r="F873" s="6"/>
      <c r="G873" s="6"/>
      <c r="H873" s="6"/>
      <c r="I873" s="6"/>
      <c r="J873" s="30"/>
      <c r="K873" s="6"/>
      <c r="L873" s="29"/>
      <c r="M873" s="6"/>
      <c r="N873" s="6"/>
    </row>
    <row r="874" customFormat="false" ht="15" hidden="false" customHeight="false" outlineLevel="0" collapsed="false">
      <c r="A874" s="6"/>
      <c r="B874" s="21"/>
      <c r="C874" s="28"/>
      <c r="D874" s="29"/>
      <c r="E874" s="21"/>
      <c r="F874" s="6"/>
      <c r="G874" s="6"/>
      <c r="H874" s="6"/>
      <c r="I874" s="6"/>
      <c r="J874" s="30"/>
      <c r="K874" s="6"/>
      <c r="L874" s="29"/>
      <c r="M874" s="6"/>
      <c r="N874" s="6"/>
    </row>
    <row r="875" customFormat="false" ht="15" hidden="false" customHeight="false" outlineLevel="0" collapsed="false">
      <c r="A875" s="6"/>
      <c r="B875" s="21"/>
      <c r="C875" s="28"/>
      <c r="D875" s="29"/>
      <c r="E875" s="21"/>
      <c r="F875" s="6"/>
      <c r="G875" s="6"/>
      <c r="H875" s="6"/>
      <c r="I875" s="6"/>
      <c r="J875" s="30"/>
      <c r="K875" s="6"/>
      <c r="L875" s="29"/>
      <c r="M875" s="6"/>
      <c r="N875" s="6"/>
    </row>
    <row r="876" customFormat="false" ht="15" hidden="false" customHeight="false" outlineLevel="0" collapsed="false">
      <c r="A876" s="6"/>
      <c r="B876" s="21"/>
      <c r="C876" s="28"/>
      <c r="D876" s="29"/>
      <c r="E876" s="21"/>
      <c r="F876" s="6"/>
      <c r="G876" s="6"/>
      <c r="H876" s="6"/>
      <c r="I876" s="6"/>
      <c r="J876" s="30"/>
      <c r="K876" s="6"/>
      <c r="L876" s="29"/>
      <c r="M876" s="6"/>
      <c r="N876" s="6"/>
    </row>
    <row r="877" customFormat="false" ht="15" hidden="false" customHeight="false" outlineLevel="0" collapsed="false">
      <c r="A877" s="6"/>
      <c r="B877" s="21"/>
      <c r="C877" s="28"/>
      <c r="D877" s="29"/>
      <c r="E877" s="21"/>
      <c r="F877" s="6"/>
      <c r="G877" s="6"/>
      <c r="H877" s="6"/>
      <c r="I877" s="6"/>
      <c r="J877" s="30"/>
      <c r="K877" s="6"/>
      <c r="L877" s="29"/>
      <c r="M877" s="6"/>
      <c r="N877" s="6"/>
    </row>
    <row r="878" customFormat="false" ht="15" hidden="false" customHeight="false" outlineLevel="0" collapsed="false">
      <c r="A878" s="6"/>
      <c r="B878" s="21"/>
      <c r="C878" s="28"/>
      <c r="D878" s="29"/>
      <c r="E878" s="21"/>
      <c r="F878" s="6"/>
      <c r="G878" s="6"/>
      <c r="H878" s="6"/>
      <c r="I878" s="6"/>
      <c r="J878" s="30"/>
      <c r="K878" s="6"/>
      <c r="L878" s="29"/>
      <c r="M878" s="6"/>
      <c r="N878" s="6"/>
    </row>
    <row r="879" customFormat="false" ht="15" hidden="false" customHeight="false" outlineLevel="0" collapsed="false">
      <c r="A879" s="6"/>
      <c r="B879" s="21"/>
      <c r="C879" s="28"/>
      <c r="D879" s="29"/>
      <c r="E879" s="21"/>
      <c r="F879" s="6"/>
      <c r="G879" s="6"/>
      <c r="H879" s="6"/>
      <c r="I879" s="6"/>
      <c r="J879" s="30"/>
      <c r="K879" s="6"/>
      <c r="L879" s="29"/>
      <c r="M879" s="6"/>
      <c r="N879" s="6"/>
    </row>
    <row r="880" customFormat="false" ht="15" hidden="false" customHeight="false" outlineLevel="0" collapsed="false">
      <c r="A880" s="6"/>
      <c r="B880" s="21"/>
      <c r="C880" s="28"/>
      <c r="D880" s="29"/>
      <c r="E880" s="21"/>
      <c r="F880" s="6"/>
      <c r="G880" s="6"/>
      <c r="H880" s="6"/>
      <c r="I880" s="6"/>
      <c r="J880" s="30"/>
      <c r="K880" s="6"/>
      <c r="L880" s="29"/>
      <c r="M880" s="6"/>
      <c r="N880" s="6"/>
    </row>
    <row r="881" customFormat="false" ht="15" hidden="false" customHeight="false" outlineLevel="0" collapsed="false">
      <c r="A881" s="6"/>
      <c r="B881" s="21"/>
      <c r="C881" s="28"/>
      <c r="D881" s="29"/>
      <c r="E881" s="21"/>
      <c r="F881" s="6"/>
      <c r="G881" s="6"/>
      <c r="H881" s="6"/>
      <c r="I881" s="6"/>
      <c r="J881" s="30"/>
      <c r="K881" s="6"/>
      <c r="L881" s="29"/>
      <c r="M881" s="6"/>
      <c r="N881" s="6"/>
    </row>
    <row r="882" customFormat="false" ht="15" hidden="false" customHeight="false" outlineLevel="0" collapsed="false">
      <c r="A882" s="6"/>
      <c r="B882" s="21"/>
      <c r="C882" s="28"/>
      <c r="D882" s="29"/>
      <c r="E882" s="21"/>
      <c r="F882" s="6"/>
      <c r="G882" s="6"/>
      <c r="H882" s="6"/>
      <c r="I882" s="6"/>
      <c r="J882" s="30"/>
      <c r="K882" s="6"/>
      <c r="L882" s="29"/>
      <c r="M882" s="6"/>
      <c r="N882" s="6"/>
    </row>
    <row r="883" customFormat="false" ht="15" hidden="false" customHeight="false" outlineLevel="0" collapsed="false">
      <c r="A883" s="6"/>
      <c r="B883" s="21"/>
      <c r="C883" s="28"/>
      <c r="D883" s="29"/>
      <c r="E883" s="21"/>
      <c r="F883" s="6"/>
      <c r="G883" s="6"/>
      <c r="H883" s="6"/>
      <c r="I883" s="6"/>
      <c r="J883" s="30"/>
      <c r="K883" s="6"/>
      <c r="L883" s="29"/>
      <c r="M883" s="6"/>
      <c r="N883" s="6"/>
    </row>
    <row r="884" customFormat="false" ht="15" hidden="false" customHeight="false" outlineLevel="0" collapsed="false">
      <c r="A884" s="6"/>
      <c r="B884" s="21"/>
      <c r="C884" s="28"/>
      <c r="D884" s="29"/>
      <c r="E884" s="21"/>
      <c r="F884" s="6"/>
      <c r="G884" s="6"/>
      <c r="H884" s="6"/>
      <c r="I884" s="6"/>
      <c r="J884" s="30"/>
      <c r="K884" s="6"/>
      <c r="L884" s="29"/>
      <c r="M884" s="6"/>
      <c r="N884" s="6"/>
    </row>
    <row r="885" customFormat="false" ht="15" hidden="false" customHeight="false" outlineLevel="0" collapsed="false">
      <c r="A885" s="6"/>
      <c r="B885" s="21"/>
      <c r="C885" s="28"/>
      <c r="D885" s="29"/>
      <c r="E885" s="21"/>
      <c r="F885" s="6"/>
      <c r="G885" s="6"/>
      <c r="H885" s="6"/>
      <c r="I885" s="6"/>
      <c r="J885" s="30"/>
      <c r="K885" s="6"/>
      <c r="L885" s="29"/>
      <c r="M885" s="6"/>
      <c r="N885" s="6"/>
    </row>
    <row r="886" customFormat="false" ht="15" hidden="false" customHeight="false" outlineLevel="0" collapsed="false">
      <c r="A886" s="6"/>
      <c r="B886" s="21"/>
      <c r="C886" s="28"/>
      <c r="D886" s="29"/>
      <c r="E886" s="21"/>
      <c r="F886" s="6"/>
      <c r="G886" s="6"/>
      <c r="H886" s="6"/>
      <c r="I886" s="6"/>
      <c r="J886" s="30"/>
      <c r="K886" s="6"/>
      <c r="L886" s="29"/>
      <c r="M886" s="6"/>
      <c r="N886" s="6"/>
    </row>
    <row r="887" customFormat="false" ht="15" hidden="false" customHeight="false" outlineLevel="0" collapsed="false">
      <c r="A887" s="6"/>
      <c r="B887" s="21"/>
      <c r="C887" s="28"/>
      <c r="D887" s="29"/>
      <c r="E887" s="21"/>
      <c r="F887" s="6"/>
      <c r="G887" s="6"/>
      <c r="H887" s="6"/>
      <c r="I887" s="6"/>
      <c r="J887" s="30"/>
      <c r="K887" s="6"/>
      <c r="L887" s="29"/>
      <c r="M887" s="6"/>
      <c r="N887" s="6"/>
    </row>
    <row r="888" customFormat="false" ht="15" hidden="false" customHeight="false" outlineLevel="0" collapsed="false">
      <c r="A888" s="6"/>
      <c r="B888" s="21"/>
      <c r="C888" s="28"/>
      <c r="D888" s="29"/>
      <c r="E888" s="21"/>
      <c r="F888" s="6"/>
      <c r="G888" s="6"/>
      <c r="H888" s="6"/>
      <c r="I888" s="6"/>
      <c r="J888" s="30"/>
      <c r="K888" s="6"/>
      <c r="L888" s="29"/>
      <c r="M888" s="6"/>
      <c r="N888" s="6"/>
    </row>
    <row r="889" customFormat="false" ht="15" hidden="false" customHeight="false" outlineLevel="0" collapsed="false">
      <c r="A889" s="6"/>
      <c r="B889" s="21"/>
      <c r="C889" s="28"/>
      <c r="D889" s="29"/>
      <c r="E889" s="21"/>
      <c r="F889" s="6"/>
      <c r="G889" s="6"/>
      <c r="H889" s="6"/>
      <c r="I889" s="6"/>
      <c r="J889" s="30"/>
      <c r="K889" s="6"/>
      <c r="L889" s="29"/>
      <c r="M889" s="6"/>
      <c r="N889" s="6"/>
    </row>
    <row r="890" customFormat="false" ht="15" hidden="false" customHeight="false" outlineLevel="0" collapsed="false">
      <c r="A890" s="6"/>
      <c r="B890" s="21"/>
      <c r="C890" s="28"/>
      <c r="D890" s="29"/>
      <c r="E890" s="21"/>
      <c r="F890" s="6"/>
      <c r="G890" s="6"/>
      <c r="H890" s="6"/>
      <c r="I890" s="6"/>
      <c r="J890" s="30"/>
      <c r="K890" s="6"/>
      <c r="L890" s="29"/>
      <c r="M890" s="6"/>
      <c r="N890" s="6"/>
    </row>
    <row r="891" customFormat="false" ht="15" hidden="false" customHeight="false" outlineLevel="0" collapsed="false">
      <c r="A891" s="6"/>
      <c r="B891" s="21"/>
      <c r="C891" s="28"/>
      <c r="D891" s="29"/>
      <c r="E891" s="21"/>
      <c r="F891" s="6"/>
      <c r="G891" s="6"/>
      <c r="H891" s="6"/>
      <c r="I891" s="6"/>
      <c r="J891" s="30"/>
      <c r="K891" s="6"/>
      <c r="L891" s="29"/>
      <c r="M891" s="6"/>
      <c r="N891" s="6"/>
    </row>
    <row r="892" customFormat="false" ht="15" hidden="false" customHeight="false" outlineLevel="0" collapsed="false">
      <c r="A892" s="6"/>
      <c r="B892" s="21"/>
      <c r="C892" s="28"/>
      <c r="D892" s="29"/>
      <c r="E892" s="21"/>
      <c r="F892" s="6"/>
      <c r="G892" s="6"/>
      <c r="H892" s="6"/>
      <c r="I892" s="6"/>
      <c r="J892" s="30"/>
      <c r="K892" s="6"/>
      <c r="L892" s="29"/>
      <c r="M892" s="6"/>
      <c r="N892" s="6"/>
    </row>
    <row r="893" customFormat="false" ht="15" hidden="false" customHeight="false" outlineLevel="0" collapsed="false">
      <c r="A893" s="6"/>
      <c r="B893" s="21"/>
      <c r="C893" s="28"/>
      <c r="D893" s="29"/>
      <c r="E893" s="21"/>
      <c r="F893" s="6"/>
      <c r="G893" s="6"/>
      <c r="H893" s="6"/>
      <c r="I893" s="6"/>
      <c r="J893" s="30"/>
      <c r="K893" s="6"/>
      <c r="L893" s="29"/>
      <c r="M893" s="6"/>
      <c r="N893" s="6"/>
    </row>
    <row r="894" customFormat="false" ht="15" hidden="false" customHeight="false" outlineLevel="0" collapsed="false">
      <c r="A894" s="6"/>
      <c r="B894" s="21"/>
      <c r="C894" s="28"/>
      <c r="D894" s="29"/>
      <c r="E894" s="21"/>
      <c r="F894" s="6"/>
      <c r="G894" s="6"/>
      <c r="H894" s="6"/>
      <c r="I894" s="6"/>
      <c r="J894" s="30"/>
      <c r="K894" s="6"/>
      <c r="L894" s="29"/>
      <c r="M894" s="6"/>
      <c r="N894" s="6"/>
    </row>
    <row r="895" customFormat="false" ht="15" hidden="false" customHeight="false" outlineLevel="0" collapsed="false">
      <c r="A895" s="6"/>
      <c r="B895" s="21"/>
      <c r="C895" s="28"/>
      <c r="D895" s="29"/>
      <c r="E895" s="21"/>
      <c r="F895" s="6"/>
      <c r="G895" s="6"/>
      <c r="H895" s="6"/>
      <c r="I895" s="6"/>
      <c r="J895" s="30"/>
      <c r="K895" s="6"/>
      <c r="L895" s="29"/>
      <c r="M895" s="6"/>
      <c r="N895" s="6"/>
    </row>
    <row r="896" customFormat="false" ht="15" hidden="false" customHeight="false" outlineLevel="0" collapsed="false">
      <c r="A896" s="6"/>
      <c r="B896" s="21"/>
      <c r="C896" s="28"/>
      <c r="D896" s="29"/>
      <c r="E896" s="21"/>
      <c r="F896" s="6"/>
      <c r="G896" s="6"/>
      <c r="H896" s="6"/>
      <c r="I896" s="6"/>
      <c r="J896" s="30"/>
      <c r="K896" s="6"/>
      <c r="L896" s="29"/>
      <c r="M896" s="6"/>
      <c r="N896" s="6"/>
    </row>
    <row r="897" customFormat="false" ht="15" hidden="false" customHeight="false" outlineLevel="0" collapsed="false">
      <c r="A897" s="6"/>
      <c r="B897" s="21"/>
      <c r="C897" s="28"/>
      <c r="D897" s="29"/>
      <c r="E897" s="21"/>
      <c r="F897" s="6"/>
      <c r="G897" s="6"/>
      <c r="H897" s="6"/>
      <c r="I897" s="6"/>
      <c r="J897" s="30"/>
      <c r="K897" s="6"/>
      <c r="L897" s="29"/>
      <c r="M897" s="6"/>
      <c r="N897" s="6"/>
    </row>
    <row r="898" customFormat="false" ht="15" hidden="false" customHeight="false" outlineLevel="0" collapsed="false">
      <c r="A898" s="6"/>
      <c r="B898" s="21"/>
      <c r="C898" s="28"/>
      <c r="D898" s="29"/>
      <c r="E898" s="21"/>
      <c r="F898" s="6"/>
      <c r="G898" s="6"/>
      <c r="H898" s="6"/>
      <c r="I898" s="6"/>
      <c r="J898" s="30"/>
      <c r="K898" s="6"/>
      <c r="L898" s="29"/>
      <c r="M898" s="6"/>
      <c r="N898" s="6"/>
    </row>
    <row r="899" customFormat="false" ht="15" hidden="false" customHeight="false" outlineLevel="0" collapsed="false">
      <c r="A899" s="6"/>
      <c r="B899" s="21"/>
      <c r="C899" s="28"/>
      <c r="D899" s="29"/>
      <c r="E899" s="21"/>
      <c r="F899" s="6"/>
      <c r="G899" s="6"/>
      <c r="H899" s="6"/>
      <c r="I899" s="6"/>
      <c r="J899" s="30"/>
      <c r="K899" s="6"/>
      <c r="L899" s="29"/>
      <c r="M899" s="6"/>
      <c r="N899" s="6"/>
    </row>
    <row r="900" customFormat="false" ht="15" hidden="false" customHeight="false" outlineLevel="0" collapsed="false">
      <c r="A900" s="6"/>
      <c r="B900" s="21"/>
      <c r="C900" s="28"/>
      <c r="D900" s="29"/>
      <c r="E900" s="21"/>
      <c r="F900" s="6"/>
      <c r="G900" s="6"/>
      <c r="H900" s="6"/>
      <c r="I900" s="6"/>
      <c r="J900" s="30"/>
      <c r="K900" s="6"/>
      <c r="L900" s="29"/>
      <c r="M900" s="6"/>
      <c r="N900" s="6"/>
    </row>
    <row r="901" customFormat="false" ht="15" hidden="false" customHeight="false" outlineLevel="0" collapsed="false">
      <c r="A901" s="6"/>
      <c r="B901" s="21"/>
      <c r="C901" s="28"/>
      <c r="D901" s="29"/>
      <c r="E901" s="21"/>
      <c r="F901" s="6"/>
      <c r="G901" s="6"/>
      <c r="H901" s="6"/>
      <c r="I901" s="6"/>
      <c r="J901" s="30"/>
      <c r="K901" s="6"/>
      <c r="L901" s="29"/>
      <c r="M901" s="6"/>
      <c r="N901" s="6"/>
    </row>
    <row r="902" customFormat="false" ht="15" hidden="false" customHeight="false" outlineLevel="0" collapsed="false">
      <c r="A902" s="6"/>
      <c r="B902" s="21"/>
      <c r="C902" s="28"/>
      <c r="D902" s="29"/>
      <c r="E902" s="21"/>
      <c r="F902" s="6"/>
      <c r="G902" s="6"/>
      <c r="H902" s="6"/>
      <c r="I902" s="6"/>
      <c r="J902" s="30"/>
      <c r="K902" s="6"/>
      <c r="L902" s="29"/>
      <c r="M902" s="6"/>
      <c r="N902" s="6"/>
    </row>
    <row r="903" customFormat="false" ht="15" hidden="false" customHeight="false" outlineLevel="0" collapsed="false">
      <c r="A903" s="6"/>
      <c r="B903" s="21"/>
      <c r="C903" s="28"/>
      <c r="D903" s="29"/>
      <c r="E903" s="21"/>
      <c r="F903" s="6"/>
      <c r="G903" s="6"/>
      <c r="H903" s="6"/>
      <c r="I903" s="6"/>
      <c r="J903" s="30"/>
      <c r="K903" s="6"/>
      <c r="L903" s="29"/>
      <c r="M903" s="6"/>
      <c r="N903" s="6"/>
    </row>
    <row r="904" customFormat="false" ht="15" hidden="false" customHeight="false" outlineLevel="0" collapsed="false">
      <c r="A904" s="6"/>
      <c r="B904" s="21"/>
      <c r="C904" s="28"/>
      <c r="D904" s="29"/>
      <c r="E904" s="21"/>
      <c r="F904" s="6"/>
      <c r="G904" s="6"/>
      <c r="H904" s="6"/>
      <c r="I904" s="6"/>
      <c r="J904" s="30"/>
      <c r="K904" s="6"/>
      <c r="L904" s="29"/>
      <c r="M904" s="6"/>
      <c r="N904" s="6"/>
    </row>
    <row r="905" customFormat="false" ht="15" hidden="false" customHeight="false" outlineLevel="0" collapsed="false">
      <c r="A905" s="6"/>
      <c r="B905" s="21"/>
      <c r="C905" s="28"/>
      <c r="D905" s="29"/>
      <c r="E905" s="21"/>
      <c r="F905" s="6"/>
      <c r="G905" s="6"/>
      <c r="H905" s="6"/>
      <c r="I905" s="6"/>
      <c r="J905" s="30"/>
      <c r="K905" s="6"/>
      <c r="L905" s="29"/>
      <c r="M905" s="6"/>
      <c r="N905" s="6"/>
    </row>
    <row r="906" customFormat="false" ht="15" hidden="false" customHeight="false" outlineLevel="0" collapsed="false">
      <c r="A906" s="6"/>
      <c r="B906" s="21"/>
      <c r="C906" s="28"/>
      <c r="D906" s="29"/>
      <c r="E906" s="21"/>
      <c r="F906" s="6"/>
      <c r="G906" s="6"/>
      <c r="H906" s="6"/>
      <c r="I906" s="6"/>
      <c r="J906" s="30"/>
      <c r="K906" s="6"/>
      <c r="L906" s="29"/>
      <c r="M906" s="6"/>
      <c r="N906" s="6"/>
    </row>
    <row r="907" customFormat="false" ht="15" hidden="false" customHeight="false" outlineLevel="0" collapsed="false">
      <c r="A907" s="6"/>
      <c r="B907" s="21"/>
      <c r="C907" s="28"/>
      <c r="D907" s="29"/>
      <c r="E907" s="21"/>
      <c r="F907" s="6"/>
      <c r="G907" s="6"/>
      <c r="H907" s="6"/>
      <c r="I907" s="6"/>
      <c r="J907" s="30"/>
      <c r="K907" s="6"/>
      <c r="L907" s="29"/>
      <c r="M907" s="6"/>
      <c r="N907" s="6"/>
    </row>
    <row r="908" customFormat="false" ht="15" hidden="false" customHeight="false" outlineLevel="0" collapsed="false">
      <c r="A908" s="6"/>
      <c r="B908" s="21"/>
      <c r="C908" s="28"/>
      <c r="D908" s="29"/>
      <c r="E908" s="21"/>
      <c r="F908" s="6"/>
      <c r="G908" s="6"/>
      <c r="H908" s="6"/>
      <c r="I908" s="6"/>
      <c r="J908" s="30"/>
      <c r="K908" s="6"/>
      <c r="L908" s="29"/>
      <c r="M908" s="6"/>
      <c r="N908" s="6"/>
    </row>
    <row r="909" customFormat="false" ht="15" hidden="false" customHeight="false" outlineLevel="0" collapsed="false">
      <c r="A909" s="6"/>
      <c r="B909" s="21"/>
      <c r="C909" s="28"/>
      <c r="D909" s="29"/>
      <c r="E909" s="21"/>
      <c r="F909" s="6"/>
      <c r="G909" s="6"/>
      <c r="H909" s="6"/>
      <c r="I909" s="6"/>
      <c r="J909" s="30"/>
      <c r="K909" s="6"/>
      <c r="L909" s="29"/>
      <c r="M909" s="6"/>
      <c r="N909" s="6"/>
    </row>
    <row r="910" customFormat="false" ht="15" hidden="false" customHeight="false" outlineLevel="0" collapsed="false">
      <c r="A910" s="6"/>
      <c r="B910" s="21"/>
      <c r="C910" s="28"/>
      <c r="D910" s="29"/>
      <c r="E910" s="21"/>
      <c r="F910" s="6"/>
      <c r="G910" s="6"/>
      <c r="H910" s="6"/>
      <c r="I910" s="6"/>
      <c r="J910" s="30"/>
      <c r="K910" s="6"/>
      <c r="L910" s="29"/>
      <c r="M910" s="6"/>
      <c r="N910" s="6"/>
    </row>
    <row r="911" customFormat="false" ht="15" hidden="false" customHeight="false" outlineLevel="0" collapsed="false">
      <c r="A911" s="6"/>
      <c r="B911" s="21"/>
      <c r="C911" s="28"/>
      <c r="D911" s="29"/>
      <c r="E911" s="21"/>
      <c r="F911" s="6"/>
      <c r="G911" s="6"/>
      <c r="H911" s="6"/>
      <c r="I911" s="6"/>
      <c r="J911" s="30"/>
      <c r="K911" s="6"/>
      <c r="L911" s="29"/>
      <c r="M911" s="6"/>
      <c r="N911" s="6"/>
    </row>
    <row r="912" customFormat="false" ht="15" hidden="false" customHeight="false" outlineLevel="0" collapsed="false">
      <c r="A912" s="6"/>
      <c r="B912" s="21"/>
      <c r="C912" s="28"/>
      <c r="D912" s="29"/>
      <c r="E912" s="21"/>
      <c r="F912" s="6"/>
      <c r="G912" s="6"/>
      <c r="H912" s="6"/>
      <c r="I912" s="6"/>
      <c r="J912" s="30"/>
      <c r="K912" s="6"/>
      <c r="L912" s="29"/>
      <c r="M912" s="6"/>
      <c r="N912" s="6"/>
    </row>
    <row r="913" customFormat="false" ht="15" hidden="false" customHeight="false" outlineLevel="0" collapsed="false">
      <c r="A913" s="6"/>
      <c r="B913" s="21"/>
      <c r="C913" s="28"/>
      <c r="D913" s="29"/>
      <c r="E913" s="21"/>
      <c r="F913" s="6"/>
      <c r="G913" s="6"/>
      <c r="H913" s="6"/>
      <c r="I913" s="6"/>
      <c r="J913" s="30"/>
      <c r="K913" s="6"/>
      <c r="L913" s="29"/>
      <c r="M913" s="6"/>
      <c r="N913" s="6"/>
    </row>
    <row r="914" customFormat="false" ht="15" hidden="false" customHeight="false" outlineLevel="0" collapsed="false">
      <c r="A914" s="6"/>
      <c r="B914" s="21"/>
      <c r="C914" s="28"/>
      <c r="D914" s="29"/>
      <c r="E914" s="21"/>
      <c r="F914" s="6"/>
      <c r="G914" s="6"/>
      <c r="H914" s="6"/>
      <c r="I914" s="6"/>
      <c r="J914" s="30"/>
      <c r="K914" s="6"/>
      <c r="L914" s="29"/>
      <c r="M914" s="6"/>
      <c r="N914" s="6"/>
    </row>
    <row r="915" customFormat="false" ht="15" hidden="false" customHeight="false" outlineLevel="0" collapsed="false">
      <c r="A915" s="6"/>
      <c r="B915" s="21"/>
      <c r="C915" s="28"/>
      <c r="D915" s="29"/>
      <c r="E915" s="21"/>
      <c r="F915" s="6"/>
      <c r="G915" s="6"/>
      <c r="H915" s="6"/>
      <c r="I915" s="6"/>
      <c r="J915" s="30"/>
      <c r="K915" s="6"/>
      <c r="L915" s="29"/>
      <c r="M915" s="6"/>
      <c r="N915" s="6"/>
    </row>
    <row r="916" customFormat="false" ht="15" hidden="false" customHeight="false" outlineLevel="0" collapsed="false">
      <c r="A916" s="6"/>
      <c r="B916" s="21"/>
      <c r="C916" s="28"/>
      <c r="D916" s="29"/>
      <c r="E916" s="21"/>
      <c r="F916" s="6"/>
      <c r="G916" s="6"/>
      <c r="H916" s="6"/>
      <c r="I916" s="6"/>
      <c r="J916" s="30"/>
      <c r="K916" s="6"/>
      <c r="L916" s="29"/>
      <c r="M916" s="6"/>
      <c r="N916" s="6"/>
    </row>
    <row r="917" customFormat="false" ht="15" hidden="false" customHeight="false" outlineLevel="0" collapsed="false">
      <c r="A917" s="6"/>
      <c r="B917" s="21"/>
      <c r="C917" s="28"/>
      <c r="D917" s="29"/>
      <c r="E917" s="21"/>
      <c r="F917" s="6"/>
      <c r="G917" s="6"/>
      <c r="H917" s="6"/>
      <c r="I917" s="6"/>
      <c r="J917" s="30"/>
      <c r="K917" s="6"/>
      <c r="L917" s="29"/>
      <c r="M917" s="6"/>
      <c r="N917" s="6"/>
    </row>
    <row r="918" customFormat="false" ht="15" hidden="false" customHeight="false" outlineLevel="0" collapsed="false">
      <c r="A918" s="6"/>
      <c r="B918" s="21"/>
      <c r="C918" s="28"/>
      <c r="D918" s="29"/>
      <c r="E918" s="21"/>
      <c r="F918" s="6"/>
      <c r="G918" s="6"/>
      <c r="H918" s="6"/>
      <c r="I918" s="6"/>
      <c r="J918" s="30"/>
      <c r="K918" s="6"/>
      <c r="L918" s="29"/>
      <c r="M918" s="6"/>
      <c r="N918" s="6"/>
    </row>
    <row r="919" customFormat="false" ht="15" hidden="false" customHeight="false" outlineLevel="0" collapsed="false">
      <c r="A919" s="6"/>
      <c r="B919" s="21"/>
      <c r="C919" s="28"/>
      <c r="D919" s="29"/>
      <c r="E919" s="21"/>
      <c r="F919" s="6"/>
      <c r="G919" s="6"/>
      <c r="H919" s="6"/>
      <c r="I919" s="6"/>
      <c r="J919" s="30"/>
      <c r="K919" s="6"/>
      <c r="L919" s="29"/>
      <c r="M919" s="6"/>
      <c r="N919" s="6"/>
    </row>
    <row r="920" customFormat="false" ht="15" hidden="false" customHeight="false" outlineLevel="0" collapsed="false">
      <c r="A920" s="6"/>
      <c r="B920" s="21"/>
      <c r="C920" s="28"/>
      <c r="D920" s="29"/>
      <c r="E920" s="21"/>
      <c r="F920" s="6"/>
      <c r="G920" s="6"/>
      <c r="H920" s="6"/>
      <c r="I920" s="6"/>
      <c r="J920" s="30"/>
      <c r="K920" s="6"/>
      <c r="L920" s="29"/>
      <c r="M920" s="6"/>
      <c r="N920" s="6"/>
    </row>
    <row r="921" customFormat="false" ht="15" hidden="false" customHeight="false" outlineLevel="0" collapsed="false">
      <c r="A921" s="6"/>
      <c r="B921" s="21"/>
      <c r="C921" s="28"/>
      <c r="D921" s="29"/>
      <c r="E921" s="21"/>
      <c r="F921" s="6"/>
      <c r="G921" s="6"/>
      <c r="H921" s="6"/>
      <c r="I921" s="6"/>
      <c r="J921" s="30"/>
      <c r="K921" s="6"/>
      <c r="L921" s="29"/>
      <c r="M921" s="6"/>
      <c r="N921" s="6"/>
    </row>
    <row r="922" customFormat="false" ht="15" hidden="false" customHeight="false" outlineLevel="0" collapsed="false">
      <c r="A922" s="6"/>
      <c r="B922" s="21"/>
      <c r="C922" s="28"/>
      <c r="D922" s="29"/>
      <c r="E922" s="21"/>
      <c r="F922" s="6"/>
      <c r="G922" s="6"/>
      <c r="H922" s="6"/>
      <c r="I922" s="6"/>
      <c r="J922" s="30"/>
      <c r="K922" s="6"/>
      <c r="L922" s="29"/>
      <c r="M922" s="6"/>
      <c r="N922" s="6"/>
    </row>
    <row r="923" customFormat="false" ht="15" hidden="false" customHeight="false" outlineLevel="0" collapsed="false">
      <c r="A923" s="6"/>
      <c r="B923" s="21"/>
      <c r="C923" s="28"/>
      <c r="D923" s="29"/>
      <c r="E923" s="21"/>
      <c r="F923" s="6"/>
      <c r="G923" s="6"/>
      <c r="H923" s="6"/>
      <c r="I923" s="6"/>
      <c r="J923" s="30"/>
      <c r="K923" s="6"/>
      <c r="L923" s="29"/>
      <c r="M923" s="6"/>
      <c r="N923" s="6"/>
    </row>
    <row r="924" customFormat="false" ht="15" hidden="false" customHeight="false" outlineLevel="0" collapsed="false">
      <c r="A924" s="6"/>
      <c r="B924" s="21"/>
      <c r="C924" s="28"/>
      <c r="D924" s="29"/>
      <c r="E924" s="21"/>
      <c r="F924" s="6"/>
      <c r="G924" s="6"/>
      <c r="H924" s="6"/>
      <c r="I924" s="6"/>
      <c r="J924" s="30"/>
      <c r="K924" s="6"/>
      <c r="L924" s="29"/>
      <c r="M924" s="6"/>
      <c r="N924" s="6"/>
    </row>
    <row r="925" customFormat="false" ht="15" hidden="false" customHeight="false" outlineLevel="0" collapsed="false">
      <c r="A925" s="6"/>
      <c r="B925" s="21"/>
      <c r="C925" s="28"/>
      <c r="D925" s="29"/>
      <c r="E925" s="21"/>
      <c r="F925" s="6"/>
      <c r="G925" s="6"/>
      <c r="H925" s="6"/>
      <c r="I925" s="6"/>
      <c r="J925" s="30"/>
      <c r="K925" s="6"/>
      <c r="L925" s="29"/>
      <c r="M925" s="6"/>
      <c r="N925" s="6"/>
    </row>
    <row r="926" customFormat="false" ht="15" hidden="false" customHeight="false" outlineLevel="0" collapsed="false">
      <c r="A926" s="6"/>
      <c r="B926" s="21"/>
      <c r="C926" s="28"/>
      <c r="D926" s="29"/>
      <c r="E926" s="21"/>
      <c r="F926" s="6"/>
      <c r="G926" s="6"/>
      <c r="H926" s="6"/>
      <c r="I926" s="6"/>
      <c r="J926" s="30"/>
      <c r="K926" s="6"/>
      <c r="L926" s="29"/>
      <c r="M926" s="6"/>
      <c r="N926" s="6"/>
    </row>
    <row r="927" customFormat="false" ht="15" hidden="false" customHeight="false" outlineLevel="0" collapsed="false">
      <c r="A927" s="6"/>
      <c r="B927" s="21"/>
      <c r="C927" s="28"/>
      <c r="D927" s="29"/>
      <c r="E927" s="21"/>
      <c r="F927" s="6"/>
      <c r="G927" s="6"/>
      <c r="H927" s="6"/>
      <c r="I927" s="6"/>
      <c r="J927" s="30"/>
      <c r="K927" s="6"/>
      <c r="L927" s="29"/>
      <c r="M927" s="6"/>
      <c r="N927" s="6"/>
    </row>
    <row r="928" customFormat="false" ht="15" hidden="false" customHeight="false" outlineLevel="0" collapsed="false">
      <c r="A928" s="6"/>
      <c r="B928" s="21"/>
      <c r="C928" s="28"/>
      <c r="D928" s="29"/>
      <c r="E928" s="21"/>
      <c r="F928" s="6"/>
      <c r="G928" s="6"/>
      <c r="H928" s="6"/>
      <c r="I928" s="6"/>
      <c r="J928" s="30"/>
      <c r="K928" s="6"/>
      <c r="L928" s="29"/>
      <c r="M928" s="6"/>
      <c r="N928" s="6"/>
    </row>
    <row r="929" customFormat="false" ht="15" hidden="false" customHeight="false" outlineLevel="0" collapsed="false">
      <c r="A929" s="6"/>
      <c r="B929" s="21"/>
      <c r="C929" s="28"/>
      <c r="D929" s="29"/>
      <c r="E929" s="21"/>
      <c r="F929" s="6"/>
      <c r="G929" s="6"/>
      <c r="H929" s="6"/>
      <c r="I929" s="6"/>
      <c r="J929" s="30"/>
      <c r="K929" s="6"/>
      <c r="L929" s="29"/>
      <c r="M929" s="6"/>
      <c r="N929" s="6"/>
    </row>
    <row r="930" customFormat="false" ht="15" hidden="false" customHeight="false" outlineLevel="0" collapsed="false">
      <c r="A930" s="6"/>
      <c r="B930" s="21"/>
      <c r="C930" s="28"/>
      <c r="D930" s="29"/>
      <c r="E930" s="21"/>
      <c r="F930" s="6"/>
      <c r="G930" s="6"/>
      <c r="H930" s="6"/>
      <c r="I930" s="6"/>
      <c r="J930" s="30"/>
      <c r="K930" s="6"/>
      <c r="L930" s="29"/>
      <c r="M930" s="6"/>
      <c r="N930" s="6"/>
    </row>
    <row r="931" customFormat="false" ht="15" hidden="false" customHeight="false" outlineLevel="0" collapsed="false">
      <c r="A931" s="6"/>
      <c r="B931" s="21"/>
      <c r="C931" s="28"/>
      <c r="D931" s="29"/>
      <c r="E931" s="21"/>
      <c r="F931" s="6"/>
      <c r="G931" s="6"/>
      <c r="H931" s="6"/>
      <c r="I931" s="6"/>
      <c r="J931" s="30"/>
      <c r="K931" s="6"/>
      <c r="L931" s="29"/>
      <c r="M931" s="6"/>
      <c r="N931" s="6"/>
    </row>
    <row r="932" customFormat="false" ht="15" hidden="false" customHeight="false" outlineLevel="0" collapsed="false">
      <c r="A932" s="6"/>
      <c r="B932" s="21"/>
      <c r="C932" s="28"/>
      <c r="D932" s="29"/>
      <c r="E932" s="21"/>
      <c r="F932" s="6"/>
      <c r="G932" s="6"/>
      <c r="H932" s="6"/>
      <c r="I932" s="6"/>
      <c r="J932" s="30"/>
      <c r="K932" s="6"/>
      <c r="L932" s="29"/>
      <c r="M932" s="6"/>
      <c r="N932" s="6"/>
    </row>
    <row r="933" customFormat="false" ht="15" hidden="false" customHeight="false" outlineLevel="0" collapsed="false">
      <c r="A933" s="6"/>
      <c r="B933" s="21"/>
      <c r="C933" s="28"/>
      <c r="D933" s="29"/>
      <c r="E933" s="21"/>
      <c r="F933" s="6"/>
      <c r="G933" s="6"/>
      <c r="H933" s="6"/>
      <c r="I933" s="6"/>
      <c r="J933" s="30"/>
      <c r="K933" s="6"/>
      <c r="L933" s="29"/>
      <c r="M933" s="6"/>
      <c r="N933" s="6"/>
    </row>
    <row r="934" customFormat="false" ht="15" hidden="false" customHeight="false" outlineLevel="0" collapsed="false">
      <c r="A934" s="6"/>
      <c r="B934" s="21"/>
      <c r="C934" s="28"/>
      <c r="D934" s="29"/>
      <c r="E934" s="21"/>
      <c r="F934" s="6"/>
      <c r="G934" s="6"/>
      <c r="H934" s="6"/>
      <c r="I934" s="6"/>
      <c r="J934" s="30"/>
      <c r="K934" s="6"/>
      <c r="L934" s="29"/>
      <c r="M934" s="6"/>
      <c r="N934" s="6"/>
    </row>
    <row r="935" customFormat="false" ht="15" hidden="false" customHeight="false" outlineLevel="0" collapsed="false">
      <c r="A935" s="6"/>
      <c r="B935" s="21"/>
      <c r="C935" s="28"/>
      <c r="D935" s="29"/>
      <c r="E935" s="21"/>
      <c r="F935" s="6"/>
      <c r="G935" s="6"/>
      <c r="H935" s="6"/>
      <c r="I935" s="6"/>
      <c r="J935" s="30"/>
      <c r="K935" s="6"/>
      <c r="L935" s="29"/>
      <c r="M935" s="6"/>
      <c r="N935" s="6"/>
    </row>
    <row r="936" customFormat="false" ht="15" hidden="false" customHeight="false" outlineLevel="0" collapsed="false">
      <c r="A936" s="6"/>
      <c r="B936" s="21"/>
      <c r="C936" s="28"/>
      <c r="D936" s="29"/>
      <c r="E936" s="21"/>
      <c r="F936" s="6"/>
      <c r="G936" s="6"/>
      <c r="H936" s="6"/>
      <c r="I936" s="6"/>
      <c r="J936" s="30"/>
      <c r="K936" s="6"/>
      <c r="L936" s="29"/>
      <c r="M936" s="6"/>
      <c r="N936" s="6"/>
    </row>
    <row r="937" customFormat="false" ht="15" hidden="false" customHeight="false" outlineLevel="0" collapsed="false">
      <c r="A937" s="6"/>
      <c r="B937" s="21"/>
      <c r="C937" s="28"/>
      <c r="D937" s="29"/>
      <c r="E937" s="21"/>
      <c r="F937" s="6"/>
      <c r="G937" s="6"/>
      <c r="H937" s="6"/>
      <c r="I937" s="6"/>
      <c r="J937" s="30"/>
      <c r="K937" s="6"/>
      <c r="L937" s="29"/>
      <c r="M937" s="6"/>
      <c r="N937" s="6"/>
    </row>
    <row r="938" customFormat="false" ht="15" hidden="false" customHeight="false" outlineLevel="0" collapsed="false">
      <c r="A938" s="6"/>
      <c r="B938" s="21"/>
      <c r="C938" s="28"/>
      <c r="D938" s="29"/>
      <c r="E938" s="21"/>
      <c r="F938" s="6"/>
      <c r="G938" s="6"/>
      <c r="H938" s="6"/>
      <c r="I938" s="6"/>
      <c r="J938" s="30"/>
      <c r="K938" s="6"/>
      <c r="L938" s="29"/>
      <c r="M938" s="6"/>
      <c r="N938" s="6"/>
    </row>
    <row r="939" customFormat="false" ht="15" hidden="false" customHeight="false" outlineLevel="0" collapsed="false">
      <c r="A939" s="6"/>
      <c r="B939" s="21"/>
      <c r="C939" s="28"/>
      <c r="D939" s="29"/>
      <c r="E939" s="21"/>
      <c r="F939" s="6"/>
      <c r="G939" s="6"/>
      <c r="H939" s="6"/>
      <c r="I939" s="6"/>
      <c r="J939" s="30"/>
      <c r="K939" s="6"/>
      <c r="L939" s="29"/>
      <c r="M939" s="6"/>
      <c r="N939" s="6"/>
    </row>
    <row r="940" customFormat="false" ht="15" hidden="false" customHeight="false" outlineLevel="0" collapsed="false">
      <c r="A940" s="6"/>
      <c r="B940" s="21"/>
      <c r="C940" s="28"/>
      <c r="D940" s="29"/>
      <c r="E940" s="21"/>
      <c r="F940" s="6"/>
      <c r="G940" s="6"/>
      <c r="H940" s="6"/>
      <c r="I940" s="6"/>
      <c r="J940" s="30"/>
      <c r="K940" s="6"/>
      <c r="L940" s="29"/>
      <c r="M940" s="6"/>
      <c r="N940" s="6"/>
    </row>
    <row r="941" customFormat="false" ht="15" hidden="false" customHeight="false" outlineLevel="0" collapsed="false">
      <c r="A941" s="6"/>
      <c r="B941" s="21"/>
      <c r="C941" s="28"/>
      <c r="D941" s="29"/>
      <c r="E941" s="21"/>
      <c r="F941" s="6"/>
      <c r="G941" s="6"/>
      <c r="H941" s="6"/>
      <c r="I941" s="6"/>
      <c r="J941" s="30"/>
      <c r="K941" s="6"/>
      <c r="L941" s="29"/>
      <c r="M941" s="6"/>
      <c r="N941" s="6"/>
    </row>
    <row r="942" customFormat="false" ht="15" hidden="false" customHeight="false" outlineLevel="0" collapsed="false">
      <c r="A942" s="6"/>
      <c r="B942" s="21"/>
      <c r="C942" s="28"/>
      <c r="D942" s="29"/>
      <c r="E942" s="21"/>
      <c r="F942" s="6"/>
      <c r="G942" s="6"/>
      <c r="H942" s="6"/>
      <c r="I942" s="6"/>
      <c r="J942" s="30"/>
      <c r="K942" s="6"/>
      <c r="L942" s="29"/>
      <c r="M942" s="6"/>
      <c r="N942" s="6"/>
    </row>
    <row r="943" customFormat="false" ht="15" hidden="false" customHeight="false" outlineLevel="0" collapsed="false">
      <c r="A943" s="6"/>
      <c r="B943" s="21"/>
      <c r="C943" s="28"/>
      <c r="D943" s="29"/>
      <c r="E943" s="21"/>
      <c r="F943" s="6"/>
      <c r="G943" s="6"/>
      <c r="H943" s="6"/>
      <c r="I943" s="6"/>
      <c r="J943" s="30"/>
      <c r="K943" s="6"/>
      <c r="L943" s="29"/>
      <c r="M943" s="6"/>
      <c r="N943" s="6"/>
    </row>
    <row r="944" customFormat="false" ht="15" hidden="false" customHeight="false" outlineLevel="0" collapsed="false">
      <c r="A944" s="6"/>
      <c r="B944" s="21"/>
      <c r="C944" s="28"/>
      <c r="D944" s="29"/>
      <c r="E944" s="21"/>
      <c r="F944" s="6"/>
      <c r="G944" s="6"/>
      <c r="H944" s="6"/>
      <c r="I944" s="6"/>
      <c r="J944" s="30"/>
      <c r="K944" s="6"/>
      <c r="L944" s="29"/>
      <c r="M944" s="6"/>
      <c r="N944" s="6"/>
    </row>
    <row r="945" customFormat="false" ht="15" hidden="false" customHeight="false" outlineLevel="0" collapsed="false">
      <c r="A945" s="6"/>
      <c r="B945" s="21"/>
      <c r="C945" s="28"/>
      <c r="D945" s="29"/>
      <c r="E945" s="21"/>
      <c r="F945" s="6"/>
      <c r="G945" s="6"/>
      <c r="H945" s="6"/>
      <c r="I945" s="6"/>
      <c r="J945" s="30"/>
      <c r="K945" s="6"/>
      <c r="L945" s="29"/>
      <c r="M945" s="6"/>
      <c r="N945" s="6"/>
    </row>
    <row r="946" customFormat="false" ht="15" hidden="false" customHeight="false" outlineLevel="0" collapsed="false">
      <c r="A946" s="6"/>
      <c r="B946" s="21"/>
      <c r="C946" s="28"/>
      <c r="D946" s="29"/>
      <c r="E946" s="21"/>
      <c r="F946" s="6"/>
      <c r="G946" s="6"/>
      <c r="H946" s="6"/>
      <c r="I946" s="6"/>
      <c r="J946" s="30"/>
      <c r="K946" s="6"/>
      <c r="L946" s="29"/>
      <c r="M946" s="6"/>
      <c r="N946" s="6"/>
    </row>
    <row r="947" customFormat="false" ht="15" hidden="false" customHeight="false" outlineLevel="0" collapsed="false">
      <c r="A947" s="6"/>
      <c r="B947" s="21"/>
      <c r="C947" s="28"/>
      <c r="D947" s="29"/>
      <c r="E947" s="21"/>
      <c r="F947" s="6"/>
      <c r="G947" s="6"/>
      <c r="H947" s="6"/>
      <c r="I947" s="6"/>
      <c r="J947" s="30"/>
      <c r="K947" s="6"/>
      <c r="L947" s="29"/>
      <c r="M947" s="6"/>
      <c r="N947" s="6"/>
    </row>
    <row r="948" customFormat="false" ht="15" hidden="false" customHeight="false" outlineLevel="0" collapsed="false">
      <c r="A948" s="6"/>
      <c r="B948" s="21"/>
      <c r="C948" s="28"/>
      <c r="D948" s="29"/>
      <c r="E948" s="21"/>
      <c r="F948" s="6"/>
      <c r="G948" s="6"/>
      <c r="H948" s="6"/>
      <c r="I948" s="6"/>
      <c r="J948" s="30"/>
      <c r="K948" s="6"/>
      <c r="L948" s="29"/>
      <c r="M948" s="6"/>
      <c r="N948" s="6"/>
    </row>
    <row r="949" customFormat="false" ht="15" hidden="false" customHeight="false" outlineLevel="0" collapsed="false">
      <c r="A949" s="6"/>
      <c r="B949" s="21"/>
      <c r="C949" s="28"/>
      <c r="D949" s="29"/>
      <c r="E949" s="21"/>
      <c r="F949" s="6"/>
      <c r="G949" s="6"/>
      <c r="H949" s="6"/>
      <c r="I949" s="6"/>
      <c r="J949" s="30"/>
      <c r="K949" s="6"/>
      <c r="L949" s="29"/>
      <c r="M949" s="6"/>
      <c r="N949" s="6"/>
    </row>
    <row r="950" customFormat="false" ht="15" hidden="false" customHeight="false" outlineLevel="0" collapsed="false">
      <c r="A950" s="6"/>
      <c r="B950" s="21"/>
      <c r="C950" s="28"/>
      <c r="D950" s="29"/>
      <c r="E950" s="21"/>
      <c r="F950" s="6"/>
      <c r="G950" s="6"/>
      <c r="H950" s="6"/>
      <c r="I950" s="6"/>
      <c r="J950" s="30"/>
      <c r="K950" s="6"/>
      <c r="L950" s="29"/>
      <c r="M950" s="6"/>
      <c r="N950" s="6"/>
    </row>
    <row r="951" customFormat="false" ht="15" hidden="false" customHeight="false" outlineLevel="0" collapsed="false">
      <c r="A951" s="6"/>
      <c r="B951" s="21"/>
      <c r="C951" s="28"/>
      <c r="D951" s="29"/>
      <c r="E951" s="21"/>
      <c r="F951" s="6"/>
      <c r="G951" s="6"/>
      <c r="H951" s="6"/>
      <c r="I951" s="6"/>
      <c r="J951" s="30"/>
      <c r="K951" s="6"/>
      <c r="L951" s="29"/>
      <c r="M951" s="6"/>
      <c r="N951" s="6"/>
    </row>
    <row r="952" customFormat="false" ht="15" hidden="false" customHeight="false" outlineLevel="0" collapsed="false">
      <c r="A952" s="6"/>
      <c r="B952" s="21"/>
      <c r="C952" s="28"/>
      <c r="D952" s="29"/>
      <c r="E952" s="21"/>
      <c r="F952" s="6"/>
      <c r="G952" s="6"/>
      <c r="H952" s="6"/>
      <c r="I952" s="6"/>
      <c r="J952" s="30"/>
      <c r="K952" s="6"/>
      <c r="L952" s="29"/>
      <c r="M952" s="6"/>
      <c r="N952" s="6"/>
    </row>
    <row r="953" customFormat="false" ht="15" hidden="false" customHeight="false" outlineLevel="0" collapsed="false">
      <c r="A953" s="6"/>
      <c r="B953" s="21"/>
      <c r="C953" s="28"/>
      <c r="D953" s="29"/>
      <c r="E953" s="21"/>
      <c r="F953" s="6"/>
      <c r="G953" s="6"/>
      <c r="H953" s="6"/>
      <c r="I953" s="6"/>
      <c r="J953" s="30"/>
      <c r="K953" s="6"/>
      <c r="L953" s="29"/>
      <c r="M953" s="6"/>
      <c r="N953" s="6"/>
    </row>
    <row r="954" customFormat="false" ht="15" hidden="false" customHeight="false" outlineLevel="0" collapsed="false">
      <c r="A954" s="6"/>
      <c r="B954" s="21"/>
      <c r="C954" s="28"/>
      <c r="D954" s="29"/>
      <c r="E954" s="21"/>
      <c r="F954" s="6"/>
      <c r="G954" s="6"/>
      <c r="H954" s="6"/>
      <c r="I954" s="6"/>
      <c r="J954" s="30"/>
      <c r="K954" s="6"/>
      <c r="L954" s="29"/>
      <c r="M954" s="6"/>
      <c r="N954" s="6"/>
    </row>
    <row r="955" customFormat="false" ht="15" hidden="false" customHeight="false" outlineLevel="0" collapsed="false">
      <c r="A955" s="6"/>
      <c r="B955" s="21"/>
      <c r="C955" s="28"/>
      <c r="D955" s="29"/>
      <c r="E955" s="21"/>
      <c r="F955" s="6"/>
      <c r="G955" s="6"/>
      <c r="H955" s="6"/>
      <c r="I955" s="6"/>
      <c r="J955" s="30"/>
      <c r="K955" s="6"/>
      <c r="L955" s="29"/>
      <c r="M955" s="6"/>
      <c r="N955" s="6"/>
    </row>
    <row r="956" customFormat="false" ht="15" hidden="false" customHeight="false" outlineLevel="0" collapsed="false">
      <c r="A956" s="6"/>
      <c r="B956" s="21"/>
      <c r="C956" s="28"/>
      <c r="D956" s="29"/>
      <c r="E956" s="21"/>
      <c r="F956" s="6"/>
      <c r="G956" s="6"/>
      <c r="H956" s="6"/>
      <c r="I956" s="6"/>
      <c r="J956" s="30"/>
      <c r="K956" s="6"/>
      <c r="L956" s="29"/>
      <c r="M956" s="6"/>
      <c r="N956" s="6"/>
    </row>
    <row r="957" customFormat="false" ht="15" hidden="false" customHeight="false" outlineLevel="0" collapsed="false">
      <c r="A957" s="6"/>
      <c r="B957" s="21"/>
      <c r="C957" s="28"/>
      <c r="D957" s="29"/>
      <c r="E957" s="21"/>
      <c r="F957" s="6"/>
      <c r="G957" s="6"/>
      <c r="H957" s="6"/>
      <c r="I957" s="6"/>
      <c r="J957" s="30"/>
      <c r="K957" s="6"/>
      <c r="L957" s="29"/>
      <c r="M957" s="6"/>
      <c r="N957" s="6"/>
    </row>
    <row r="958" customFormat="false" ht="15" hidden="false" customHeight="false" outlineLevel="0" collapsed="false">
      <c r="A958" s="6"/>
      <c r="B958" s="21"/>
      <c r="C958" s="28"/>
      <c r="D958" s="29"/>
      <c r="E958" s="21"/>
      <c r="F958" s="6"/>
      <c r="G958" s="6"/>
      <c r="H958" s="6"/>
      <c r="I958" s="6"/>
      <c r="J958" s="30"/>
      <c r="K958" s="6"/>
      <c r="L958" s="29"/>
      <c r="M958" s="6"/>
      <c r="N958" s="6"/>
    </row>
    <row r="959" customFormat="false" ht="15" hidden="false" customHeight="false" outlineLevel="0" collapsed="false">
      <c r="A959" s="6"/>
      <c r="B959" s="21"/>
      <c r="C959" s="28"/>
      <c r="D959" s="29"/>
      <c r="E959" s="21"/>
      <c r="F959" s="6"/>
      <c r="G959" s="6"/>
      <c r="H959" s="6"/>
      <c r="I959" s="6"/>
      <c r="J959" s="30"/>
      <c r="K959" s="6"/>
      <c r="L959" s="29"/>
      <c r="M959" s="6"/>
      <c r="N959" s="6"/>
    </row>
    <row r="960" customFormat="false" ht="15" hidden="false" customHeight="false" outlineLevel="0" collapsed="false">
      <c r="A960" s="6"/>
      <c r="B960" s="21"/>
      <c r="C960" s="28"/>
      <c r="D960" s="29"/>
      <c r="E960" s="21"/>
      <c r="F960" s="6"/>
      <c r="G960" s="6"/>
      <c r="H960" s="6"/>
      <c r="I960" s="6"/>
      <c r="J960" s="30"/>
      <c r="K960" s="6"/>
      <c r="L960" s="29"/>
      <c r="M960" s="6"/>
      <c r="N960" s="6"/>
    </row>
    <row r="961" customFormat="false" ht="15" hidden="false" customHeight="false" outlineLevel="0" collapsed="false">
      <c r="A961" s="6"/>
      <c r="B961" s="21"/>
      <c r="C961" s="28"/>
      <c r="D961" s="29"/>
      <c r="E961" s="21"/>
      <c r="F961" s="6"/>
      <c r="G961" s="6"/>
      <c r="H961" s="6"/>
      <c r="I961" s="6"/>
      <c r="J961" s="30"/>
      <c r="K961" s="6"/>
      <c r="L961" s="29"/>
      <c r="M961" s="6"/>
      <c r="N961" s="6"/>
    </row>
    <row r="962" customFormat="false" ht="15" hidden="false" customHeight="false" outlineLevel="0" collapsed="false">
      <c r="A962" s="6"/>
      <c r="B962" s="21"/>
      <c r="C962" s="28"/>
      <c r="D962" s="29"/>
      <c r="E962" s="21"/>
      <c r="F962" s="6"/>
      <c r="G962" s="6"/>
      <c r="H962" s="6"/>
      <c r="I962" s="6"/>
      <c r="J962" s="30"/>
      <c r="K962" s="6"/>
      <c r="L962" s="29"/>
      <c r="M962" s="6"/>
      <c r="N962" s="6"/>
    </row>
    <row r="963" customFormat="false" ht="15" hidden="false" customHeight="false" outlineLevel="0" collapsed="false">
      <c r="A963" s="6"/>
      <c r="B963" s="21"/>
      <c r="C963" s="28"/>
      <c r="D963" s="29"/>
      <c r="E963" s="21"/>
      <c r="F963" s="6"/>
      <c r="G963" s="6"/>
      <c r="H963" s="6"/>
      <c r="I963" s="6"/>
      <c r="J963" s="30"/>
      <c r="K963" s="6"/>
      <c r="L963" s="29"/>
      <c r="M963" s="6"/>
      <c r="N963" s="6"/>
    </row>
    <row r="964" customFormat="false" ht="15" hidden="false" customHeight="false" outlineLevel="0" collapsed="false">
      <c r="A964" s="6"/>
      <c r="B964" s="21"/>
      <c r="C964" s="28"/>
      <c r="D964" s="29"/>
      <c r="E964" s="21"/>
      <c r="F964" s="6"/>
      <c r="G964" s="6"/>
      <c r="H964" s="6"/>
      <c r="I964" s="6"/>
      <c r="J964" s="30"/>
      <c r="K964" s="6"/>
      <c r="L964" s="29"/>
      <c r="M964" s="6"/>
      <c r="N964" s="6"/>
    </row>
    <row r="965" customFormat="false" ht="15" hidden="false" customHeight="false" outlineLevel="0" collapsed="false">
      <c r="A965" s="6"/>
      <c r="B965" s="21"/>
      <c r="C965" s="28"/>
      <c r="D965" s="29"/>
      <c r="E965" s="21"/>
      <c r="F965" s="6"/>
      <c r="G965" s="6"/>
      <c r="H965" s="6"/>
      <c r="I965" s="6"/>
      <c r="J965" s="30"/>
      <c r="K965" s="6"/>
      <c r="L965" s="29"/>
      <c r="M965" s="6"/>
      <c r="N965" s="6"/>
    </row>
    <row r="966" customFormat="false" ht="15" hidden="false" customHeight="false" outlineLevel="0" collapsed="false">
      <c r="A966" s="6"/>
      <c r="B966" s="21"/>
      <c r="C966" s="28"/>
      <c r="D966" s="29"/>
      <c r="E966" s="21"/>
      <c r="F966" s="6"/>
      <c r="G966" s="6"/>
      <c r="H966" s="6"/>
      <c r="I966" s="6"/>
      <c r="J966" s="30"/>
      <c r="K966" s="6"/>
      <c r="L966" s="29"/>
      <c r="M966" s="6"/>
      <c r="N966" s="6"/>
    </row>
    <row r="967" customFormat="false" ht="15" hidden="false" customHeight="false" outlineLevel="0" collapsed="false">
      <c r="A967" s="6"/>
      <c r="B967" s="21"/>
      <c r="C967" s="28"/>
      <c r="D967" s="29"/>
      <c r="E967" s="21"/>
      <c r="F967" s="6"/>
      <c r="G967" s="6"/>
      <c r="H967" s="6"/>
      <c r="I967" s="6"/>
      <c r="J967" s="30"/>
      <c r="K967" s="6"/>
      <c r="L967" s="29"/>
      <c r="M967" s="6"/>
      <c r="N967" s="6"/>
    </row>
    <row r="968" customFormat="false" ht="15" hidden="false" customHeight="false" outlineLevel="0" collapsed="false">
      <c r="A968" s="6"/>
      <c r="B968" s="21"/>
      <c r="C968" s="28"/>
      <c r="D968" s="29"/>
      <c r="E968" s="21"/>
      <c r="F968" s="6"/>
      <c r="G968" s="6"/>
      <c r="H968" s="6"/>
      <c r="I968" s="6"/>
      <c r="J968" s="30"/>
      <c r="K968" s="6"/>
      <c r="L968" s="29"/>
      <c r="M968" s="6"/>
      <c r="N968" s="6"/>
    </row>
    <row r="969" customFormat="false" ht="15" hidden="false" customHeight="false" outlineLevel="0" collapsed="false">
      <c r="A969" s="6"/>
      <c r="B969" s="21"/>
      <c r="C969" s="28"/>
      <c r="D969" s="29"/>
      <c r="E969" s="21"/>
      <c r="F969" s="6"/>
      <c r="G969" s="6"/>
      <c r="H969" s="6"/>
      <c r="I969" s="6"/>
      <c r="J969" s="30"/>
      <c r="K969" s="6"/>
      <c r="L969" s="29"/>
      <c r="M969" s="6"/>
      <c r="N969" s="6"/>
    </row>
    <row r="970" customFormat="false" ht="15" hidden="false" customHeight="false" outlineLevel="0" collapsed="false">
      <c r="A970" s="6"/>
      <c r="B970" s="21"/>
      <c r="C970" s="28"/>
      <c r="D970" s="29"/>
      <c r="E970" s="21"/>
      <c r="F970" s="6"/>
      <c r="G970" s="6"/>
      <c r="H970" s="6"/>
      <c r="I970" s="6"/>
      <c r="J970" s="30"/>
      <c r="K970" s="6"/>
      <c r="L970" s="29"/>
      <c r="M970" s="6"/>
      <c r="N970" s="6"/>
    </row>
    <row r="971" customFormat="false" ht="15" hidden="false" customHeight="false" outlineLevel="0" collapsed="false">
      <c r="A971" s="6"/>
      <c r="B971" s="21"/>
      <c r="C971" s="28"/>
      <c r="D971" s="29"/>
      <c r="E971" s="21"/>
      <c r="F971" s="6"/>
      <c r="G971" s="6"/>
      <c r="H971" s="6"/>
      <c r="I971" s="6"/>
      <c r="J971" s="30"/>
      <c r="K971" s="6"/>
      <c r="L971" s="29"/>
      <c r="M971" s="6"/>
      <c r="N971" s="6"/>
    </row>
    <row r="972" customFormat="false" ht="15" hidden="false" customHeight="false" outlineLevel="0" collapsed="false">
      <c r="A972" s="6"/>
      <c r="B972" s="21"/>
      <c r="C972" s="28"/>
      <c r="D972" s="29"/>
      <c r="E972" s="21"/>
      <c r="F972" s="6"/>
      <c r="G972" s="6"/>
      <c r="H972" s="6"/>
      <c r="I972" s="6"/>
      <c r="J972" s="30"/>
      <c r="K972" s="6"/>
      <c r="L972" s="29"/>
      <c r="M972" s="6"/>
      <c r="N972" s="6"/>
    </row>
    <row r="973" customFormat="false" ht="15" hidden="false" customHeight="false" outlineLevel="0" collapsed="false">
      <c r="A973" s="6"/>
      <c r="B973" s="21"/>
      <c r="C973" s="28"/>
      <c r="D973" s="29"/>
      <c r="E973" s="21"/>
      <c r="F973" s="6"/>
      <c r="G973" s="6"/>
      <c r="H973" s="6"/>
      <c r="I973" s="6"/>
      <c r="J973" s="30"/>
      <c r="K973" s="6"/>
      <c r="L973" s="29"/>
      <c r="M973" s="6"/>
      <c r="N973" s="6"/>
    </row>
    <row r="974" customFormat="false" ht="15" hidden="false" customHeight="false" outlineLevel="0" collapsed="false">
      <c r="A974" s="6"/>
      <c r="B974" s="21"/>
      <c r="C974" s="28"/>
      <c r="D974" s="29"/>
      <c r="E974" s="21"/>
      <c r="F974" s="6"/>
      <c r="G974" s="6"/>
      <c r="H974" s="6"/>
      <c r="I974" s="6"/>
      <c r="J974" s="30"/>
      <c r="K974" s="6"/>
      <c r="L974" s="29"/>
      <c r="M974" s="6"/>
      <c r="N974" s="6"/>
    </row>
    <row r="975" customFormat="false" ht="15" hidden="false" customHeight="false" outlineLevel="0" collapsed="false">
      <c r="A975" s="6"/>
      <c r="B975" s="21"/>
      <c r="C975" s="28"/>
      <c r="D975" s="29"/>
      <c r="E975" s="21"/>
      <c r="F975" s="6"/>
      <c r="G975" s="6"/>
      <c r="H975" s="6"/>
      <c r="I975" s="6"/>
      <c r="J975" s="30"/>
      <c r="K975" s="6"/>
      <c r="L975" s="29"/>
      <c r="M975" s="6"/>
      <c r="N975" s="6"/>
    </row>
    <row r="976" customFormat="false" ht="15" hidden="false" customHeight="false" outlineLevel="0" collapsed="false">
      <c r="A976" s="6"/>
      <c r="B976" s="21"/>
      <c r="C976" s="28"/>
      <c r="D976" s="29"/>
      <c r="E976" s="21"/>
      <c r="F976" s="6"/>
      <c r="G976" s="6"/>
      <c r="H976" s="6"/>
      <c r="I976" s="6"/>
      <c r="J976" s="30"/>
      <c r="K976" s="6"/>
      <c r="L976" s="29"/>
      <c r="M976" s="6"/>
      <c r="N976" s="6"/>
    </row>
    <row r="977" customFormat="false" ht="15" hidden="false" customHeight="false" outlineLevel="0" collapsed="false">
      <c r="A977" s="6"/>
      <c r="B977" s="21"/>
      <c r="C977" s="28"/>
      <c r="D977" s="29"/>
      <c r="E977" s="21"/>
      <c r="F977" s="6"/>
      <c r="G977" s="6"/>
      <c r="H977" s="6"/>
      <c r="I977" s="6"/>
      <c r="J977" s="30"/>
      <c r="K977" s="6"/>
      <c r="L977" s="29"/>
      <c r="M977" s="6"/>
      <c r="N977" s="6"/>
    </row>
    <row r="978" customFormat="false" ht="15" hidden="false" customHeight="false" outlineLevel="0" collapsed="false">
      <c r="A978" s="6"/>
      <c r="B978" s="21"/>
      <c r="C978" s="28"/>
      <c r="D978" s="29"/>
      <c r="E978" s="21"/>
      <c r="F978" s="6"/>
      <c r="G978" s="6"/>
      <c r="H978" s="6"/>
      <c r="I978" s="6"/>
      <c r="J978" s="30"/>
      <c r="K978" s="6"/>
      <c r="L978" s="29"/>
      <c r="M978" s="6"/>
      <c r="N978" s="6"/>
    </row>
    <row r="979" customFormat="false" ht="15" hidden="false" customHeight="false" outlineLevel="0" collapsed="false">
      <c r="A979" s="6"/>
      <c r="B979" s="21"/>
      <c r="C979" s="28"/>
      <c r="D979" s="29"/>
      <c r="E979" s="21"/>
      <c r="F979" s="6"/>
      <c r="G979" s="6"/>
      <c r="H979" s="6"/>
      <c r="I979" s="6"/>
      <c r="J979" s="30"/>
      <c r="K979" s="6"/>
      <c r="L979" s="29"/>
      <c r="M979" s="6"/>
      <c r="N979" s="6"/>
    </row>
    <row r="980" customFormat="false" ht="15" hidden="false" customHeight="false" outlineLevel="0" collapsed="false">
      <c r="A980" s="6"/>
      <c r="B980" s="21"/>
      <c r="C980" s="28"/>
      <c r="D980" s="29"/>
      <c r="E980" s="21"/>
      <c r="F980" s="6"/>
      <c r="G980" s="6"/>
      <c r="H980" s="6"/>
      <c r="I980" s="6"/>
      <c r="J980" s="30"/>
      <c r="K980" s="6"/>
      <c r="L980" s="29"/>
      <c r="M980" s="6"/>
      <c r="N980" s="6"/>
    </row>
    <row r="981" customFormat="false" ht="15" hidden="false" customHeight="false" outlineLevel="0" collapsed="false">
      <c r="A981" s="6"/>
      <c r="B981" s="21"/>
      <c r="C981" s="28"/>
      <c r="D981" s="29"/>
      <c r="E981" s="21"/>
      <c r="F981" s="6"/>
      <c r="G981" s="6"/>
      <c r="H981" s="6"/>
      <c r="I981" s="6"/>
      <c r="J981" s="30"/>
      <c r="K981" s="6"/>
      <c r="L981" s="29"/>
      <c r="M981" s="6"/>
      <c r="N981" s="6"/>
    </row>
    <row r="982" customFormat="false" ht="15" hidden="false" customHeight="false" outlineLevel="0" collapsed="false">
      <c r="A982" s="6"/>
      <c r="B982" s="21"/>
      <c r="C982" s="28"/>
      <c r="D982" s="29"/>
      <c r="E982" s="21"/>
      <c r="F982" s="6"/>
      <c r="G982" s="6"/>
      <c r="H982" s="6"/>
      <c r="I982" s="6"/>
      <c r="J982" s="30"/>
      <c r="K982" s="6"/>
      <c r="L982" s="29"/>
      <c r="M982" s="6"/>
      <c r="N982" s="6"/>
    </row>
    <row r="983" customFormat="false" ht="15" hidden="false" customHeight="false" outlineLevel="0" collapsed="false">
      <c r="A983" s="6"/>
      <c r="B983" s="21"/>
      <c r="C983" s="28"/>
      <c r="D983" s="29"/>
      <c r="E983" s="21"/>
      <c r="F983" s="6"/>
      <c r="G983" s="6"/>
      <c r="H983" s="6"/>
      <c r="I983" s="6"/>
      <c r="J983" s="30"/>
      <c r="K983" s="6"/>
      <c r="L983" s="29"/>
      <c r="M983" s="6"/>
      <c r="N983" s="6"/>
    </row>
    <row r="984" customFormat="false" ht="15" hidden="false" customHeight="false" outlineLevel="0" collapsed="false">
      <c r="A984" s="6"/>
      <c r="B984" s="21"/>
      <c r="C984" s="28"/>
      <c r="D984" s="29"/>
      <c r="E984" s="21"/>
      <c r="F984" s="6"/>
      <c r="G984" s="6"/>
      <c r="H984" s="6"/>
      <c r="I984" s="6"/>
      <c r="J984" s="30"/>
      <c r="K984" s="6"/>
      <c r="L984" s="29"/>
      <c r="M984" s="6"/>
      <c r="N984" s="6"/>
    </row>
    <row r="985" customFormat="false" ht="15" hidden="false" customHeight="false" outlineLevel="0" collapsed="false">
      <c r="A985" s="6"/>
      <c r="B985" s="21"/>
      <c r="C985" s="28"/>
      <c r="D985" s="29"/>
      <c r="E985" s="21"/>
      <c r="F985" s="6"/>
      <c r="G985" s="6"/>
      <c r="H985" s="6"/>
      <c r="I985" s="6"/>
      <c r="J985" s="30"/>
      <c r="K985" s="6"/>
      <c r="L985" s="29"/>
      <c r="M985" s="6"/>
      <c r="N985" s="6"/>
    </row>
    <row r="986" customFormat="false" ht="15" hidden="false" customHeight="false" outlineLevel="0" collapsed="false">
      <c r="A986" s="6"/>
      <c r="B986" s="21"/>
      <c r="C986" s="28"/>
      <c r="D986" s="29"/>
      <c r="E986" s="21"/>
      <c r="F986" s="6"/>
      <c r="G986" s="6"/>
      <c r="H986" s="6"/>
      <c r="I986" s="6"/>
      <c r="J986" s="30"/>
      <c r="K986" s="6"/>
      <c r="L986" s="29"/>
      <c r="M986" s="6"/>
      <c r="N986" s="6"/>
    </row>
    <row r="987" customFormat="false" ht="15" hidden="false" customHeight="false" outlineLevel="0" collapsed="false">
      <c r="A987" s="6"/>
      <c r="B987" s="21"/>
      <c r="C987" s="28"/>
      <c r="D987" s="29"/>
      <c r="E987" s="21"/>
      <c r="F987" s="6"/>
      <c r="G987" s="6"/>
      <c r="H987" s="6"/>
      <c r="I987" s="6"/>
      <c r="J987" s="30"/>
      <c r="K987" s="6"/>
      <c r="L987" s="29"/>
      <c r="M987" s="6"/>
      <c r="N987" s="6"/>
    </row>
    <row r="988" customFormat="false" ht="15" hidden="false" customHeight="false" outlineLevel="0" collapsed="false">
      <c r="A988" s="6"/>
      <c r="B988" s="21"/>
      <c r="C988" s="28"/>
      <c r="D988" s="29"/>
      <c r="E988" s="21"/>
      <c r="F988" s="6"/>
      <c r="G988" s="6"/>
      <c r="H988" s="6"/>
      <c r="I988" s="6"/>
      <c r="J988" s="30"/>
      <c r="K988" s="6"/>
      <c r="L988" s="29"/>
      <c r="M988" s="6"/>
      <c r="N988" s="6"/>
    </row>
    <row r="989" customFormat="false" ht="15" hidden="false" customHeight="false" outlineLevel="0" collapsed="false">
      <c r="A989" s="6"/>
      <c r="B989" s="21"/>
      <c r="C989" s="28"/>
      <c r="D989" s="29"/>
      <c r="E989" s="21"/>
      <c r="F989" s="6"/>
      <c r="G989" s="6"/>
      <c r="H989" s="6"/>
      <c r="I989" s="6"/>
      <c r="J989" s="30"/>
      <c r="K989" s="6"/>
      <c r="L989" s="29"/>
      <c r="M989" s="6"/>
      <c r="N989" s="6"/>
    </row>
    <row r="990" customFormat="false" ht="15" hidden="false" customHeight="false" outlineLevel="0" collapsed="false">
      <c r="A990" s="6"/>
      <c r="B990" s="21"/>
      <c r="C990" s="28"/>
      <c r="D990" s="29"/>
      <c r="E990" s="21"/>
      <c r="F990" s="6"/>
      <c r="G990" s="6"/>
      <c r="H990" s="6"/>
      <c r="I990" s="6"/>
      <c r="J990" s="30"/>
      <c r="K990" s="6"/>
      <c r="L990" s="29"/>
      <c r="M990" s="6"/>
      <c r="N990" s="6"/>
    </row>
    <row r="991" customFormat="false" ht="15" hidden="false" customHeight="false" outlineLevel="0" collapsed="false">
      <c r="A991" s="6"/>
      <c r="B991" s="21"/>
      <c r="C991" s="28"/>
      <c r="D991" s="29"/>
      <c r="E991" s="21"/>
      <c r="F991" s="6"/>
      <c r="G991" s="6"/>
      <c r="H991" s="6"/>
      <c r="I991" s="6"/>
      <c r="J991" s="30"/>
      <c r="K991" s="6"/>
      <c r="L991" s="29"/>
      <c r="M991" s="6"/>
      <c r="N991" s="6"/>
    </row>
    <row r="992" customFormat="false" ht="15" hidden="false" customHeight="false" outlineLevel="0" collapsed="false">
      <c r="A992" s="6"/>
      <c r="B992" s="21"/>
      <c r="C992" s="28"/>
      <c r="D992" s="29"/>
      <c r="E992" s="21"/>
      <c r="F992" s="6"/>
      <c r="G992" s="6"/>
      <c r="H992" s="6"/>
      <c r="I992" s="6"/>
      <c r="J992" s="30"/>
      <c r="K992" s="6"/>
      <c r="L992" s="29"/>
      <c r="M992" s="6"/>
      <c r="N992" s="6"/>
    </row>
    <row r="993" customFormat="false" ht="15" hidden="false" customHeight="false" outlineLevel="0" collapsed="false">
      <c r="A993" s="6"/>
      <c r="B993" s="21"/>
      <c r="C993" s="28"/>
      <c r="D993" s="29"/>
      <c r="E993" s="21"/>
      <c r="F993" s="6"/>
      <c r="G993" s="6"/>
      <c r="H993" s="6"/>
      <c r="I993" s="6"/>
      <c r="J993" s="30"/>
      <c r="K993" s="6"/>
      <c r="L993" s="29"/>
      <c r="M993" s="6"/>
      <c r="N993" s="6"/>
    </row>
    <row r="994" customFormat="false" ht="15" hidden="false" customHeight="false" outlineLevel="0" collapsed="false">
      <c r="A994" s="6"/>
      <c r="B994" s="21"/>
      <c r="C994" s="28"/>
      <c r="D994" s="29"/>
      <c r="E994" s="21"/>
      <c r="F994" s="6"/>
      <c r="G994" s="6"/>
      <c r="H994" s="6"/>
      <c r="I994" s="6"/>
      <c r="J994" s="30"/>
      <c r="K994" s="6"/>
      <c r="L994" s="29"/>
      <c r="M994" s="6"/>
      <c r="N994" s="6"/>
    </row>
    <row r="995" customFormat="false" ht="15" hidden="false" customHeight="false" outlineLevel="0" collapsed="false">
      <c r="A995" s="6"/>
      <c r="B995" s="21"/>
      <c r="C995" s="28"/>
      <c r="D995" s="29"/>
      <c r="E995" s="21"/>
      <c r="F995" s="6"/>
      <c r="G995" s="6"/>
      <c r="H995" s="6"/>
      <c r="I995" s="6"/>
      <c r="J995" s="30"/>
      <c r="K995" s="6"/>
      <c r="L995" s="29"/>
      <c r="M995" s="6"/>
      <c r="N995" s="6"/>
    </row>
    <row r="996" customFormat="false" ht="15" hidden="false" customHeight="false" outlineLevel="0" collapsed="false">
      <c r="A996" s="6"/>
      <c r="B996" s="21"/>
      <c r="C996" s="28"/>
      <c r="D996" s="29"/>
      <c r="E996" s="21"/>
      <c r="F996" s="6"/>
      <c r="G996" s="6"/>
      <c r="H996" s="6"/>
      <c r="I996" s="6"/>
      <c r="J996" s="30"/>
      <c r="K996" s="6"/>
      <c r="L996" s="29"/>
      <c r="M996" s="6"/>
      <c r="N996" s="6"/>
    </row>
    <row r="997" customFormat="false" ht="15" hidden="false" customHeight="false" outlineLevel="0" collapsed="false">
      <c r="A997" s="6"/>
      <c r="B997" s="21"/>
      <c r="C997" s="28"/>
      <c r="D997" s="29"/>
      <c r="E997" s="21"/>
      <c r="F997" s="6"/>
      <c r="G997" s="6"/>
      <c r="H997" s="6"/>
      <c r="I997" s="6"/>
      <c r="J997" s="30"/>
      <c r="K997" s="6"/>
      <c r="L997" s="29"/>
      <c r="M997" s="6"/>
      <c r="N997" s="6"/>
    </row>
    <row r="998" customFormat="false" ht="15" hidden="false" customHeight="false" outlineLevel="0" collapsed="false">
      <c r="A998" s="6"/>
      <c r="B998" s="21"/>
      <c r="C998" s="28"/>
      <c r="D998" s="29"/>
      <c r="E998" s="21"/>
      <c r="F998" s="6"/>
      <c r="G998" s="6"/>
      <c r="H998" s="6"/>
      <c r="I998" s="6"/>
      <c r="J998" s="30"/>
      <c r="K998" s="6"/>
      <c r="L998" s="29"/>
      <c r="M998" s="6"/>
      <c r="N998" s="6"/>
    </row>
    <row r="999" customFormat="false" ht="15" hidden="false" customHeight="false" outlineLevel="0" collapsed="false">
      <c r="A999" s="6"/>
      <c r="B999" s="21"/>
      <c r="C999" s="28"/>
      <c r="D999" s="29"/>
      <c r="E999" s="21"/>
      <c r="F999" s="6"/>
      <c r="G999" s="6"/>
      <c r="H999" s="6"/>
      <c r="I999" s="6"/>
      <c r="J999" s="30"/>
      <c r="K999" s="6"/>
      <c r="L999" s="29"/>
      <c r="M999" s="6"/>
      <c r="N999" s="6"/>
    </row>
    <row r="1000" customFormat="false" ht="15" hidden="false" customHeight="false" outlineLevel="0" collapsed="false">
      <c r="A1000" s="6"/>
      <c r="B1000" s="21"/>
      <c r="C1000" s="28"/>
      <c r="D1000" s="29"/>
      <c r="E1000" s="21"/>
      <c r="F1000" s="6"/>
      <c r="G1000" s="6"/>
      <c r="H1000" s="6"/>
      <c r="I1000" s="6"/>
      <c r="J1000" s="30"/>
      <c r="K1000" s="6"/>
      <c r="L1000" s="29"/>
      <c r="M1000" s="6"/>
      <c r="N1000" s="6"/>
    </row>
    <row r="1001" customFormat="false" ht="15" hidden="false" customHeight="false" outlineLevel="0" collapsed="false">
      <c r="A1001" s="6"/>
      <c r="B1001" s="21"/>
      <c r="C1001" s="28"/>
      <c r="D1001" s="29"/>
      <c r="E1001" s="21"/>
      <c r="F1001" s="6"/>
      <c r="G1001" s="6"/>
      <c r="H1001" s="6"/>
      <c r="I1001" s="6"/>
      <c r="J1001" s="30"/>
      <c r="K1001" s="6"/>
      <c r="L1001" s="29"/>
      <c r="M1001" s="6"/>
      <c r="N1001" s="6"/>
    </row>
    <row r="1002" customFormat="false" ht="15" hidden="false" customHeight="false" outlineLevel="0" collapsed="false">
      <c r="A1002" s="6"/>
      <c r="B1002" s="21"/>
      <c r="C1002" s="28"/>
      <c r="D1002" s="29"/>
      <c r="E1002" s="21"/>
      <c r="F1002" s="6"/>
      <c r="G1002" s="6"/>
      <c r="H1002" s="6"/>
      <c r="I1002" s="6"/>
      <c r="J1002" s="30"/>
      <c r="K1002" s="6"/>
      <c r="L1002" s="29"/>
      <c r="M1002" s="6"/>
      <c r="N1002" s="6"/>
    </row>
    <row r="1003" customFormat="false" ht="15" hidden="false" customHeight="false" outlineLevel="0" collapsed="false">
      <c r="A1003" s="6"/>
      <c r="B1003" s="21"/>
      <c r="C1003" s="28"/>
      <c r="D1003" s="29"/>
      <c r="E1003" s="21"/>
      <c r="F1003" s="6"/>
      <c r="G1003" s="6"/>
      <c r="H1003" s="6"/>
      <c r="I1003" s="6"/>
      <c r="J1003" s="30"/>
      <c r="K1003" s="6"/>
      <c r="L1003" s="29"/>
      <c r="M1003" s="6"/>
      <c r="N1003" s="6"/>
    </row>
    <row r="1004" customFormat="false" ht="15" hidden="false" customHeight="false" outlineLevel="0" collapsed="false">
      <c r="A1004" s="6"/>
      <c r="B1004" s="21"/>
      <c r="C1004" s="28"/>
      <c r="D1004" s="29"/>
      <c r="E1004" s="21"/>
      <c r="F1004" s="6"/>
      <c r="G1004" s="6"/>
      <c r="H1004" s="6"/>
      <c r="I1004" s="6"/>
      <c r="J1004" s="30"/>
      <c r="K1004" s="6"/>
      <c r="L1004" s="29"/>
      <c r="M1004" s="6"/>
      <c r="N1004" s="6"/>
    </row>
    <row r="1005" customFormat="false" ht="15" hidden="false" customHeight="false" outlineLevel="0" collapsed="false">
      <c r="A1005" s="6"/>
      <c r="B1005" s="21"/>
      <c r="C1005" s="28"/>
      <c r="D1005" s="29"/>
      <c r="E1005" s="21"/>
      <c r="F1005" s="6"/>
      <c r="G1005" s="6"/>
      <c r="H1005" s="6"/>
      <c r="I1005" s="6"/>
      <c r="J1005" s="30"/>
      <c r="K1005" s="6"/>
      <c r="L1005" s="29"/>
      <c r="M1005" s="6"/>
      <c r="N1005" s="6"/>
    </row>
    <row r="1006" customFormat="false" ht="15" hidden="false" customHeight="false" outlineLevel="0" collapsed="false">
      <c r="A1006" s="6"/>
      <c r="B1006" s="21"/>
      <c r="C1006" s="28"/>
      <c r="D1006" s="29"/>
      <c r="E1006" s="21"/>
      <c r="F1006" s="6"/>
      <c r="G1006" s="6"/>
      <c r="H1006" s="6"/>
      <c r="I1006" s="6"/>
      <c r="J1006" s="30"/>
      <c r="K1006" s="6"/>
      <c r="L1006" s="29"/>
      <c r="M1006" s="6"/>
      <c r="N1006" s="6"/>
    </row>
    <row r="1007" customFormat="false" ht="15" hidden="false" customHeight="false" outlineLevel="0" collapsed="false">
      <c r="A1007" s="6"/>
      <c r="B1007" s="21"/>
      <c r="C1007" s="28"/>
      <c r="D1007" s="29"/>
      <c r="E1007" s="21"/>
      <c r="F1007" s="6"/>
      <c r="G1007" s="6"/>
      <c r="H1007" s="6"/>
      <c r="I1007" s="6"/>
      <c r="J1007" s="30"/>
      <c r="K1007" s="6"/>
      <c r="L1007" s="29"/>
      <c r="M1007" s="6"/>
      <c r="N1007" s="6"/>
    </row>
    <row r="1008" customFormat="false" ht="15" hidden="false" customHeight="false" outlineLevel="0" collapsed="false">
      <c r="A1008" s="6"/>
      <c r="B1008" s="21"/>
      <c r="C1008" s="28"/>
      <c r="D1008" s="29"/>
      <c r="E1008" s="21"/>
      <c r="F1008" s="6"/>
      <c r="G1008" s="6"/>
      <c r="H1008" s="6"/>
      <c r="I1008" s="6"/>
      <c r="J1008" s="30"/>
      <c r="K1008" s="6"/>
      <c r="L1008" s="29"/>
      <c r="M1008" s="6"/>
      <c r="N1008" s="6"/>
    </row>
    <row r="1009" customFormat="false" ht="15" hidden="false" customHeight="false" outlineLevel="0" collapsed="false">
      <c r="A1009" s="6"/>
      <c r="B1009" s="21"/>
      <c r="C1009" s="28"/>
      <c r="D1009" s="29"/>
      <c r="E1009" s="21"/>
      <c r="F1009" s="6"/>
      <c r="G1009" s="6"/>
      <c r="H1009" s="6"/>
      <c r="I1009" s="6"/>
      <c r="J1009" s="30"/>
      <c r="K1009" s="6"/>
      <c r="L1009" s="29"/>
      <c r="M1009" s="6"/>
      <c r="N1009" s="6"/>
    </row>
    <row r="1010" customFormat="false" ht="15" hidden="false" customHeight="false" outlineLevel="0" collapsed="false">
      <c r="A1010" s="6"/>
      <c r="B1010" s="21"/>
      <c r="C1010" s="28"/>
      <c r="D1010" s="29"/>
      <c r="E1010" s="21"/>
      <c r="F1010" s="6"/>
      <c r="G1010" s="6"/>
      <c r="H1010" s="6"/>
      <c r="I1010" s="6"/>
      <c r="J1010" s="30"/>
      <c r="K1010" s="6"/>
      <c r="L1010" s="29"/>
      <c r="M1010" s="6"/>
      <c r="N1010" s="6"/>
    </row>
    <row r="1011" customFormat="false" ht="15" hidden="false" customHeight="false" outlineLevel="0" collapsed="false">
      <c r="A1011" s="6"/>
      <c r="B1011" s="21"/>
      <c r="C1011" s="28"/>
      <c r="D1011" s="29"/>
      <c r="E1011" s="21"/>
      <c r="F1011" s="6"/>
      <c r="G1011" s="6"/>
      <c r="H1011" s="6"/>
      <c r="I1011" s="6"/>
      <c r="J1011" s="30"/>
      <c r="K1011" s="6"/>
      <c r="L1011" s="29"/>
      <c r="M1011" s="6"/>
      <c r="N1011" s="6"/>
    </row>
    <row r="1012" customFormat="false" ht="15" hidden="false" customHeight="false" outlineLevel="0" collapsed="false">
      <c r="A1012" s="6"/>
      <c r="B1012" s="21"/>
      <c r="C1012" s="28"/>
      <c r="D1012" s="29"/>
      <c r="E1012" s="21"/>
      <c r="F1012" s="6"/>
      <c r="G1012" s="6"/>
      <c r="H1012" s="6"/>
      <c r="I1012" s="6"/>
      <c r="J1012" s="30"/>
      <c r="K1012" s="6"/>
      <c r="L1012" s="29"/>
      <c r="M1012" s="6"/>
      <c r="N1012" s="6"/>
    </row>
    <row r="1013" customFormat="false" ht="15" hidden="false" customHeight="false" outlineLevel="0" collapsed="false">
      <c r="A1013" s="6"/>
      <c r="B1013" s="21"/>
      <c r="C1013" s="28"/>
      <c r="D1013" s="29"/>
      <c r="E1013" s="21"/>
      <c r="F1013" s="6"/>
      <c r="G1013" s="6"/>
      <c r="H1013" s="6"/>
      <c r="I1013" s="6"/>
      <c r="J1013" s="30"/>
      <c r="K1013" s="6"/>
      <c r="L1013" s="29"/>
      <c r="M1013" s="6"/>
      <c r="N1013" s="6"/>
    </row>
    <row r="1014" customFormat="false" ht="15" hidden="false" customHeight="false" outlineLevel="0" collapsed="false">
      <c r="A1014" s="6"/>
      <c r="B1014" s="21"/>
      <c r="C1014" s="28"/>
      <c r="D1014" s="29"/>
      <c r="E1014" s="21"/>
      <c r="F1014" s="6"/>
      <c r="G1014" s="6"/>
      <c r="H1014" s="6"/>
      <c r="I1014" s="6"/>
      <c r="J1014" s="30"/>
      <c r="K1014" s="6"/>
      <c r="L1014" s="29"/>
      <c r="M1014" s="6"/>
      <c r="N1014" s="6"/>
    </row>
    <row r="1015" customFormat="false" ht="15" hidden="false" customHeight="false" outlineLevel="0" collapsed="false">
      <c r="A1015" s="6"/>
      <c r="B1015" s="21"/>
      <c r="C1015" s="28"/>
      <c r="D1015" s="29"/>
      <c r="E1015" s="21"/>
      <c r="F1015" s="6"/>
      <c r="G1015" s="6"/>
      <c r="H1015" s="6"/>
      <c r="I1015" s="6"/>
      <c r="J1015" s="30"/>
      <c r="K1015" s="6"/>
      <c r="L1015" s="29"/>
      <c r="M1015" s="6"/>
      <c r="N1015" s="6"/>
    </row>
    <row r="1016" customFormat="false" ht="15" hidden="false" customHeight="false" outlineLevel="0" collapsed="false">
      <c r="A1016" s="6"/>
      <c r="B1016" s="21"/>
      <c r="C1016" s="28"/>
      <c r="D1016" s="29"/>
      <c r="E1016" s="21"/>
      <c r="F1016" s="6"/>
      <c r="G1016" s="6"/>
      <c r="H1016" s="6"/>
      <c r="I1016" s="6"/>
      <c r="J1016" s="30"/>
      <c r="K1016" s="6"/>
      <c r="L1016" s="29"/>
      <c r="M1016" s="6"/>
      <c r="N1016" s="6"/>
    </row>
    <row r="1017" customFormat="false" ht="15" hidden="false" customHeight="false" outlineLevel="0" collapsed="false">
      <c r="A1017" s="6"/>
      <c r="B1017" s="21"/>
      <c r="C1017" s="28"/>
      <c r="D1017" s="29"/>
      <c r="E1017" s="21"/>
      <c r="F1017" s="6"/>
      <c r="G1017" s="6"/>
      <c r="H1017" s="6"/>
      <c r="I1017" s="6"/>
      <c r="J1017" s="30"/>
      <c r="K1017" s="6"/>
      <c r="L1017" s="29"/>
      <c r="M1017" s="6"/>
      <c r="N1017" s="6"/>
    </row>
    <row r="1018" customFormat="false" ht="15" hidden="false" customHeight="false" outlineLevel="0" collapsed="false">
      <c r="A1018" s="6"/>
      <c r="B1018" s="21"/>
      <c r="C1018" s="28"/>
      <c r="D1018" s="29"/>
      <c r="E1018" s="21"/>
      <c r="F1018" s="6"/>
      <c r="G1018" s="6"/>
      <c r="H1018" s="6"/>
      <c r="I1018" s="6"/>
      <c r="J1018" s="30"/>
      <c r="K1018" s="6"/>
      <c r="L1018" s="29"/>
      <c r="M1018" s="6"/>
      <c r="N1018" s="6"/>
    </row>
    <row r="1019" customFormat="false" ht="15" hidden="false" customHeight="false" outlineLevel="0" collapsed="false">
      <c r="A1019" s="6"/>
      <c r="B1019" s="21"/>
      <c r="C1019" s="28"/>
      <c r="D1019" s="29"/>
      <c r="E1019" s="21"/>
      <c r="F1019" s="6"/>
      <c r="G1019" s="6"/>
      <c r="H1019" s="6"/>
      <c r="I1019" s="6"/>
      <c r="J1019" s="30"/>
      <c r="K1019" s="6"/>
      <c r="L1019" s="29"/>
      <c r="M1019" s="6"/>
      <c r="N1019" s="6"/>
    </row>
    <row r="1020" customFormat="false" ht="15" hidden="false" customHeight="false" outlineLevel="0" collapsed="false">
      <c r="A1020" s="6"/>
      <c r="B1020" s="21"/>
      <c r="C1020" s="28"/>
      <c r="D1020" s="29"/>
      <c r="E1020" s="21"/>
      <c r="F1020" s="6"/>
      <c r="G1020" s="6"/>
      <c r="H1020" s="6"/>
      <c r="I1020" s="6"/>
      <c r="J1020" s="30"/>
      <c r="K1020" s="6"/>
      <c r="L1020" s="29"/>
      <c r="M1020" s="6"/>
      <c r="N1020" s="6"/>
    </row>
    <row r="1021" customFormat="false" ht="15" hidden="false" customHeight="false" outlineLevel="0" collapsed="false">
      <c r="A1021" s="6"/>
      <c r="B1021" s="21"/>
      <c r="C1021" s="28"/>
      <c r="D1021" s="29"/>
      <c r="E1021" s="21"/>
      <c r="F1021" s="6"/>
      <c r="G1021" s="6"/>
      <c r="H1021" s="6"/>
      <c r="I1021" s="6"/>
      <c r="J1021" s="30"/>
      <c r="K1021" s="6"/>
      <c r="L1021" s="29"/>
      <c r="M1021" s="6"/>
      <c r="N1021" s="6"/>
    </row>
    <row r="1022" customFormat="false" ht="15" hidden="false" customHeight="false" outlineLevel="0" collapsed="false">
      <c r="A1022" s="6"/>
      <c r="B1022" s="21"/>
      <c r="C1022" s="28"/>
      <c r="D1022" s="29"/>
      <c r="E1022" s="21"/>
      <c r="F1022" s="6"/>
      <c r="G1022" s="6"/>
      <c r="H1022" s="6"/>
      <c r="I1022" s="6"/>
      <c r="J1022" s="30"/>
      <c r="K1022" s="6"/>
      <c r="L1022" s="29"/>
      <c r="M1022" s="6"/>
      <c r="N1022" s="6"/>
    </row>
    <row r="1023" customFormat="false" ht="15" hidden="false" customHeight="false" outlineLevel="0" collapsed="false">
      <c r="A1023" s="6"/>
      <c r="B1023" s="21"/>
      <c r="C1023" s="28"/>
      <c r="D1023" s="29"/>
      <c r="E1023" s="21"/>
      <c r="F1023" s="6"/>
      <c r="G1023" s="6"/>
      <c r="H1023" s="6"/>
      <c r="I1023" s="6"/>
      <c r="J1023" s="30"/>
      <c r="K1023" s="6"/>
      <c r="L1023" s="29"/>
      <c r="M1023" s="6"/>
      <c r="N1023" s="6"/>
    </row>
    <row r="1024" customFormat="false" ht="15" hidden="false" customHeight="false" outlineLevel="0" collapsed="false">
      <c r="A1024" s="6"/>
      <c r="B1024" s="21"/>
      <c r="C1024" s="28"/>
      <c r="D1024" s="29"/>
      <c r="E1024" s="21"/>
      <c r="F1024" s="6"/>
      <c r="G1024" s="6"/>
      <c r="H1024" s="6"/>
      <c r="I1024" s="6"/>
      <c r="J1024" s="30"/>
      <c r="K1024" s="6"/>
      <c r="L1024" s="29"/>
      <c r="M1024" s="6"/>
      <c r="N1024" s="6"/>
    </row>
    <row r="1025" customFormat="false" ht="15" hidden="false" customHeight="false" outlineLevel="0" collapsed="false">
      <c r="A1025" s="6"/>
      <c r="B1025" s="21"/>
      <c r="C1025" s="28"/>
      <c r="D1025" s="29"/>
      <c r="E1025" s="21"/>
      <c r="F1025" s="6"/>
      <c r="G1025" s="6"/>
      <c r="H1025" s="6"/>
      <c r="I1025" s="6"/>
      <c r="J1025" s="30"/>
      <c r="K1025" s="6"/>
      <c r="L1025" s="29"/>
      <c r="M1025" s="6"/>
      <c r="N1025" s="6"/>
    </row>
    <row r="1026" customFormat="false" ht="15" hidden="false" customHeight="false" outlineLevel="0" collapsed="false">
      <c r="A1026" s="6"/>
      <c r="B1026" s="21"/>
      <c r="C1026" s="28"/>
      <c r="D1026" s="29"/>
      <c r="E1026" s="21"/>
      <c r="F1026" s="6"/>
      <c r="G1026" s="6"/>
      <c r="H1026" s="6"/>
      <c r="I1026" s="6"/>
      <c r="J1026" s="30"/>
      <c r="K1026" s="6"/>
      <c r="L1026" s="29"/>
      <c r="M1026" s="6"/>
      <c r="N1026" s="6"/>
    </row>
    <row r="1027" customFormat="false" ht="15" hidden="false" customHeight="false" outlineLevel="0" collapsed="false">
      <c r="A1027" s="6"/>
      <c r="B1027" s="21"/>
      <c r="C1027" s="28"/>
      <c r="D1027" s="29"/>
      <c r="E1027" s="21"/>
      <c r="F1027" s="6"/>
      <c r="G1027" s="6"/>
      <c r="H1027" s="6"/>
      <c r="I1027" s="6"/>
      <c r="J1027" s="30"/>
      <c r="K1027" s="6"/>
      <c r="L1027" s="29"/>
      <c r="M1027" s="6"/>
      <c r="N1027" s="6"/>
    </row>
    <row r="1028" customFormat="false" ht="15" hidden="false" customHeight="false" outlineLevel="0" collapsed="false">
      <c r="A1028" s="6"/>
      <c r="B1028" s="21"/>
      <c r="C1028" s="28"/>
      <c r="D1028" s="29"/>
      <c r="E1028" s="21"/>
      <c r="F1028" s="6"/>
      <c r="G1028" s="6"/>
      <c r="H1028" s="6"/>
      <c r="I1028" s="6"/>
      <c r="J1028" s="30"/>
      <c r="K1028" s="6"/>
      <c r="L1028" s="29"/>
      <c r="M1028" s="6"/>
      <c r="N1028" s="6"/>
    </row>
    <row r="1029" customFormat="false" ht="15" hidden="false" customHeight="false" outlineLevel="0" collapsed="false">
      <c r="A1029" s="6"/>
      <c r="B1029" s="21"/>
      <c r="C1029" s="28"/>
      <c r="D1029" s="29"/>
      <c r="E1029" s="21"/>
      <c r="F1029" s="6"/>
      <c r="G1029" s="6"/>
      <c r="H1029" s="6"/>
      <c r="I1029" s="6"/>
      <c r="J1029" s="30"/>
      <c r="K1029" s="6"/>
      <c r="L1029" s="29"/>
      <c r="M1029" s="6"/>
      <c r="N1029" s="6"/>
    </row>
    <row r="1030" customFormat="false" ht="15" hidden="false" customHeight="false" outlineLevel="0" collapsed="false">
      <c r="A1030" s="6"/>
      <c r="B1030" s="21"/>
      <c r="C1030" s="28"/>
      <c r="D1030" s="29"/>
      <c r="E1030" s="21"/>
      <c r="F1030" s="6"/>
      <c r="G1030" s="6"/>
      <c r="H1030" s="6"/>
      <c r="I1030" s="6"/>
      <c r="J1030" s="30"/>
      <c r="K1030" s="6"/>
      <c r="L1030" s="29"/>
      <c r="M1030" s="6"/>
      <c r="N1030" s="6"/>
    </row>
    <row r="1031" customFormat="false" ht="15" hidden="false" customHeight="false" outlineLevel="0" collapsed="false">
      <c r="A1031" s="6"/>
      <c r="B1031" s="21"/>
      <c r="C1031" s="28"/>
      <c r="D1031" s="29"/>
      <c r="E1031" s="21"/>
      <c r="F1031" s="6"/>
      <c r="G1031" s="6"/>
      <c r="H1031" s="6"/>
      <c r="I1031" s="6"/>
      <c r="J1031" s="30"/>
      <c r="K1031" s="6"/>
      <c r="L1031" s="29"/>
      <c r="M1031" s="6"/>
      <c r="N1031" s="6"/>
    </row>
    <row r="1032" customFormat="false" ht="15" hidden="false" customHeight="false" outlineLevel="0" collapsed="false">
      <c r="A1032" s="6"/>
      <c r="B1032" s="21"/>
      <c r="C1032" s="28"/>
      <c r="D1032" s="29"/>
      <c r="E1032" s="21"/>
      <c r="F1032" s="6"/>
      <c r="G1032" s="6"/>
      <c r="H1032" s="6"/>
      <c r="I1032" s="6"/>
      <c r="J1032" s="30"/>
      <c r="K1032" s="6"/>
      <c r="L1032" s="29"/>
      <c r="M1032" s="6"/>
      <c r="N1032" s="6"/>
    </row>
    <row r="1033" customFormat="false" ht="15" hidden="false" customHeight="false" outlineLevel="0" collapsed="false">
      <c r="A1033" s="6"/>
      <c r="B1033" s="21"/>
      <c r="C1033" s="28"/>
      <c r="D1033" s="29"/>
      <c r="E1033" s="21"/>
      <c r="F1033" s="6"/>
      <c r="G1033" s="6"/>
      <c r="H1033" s="6"/>
      <c r="I1033" s="6"/>
      <c r="J1033" s="30"/>
      <c r="K1033" s="6"/>
      <c r="L1033" s="29"/>
      <c r="M1033" s="6"/>
      <c r="N1033" s="6"/>
    </row>
    <row r="1034" customFormat="false" ht="15" hidden="false" customHeight="false" outlineLevel="0" collapsed="false">
      <c r="A1034" s="6"/>
      <c r="B1034" s="21"/>
      <c r="C1034" s="28"/>
      <c r="D1034" s="29"/>
      <c r="E1034" s="21"/>
      <c r="F1034" s="6"/>
      <c r="G1034" s="6"/>
      <c r="H1034" s="6"/>
      <c r="I1034" s="6"/>
      <c r="J1034" s="30"/>
      <c r="K1034" s="6"/>
      <c r="L1034" s="29"/>
      <c r="M1034" s="6"/>
      <c r="N1034" s="6"/>
    </row>
    <row r="1035" customFormat="false" ht="15" hidden="false" customHeight="false" outlineLevel="0" collapsed="false">
      <c r="A1035" s="6"/>
      <c r="B1035" s="21"/>
      <c r="C1035" s="28"/>
      <c r="D1035" s="29"/>
      <c r="E1035" s="21"/>
      <c r="F1035" s="6"/>
      <c r="G1035" s="6"/>
      <c r="H1035" s="6"/>
      <c r="I1035" s="6"/>
      <c r="J1035" s="30"/>
      <c r="K1035" s="6"/>
      <c r="L1035" s="29"/>
      <c r="M1035" s="6"/>
      <c r="N1035" s="6"/>
    </row>
    <row r="1036" customFormat="false" ht="15" hidden="false" customHeight="false" outlineLevel="0" collapsed="false">
      <c r="A1036" s="6"/>
      <c r="B1036" s="21"/>
      <c r="C1036" s="28"/>
      <c r="D1036" s="29"/>
      <c r="E1036" s="21"/>
      <c r="F1036" s="6"/>
      <c r="G1036" s="6"/>
      <c r="H1036" s="6"/>
      <c r="I1036" s="6"/>
      <c r="J1036" s="30"/>
      <c r="K1036" s="6"/>
      <c r="L1036" s="29"/>
      <c r="M1036" s="6"/>
      <c r="N1036" s="6"/>
    </row>
    <row r="1037" customFormat="false" ht="15" hidden="false" customHeight="false" outlineLevel="0" collapsed="false">
      <c r="A1037" s="6"/>
      <c r="B1037" s="21"/>
      <c r="C1037" s="28"/>
      <c r="D1037" s="29"/>
      <c r="E1037" s="21"/>
      <c r="F1037" s="6"/>
      <c r="G1037" s="6"/>
      <c r="H1037" s="6"/>
      <c r="I1037" s="6"/>
      <c r="J1037" s="30"/>
      <c r="K1037" s="6"/>
      <c r="L1037" s="29"/>
      <c r="M1037" s="6"/>
      <c r="N1037" s="6"/>
    </row>
    <row r="1038" customFormat="false" ht="15" hidden="false" customHeight="false" outlineLevel="0" collapsed="false">
      <c r="A1038" s="6"/>
      <c r="B1038" s="21"/>
      <c r="C1038" s="28"/>
      <c r="D1038" s="29"/>
      <c r="E1038" s="21"/>
      <c r="F1038" s="6"/>
      <c r="G1038" s="6"/>
      <c r="H1038" s="6"/>
      <c r="I1038" s="6"/>
      <c r="J1038" s="30"/>
      <c r="K1038" s="6"/>
      <c r="L1038" s="29"/>
      <c r="M1038" s="6"/>
      <c r="N1038" s="6"/>
    </row>
    <row r="1039" customFormat="false" ht="15" hidden="false" customHeight="false" outlineLevel="0" collapsed="false">
      <c r="A1039" s="6"/>
      <c r="B1039" s="21"/>
      <c r="C1039" s="28"/>
      <c r="D1039" s="29"/>
      <c r="E1039" s="21"/>
      <c r="F1039" s="6"/>
      <c r="G1039" s="6"/>
      <c r="H1039" s="6"/>
      <c r="I1039" s="6"/>
      <c r="J1039" s="30"/>
      <c r="K1039" s="6"/>
      <c r="L1039" s="29"/>
      <c r="M1039" s="6"/>
      <c r="N1039" s="6"/>
    </row>
    <row r="1040" customFormat="false" ht="15" hidden="false" customHeight="false" outlineLevel="0" collapsed="false">
      <c r="A1040" s="6"/>
      <c r="B1040" s="21"/>
      <c r="C1040" s="28"/>
      <c r="D1040" s="29"/>
      <c r="E1040" s="21"/>
      <c r="F1040" s="6"/>
      <c r="G1040" s="6"/>
      <c r="H1040" s="6"/>
      <c r="I1040" s="6"/>
      <c r="J1040" s="30"/>
      <c r="K1040" s="6"/>
      <c r="L1040" s="29"/>
      <c r="M1040" s="6"/>
      <c r="N1040" s="6"/>
    </row>
    <row r="1041" customFormat="false" ht="15" hidden="false" customHeight="false" outlineLevel="0" collapsed="false">
      <c r="A1041" s="6"/>
      <c r="B1041" s="21"/>
      <c r="C1041" s="28"/>
      <c r="D1041" s="29"/>
      <c r="E1041" s="21"/>
      <c r="F1041" s="6"/>
      <c r="G1041" s="6"/>
      <c r="H1041" s="6"/>
      <c r="I1041" s="6"/>
      <c r="J1041" s="30"/>
      <c r="K1041" s="6"/>
      <c r="L1041" s="29"/>
      <c r="M1041" s="6"/>
      <c r="N1041" s="6"/>
    </row>
    <row r="1042" customFormat="false" ht="15" hidden="false" customHeight="false" outlineLevel="0" collapsed="false">
      <c r="A1042" s="6"/>
      <c r="B1042" s="21"/>
      <c r="C1042" s="28"/>
      <c r="D1042" s="29"/>
      <c r="E1042" s="21"/>
      <c r="F1042" s="6"/>
      <c r="G1042" s="6"/>
      <c r="H1042" s="6"/>
      <c r="I1042" s="6"/>
      <c r="J1042" s="30"/>
      <c r="K1042" s="6"/>
      <c r="L1042" s="29"/>
      <c r="M1042" s="6"/>
      <c r="N1042" s="6"/>
    </row>
    <row r="1043" customFormat="false" ht="15" hidden="false" customHeight="false" outlineLevel="0" collapsed="false">
      <c r="A1043" s="6"/>
      <c r="B1043" s="21"/>
      <c r="C1043" s="28"/>
      <c r="D1043" s="29"/>
      <c r="E1043" s="21"/>
      <c r="F1043" s="6"/>
      <c r="G1043" s="6"/>
      <c r="H1043" s="6"/>
      <c r="I1043" s="6"/>
      <c r="J1043" s="30"/>
      <c r="K1043" s="6"/>
      <c r="L1043" s="29"/>
      <c r="M1043" s="6"/>
      <c r="N1043" s="6"/>
    </row>
    <row r="1044" customFormat="false" ht="15" hidden="false" customHeight="false" outlineLevel="0" collapsed="false">
      <c r="A1044" s="6"/>
      <c r="B1044" s="21"/>
      <c r="C1044" s="28"/>
      <c r="D1044" s="29"/>
      <c r="E1044" s="21"/>
      <c r="F1044" s="6"/>
      <c r="G1044" s="6"/>
      <c r="H1044" s="6"/>
      <c r="I1044" s="6"/>
      <c r="J1044" s="30"/>
      <c r="K1044" s="6"/>
      <c r="L1044" s="29"/>
      <c r="M1044" s="6"/>
      <c r="N1044" s="6"/>
    </row>
    <row r="1045" customFormat="false" ht="15" hidden="false" customHeight="false" outlineLevel="0" collapsed="false">
      <c r="A1045" s="6"/>
      <c r="B1045" s="21"/>
      <c r="C1045" s="28"/>
      <c r="D1045" s="29"/>
      <c r="E1045" s="21"/>
      <c r="F1045" s="6"/>
      <c r="G1045" s="6"/>
      <c r="H1045" s="6"/>
      <c r="I1045" s="6"/>
      <c r="J1045" s="30"/>
      <c r="K1045" s="6"/>
      <c r="L1045" s="29"/>
      <c r="M1045" s="6"/>
      <c r="N1045" s="6"/>
    </row>
    <row r="1046" customFormat="false" ht="15" hidden="false" customHeight="false" outlineLevel="0" collapsed="false">
      <c r="A1046" s="6"/>
      <c r="B1046" s="21"/>
      <c r="C1046" s="28"/>
      <c r="D1046" s="29"/>
      <c r="E1046" s="21"/>
      <c r="F1046" s="6"/>
      <c r="G1046" s="6"/>
      <c r="H1046" s="6"/>
      <c r="I1046" s="6"/>
      <c r="J1046" s="30"/>
      <c r="K1046" s="6"/>
      <c r="L1046" s="29"/>
      <c r="M1046" s="6"/>
      <c r="N1046" s="6"/>
    </row>
    <row r="1047" customFormat="false" ht="15" hidden="false" customHeight="false" outlineLevel="0" collapsed="false">
      <c r="A1047" s="6"/>
      <c r="B1047" s="21"/>
      <c r="C1047" s="28"/>
      <c r="D1047" s="29"/>
      <c r="E1047" s="21"/>
      <c r="F1047" s="6"/>
      <c r="G1047" s="6"/>
      <c r="H1047" s="6"/>
      <c r="I1047" s="6"/>
      <c r="J1047" s="30"/>
      <c r="K1047" s="6"/>
      <c r="L1047" s="29"/>
      <c r="M1047" s="6"/>
      <c r="N1047" s="6"/>
    </row>
    <row r="1048" customFormat="false" ht="15" hidden="false" customHeight="false" outlineLevel="0" collapsed="false">
      <c r="A1048" s="6"/>
      <c r="B1048" s="21"/>
      <c r="C1048" s="28"/>
      <c r="D1048" s="29"/>
      <c r="E1048" s="21"/>
      <c r="F1048" s="6"/>
      <c r="G1048" s="6"/>
      <c r="H1048" s="6"/>
      <c r="I1048" s="6"/>
      <c r="J1048" s="30"/>
      <c r="K1048" s="6"/>
      <c r="L1048" s="29"/>
      <c r="M1048" s="6"/>
      <c r="N1048" s="6"/>
    </row>
    <row r="1049" customFormat="false" ht="15" hidden="false" customHeight="false" outlineLevel="0" collapsed="false">
      <c r="A1049" s="6"/>
      <c r="B1049" s="21"/>
      <c r="C1049" s="28"/>
      <c r="D1049" s="29"/>
      <c r="E1049" s="21"/>
      <c r="F1049" s="6"/>
      <c r="G1049" s="6"/>
      <c r="H1049" s="6"/>
      <c r="I1049" s="6"/>
      <c r="J1049" s="30"/>
      <c r="K1049" s="6"/>
      <c r="L1049" s="29"/>
      <c r="M1049" s="6"/>
      <c r="N1049" s="6"/>
    </row>
    <row r="1050" customFormat="false" ht="15" hidden="false" customHeight="false" outlineLevel="0" collapsed="false">
      <c r="A1050" s="6"/>
      <c r="B1050" s="21"/>
      <c r="C1050" s="28"/>
      <c r="D1050" s="29"/>
      <c r="E1050" s="21"/>
      <c r="F1050" s="6"/>
      <c r="G1050" s="6"/>
      <c r="H1050" s="6"/>
      <c r="I1050" s="6"/>
      <c r="J1050" s="30"/>
      <c r="K1050" s="6"/>
      <c r="L1050" s="29"/>
      <c r="M1050" s="6"/>
      <c r="N1050" s="6"/>
    </row>
    <row r="1051" customFormat="false" ht="15" hidden="false" customHeight="false" outlineLevel="0" collapsed="false">
      <c r="A1051" s="6"/>
      <c r="B1051" s="21"/>
      <c r="C1051" s="28"/>
      <c r="D1051" s="29"/>
      <c r="E1051" s="21"/>
      <c r="F1051" s="6"/>
      <c r="G1051" s="6"/>
      <c r="H1051" s="6"/>
      <c r="I1051" s="6"/>
      <c r="J1051" s="30"/>
      <c r="K1051" s="6"/>
      <c r="L1051" s="29"/>
      <c r="M1051" s="6"/>
      <c r="N1051" s="6"/>
    </row>
    <row r="1052" customFormat="false" ht="15" hidden="false" customHeight="false" outlineLevel="0" collapsed="false">
      <c r="A1052" s="6"/>
      <c r="B1052" s="21"/>
      <c r="C1052" s="28"/>
      <c r="D1052" s="29"/>
      <c r="E1052" s="21"/>
      <c r="F1052" s="6"/>
      <c r="G1052" s="6"/>
      <c r="H1052" s="6"/>
      <c r="I1052" s="6"/>
      <c r="J1052" s="30"/>
      <c r="K1052" s="6"/>
      <c r="L1052" s="29"/>
      <c r="M1052" s="6"/>
      <c r="N1052" s="6"/>
    </row>
    <row r="1053" customFormat="false" ht="15" hidden="false" customHeight="false" outlineLevel="0" collapsed="false">
      <c r="A1053" s="6"/>
      <c r="B1053" s="21"/>
      <c r="C1053" s="28"/>
      <c r="D1053" s="29"/>
      <c r="E1053" s="21"/>
      <c r="F1053" s="6"/>
      <c r="G1053" s="6"/>
      <c r="H1053" s="6"/>
      <c r="I1053" s="6"/>
      <c r="J1053" s="30"/>
      <c r="K1053" s="6"/>
      <c r="L1053" s="29"/>
      <c r="M1053" s="6"/>
      <c r="N1053" s="6"/>
    </row>
    <row r="1054" customFormat="false" ht="15" hidden="false" customHeight="false" outlineLevel="0" collapsed="false">
      <c r="A1054" s="6"/>
      <c r="B1054" s="21"/>
      <c r="C1054" s="28"/>
      <c r="D1054" s="29"/>
      <c r="E1054" s="21"/>
      <c r="F1054" s="6"/>
      <c r="G1054" s="6"/>
      <c r="H1054" s="6"/>
      <c r="I1054" s="6"/>
      <c r="J1054" s="30"/>
      <c r="K1054" s="6"/>
      <c r="L1054" s="29"/>
      <c r="M1054" s="6"/>
      <c r="N1054" s="6"/>
    </row>
    <row r="1055" customFormat="false" ht="15" hidden="false" customHeight="false" outlineLevel="0" collapsed="false">
      <c r="A1055" s="6"/>
      <c r="B1055" s="21"/>
      <c r="C1055" s="28"/>
      <c r="D1055" s="29"/>
      <c r="E1055" s="21"/>
      <c r="F1055" s="6"/>
      <c r="G1055" s="6"/>
      <c r="H1055" s="6"/>
      <c r="I1055" s="6"/>
      <c r="J1055" s="30"/>
      <c r="K1055" s="6"/>
      <c r="L1055" s="29"/>
      <c r="M1055" s="6"/>
      <c r="N1055" s="6"/>
    </row>
    <row r="1056" customFormat="false" ht="15" hidden="false" customHeight="false" outlineLevel="0" collapsed="false">
      <c r="A1056" s="6"/>
      <c r="B1056" s="21"/>
      <c r="C1056" s="28"/>
      <c r="D1056" s="29"/>
      <c r="E1056" s="21"/>
      <c r="F1056" s="6"/>
      <c r="G1056" s="6"/>
      <c r="H1056" s="6"/>
      <c r="I1056" s="6"/>
      <c r="J1056" s="30"/>
      <c r="K1056" s="6"/>
      <c r="L1056" s="29"/>
      <c r="M1056" s="6"/>
      <c r="N1056" s="6"/>
    </row>
    <row r="1057" customFormat="false" ht="15" hidden="false" customHeight="false" outlineLevel="0" collapsed="false">
      <c r="A1057" s="6"/>
      <c r="B1057" s="21"/>
      <c r="C1057" s="28"/>
      <c r="D1057" s="29"/>
      <c r="E1057" s="21"/>
      <c r="F1057" s="6"/>
      <c r="G1057" s="6"/>
      <c r="H1057" s="6"/>
      <c r="I1057" s="6"/>
      <c r="J1057" s="30"/>
      <c r="K1057" s="6"/>
      <c r="L1057" s="29"/>
      <c r="M1057" s="6"/>
      <c r="N1057" s="6"/>
    </row>
    <row r="1058" customFormat="false" ht="15" hidden="false" customHeight="false" outlineLevel="0" collapsed="false">
      <c r="A1058" s="6"/>
      <c r="B1058" s="21"/>
      <c r="C1058" s="28"/>
      <c r="D1058" s="29"/>
      <c r="E1058" s="21"/>
      <c r="F1058" s="6"/>
      <c r="G1058" s="6"/>
      <c r="H1058" s="6"/>
      <c r="I1058" s="6"/>
      <c r="J1058" s="30"/>
      <c r="K1058" s="6"/>
      <c r="L1058" s="29"/>
      <c r="M1058" s="6"/>
      <c r="N1058" s="6"/>
    </row>
    <row r="1059" customFormat="false" ht="15" hidden="false" customHeight="false" outlineLevel="0" collapsed="false">
      <c r="A1059" s="6"/>
      <c r="B1059" s="21"/>
      <c r="C1059" s="28"/>
      <c r="D1059" s="29"/>
      <c r="E1059" s="21"/>
      <c r="F1059" s="6"/>
      <c r="G1059" s="6"/>
      <c r="H1059" s="6"/>
      <c r="I1059" s="6"/>
      <c r="J1059" s="30"/>
      <c r="K1059" s="6"/>
      <c r="L1059" s="29"/>
      <c r="M1059" s="6"/>
      <c r="N1059" s="6"/>
    </row>
    <row r="1060" customFormat="false" ht="15" hidden="false" customHeight="false" outlineLevel="0" collapsed="false">
      <c r="A1060" s="6"/>
      <c r="B1060" s="21"/>
      <c r="C1060" s="28"/>
      <c r="D1060" s="29"/>
      <c r="E1060" s="21"/>
      <c r="F1060" s="6"/>
      <c r="G1060" s="6"/>
      <c r="H1060" s="6"/>
      <c r="I1060" s="6"/>
      <c r="J1060" s="30"/>
      <c r="K1060" s="6"/>
      <c r="L1060" s="29"/>
      <c r="M1060" s="6"/>
      <c r="N1060" s="6"/>
    </row>
    <row r="1061" customFormat="false" ht="15" hidden="false" customHeight="false" outlineLevel="0" collapsed="false">
      <c r="A1061" s="6"/>
      <c r="B1061" s="21"/>
      <c r="C1061" s="28"/>
      <c r="D1061" s="29"/>
      <c r="E1061" s="21"/>
      <c r="F1061" s="6"/>
      <c r="G1061" s="6"/>
      <c r="H1061" s="6"/>
      <c r="I1061" s="6"/>
      <c r="J1061" s="30"/>
      <c r="K1061" s="6"/>
      <c r="L1061" s="29"/>
      <c r="M1061" s="6"/>
      <c r="N1061" s="6"/>
    </row>
    <row r="1062" customFormat="false" ht="15" hidden="false" customHeight="false" outlineLevel="0" collapsed="false">
      <c r="A1062" s="6"/>
      <c r="B1062" s="21"/>
      <c r="C1062" s="28"/>
      <c r="D1062" s="29"/>
      <c r="E1062" s="21"/>
      <c r="F1062" s="6"/>
      <c r="G1062" s="6"/>
      <c r="H1062" s="6"/>
      <c r="I1062" s="6"/>
      <c r="J1062" s="30"/>
      <c r="K1062" s="6"/>
      <c r="L1062" s="29"/>
      <c r="M1062" s="6"/>
      <c r="N1062" s="6"/>
    </row>
    <row r="1063" customFormat="false" ht="15" hidden="false" customHeight="false" outlineLevel="0" collapsed="false">
      <c r="A1063" s="6"/>
      <c r="B1063" s="21"/>
      <c r="C1063" s="28"/>
      <c r="D1063" s="29"/>
      <c r="E1063" s="21"/>
      <c r="F1063" s="6"/>
      <c r="G1063" s="6"/>
      <c r="H1063" s="6"/>
      <c r="I1063" s="6"/>
      <c r="J1063" s="30"/>
      <c r="K1063" s="6"/>
      <c r="L1063" s="29"/>
      <c r="M1063" s="6"/>
      <c r="N1063" s="6"/>
    </row>
    <row r="1064" customFormat="false" ht="15" hidden="false" customHeight="false" outlineLevel="0" collapsed="false">
      <c r="A1064" s="6"/>
      <c r="B1064" s="21"/>
      <c r="C1064" s="28"/>
      <c r="D1064" s="29"/>
      <c r="E1064" s="21"/>
      <c r="F1064" s="6"/>
      <c r="G1064" s="6"/>
      <c r="H1064" s="6"/>
      <c r="I1064" s="6"/>
      <c r="J1064" s="30"/>
      <c r="K1064" s="6"/>
      <c r="L1064" s="29"/>
      <c r="M1064" s="6"/>
      <c r="N1064" s="6"/>
    </row>
    <row r="1065" customFormat="false" ht="15" hidden="false" customHeight="false" outlineLevel="0" collapsed="false">
      <c r="A1065" s="6"/>
      <c r="B1065" s="21"/>
      <c r="C1065" s="28"/>
      <c r="D1065" s="29"/>
      <c r="E1065" s="21"/>
      <c r="F1065" s="6"/>
      <c r="G1065" s="6"/>
      <c r="H1065" s="6"/>
      <c r="I1065" s="6"/>
      <c r="J1065" s="30"/>
      <c r="K1065" s="6"/>
      <c r="L1065" s="29"/>
      <c r="M1065" s="6"/>
      <c r="N1065" s="6"/>
    </row>
    <row r="1066" customFormat="false" ht="15" hidden="false" customHeight="false" outlineLevel="0" collapsed="false">
      <c r="A1066" s="6"/>
      <c r="B1066" s="21"/>
      <c r="C1066" s="28"/>
      <c r="D1066" s="29"/>
      <c r="E1066" s="21"/>
      <c r="F1066" s="6"/>
      <c r="G1066" s="6"/>
      <c r="H1066" s="6"/>
      <c r="I1066" s="6"/>
      <c r="J1066" s="30"/>
      <c r="K1066" s="6"/>
      <c r="L1066" s="29"/>
      <c r="M1066" s="6"/>
      <c r="N1066" s="6"/>
    </row>
    <row r="1067" customFormat="false" ht="15" hidden="false" customHeight="false" outlineLevel="0" collapsed="false">
      <c r="A1067" s="6"/>
      <c r="B1067" s="21"/>
      <c r="C1067" s="28"/>
      <c r="D1067" s="29"/>
      <c r="E1067" s="21"/>
      <c r="F1067" s="6"/>
      <c r="G1067" s="6"/>
      <c r="H1067" s="6"/>
      <c r="I1067" s="6"/>
      <c r="J1067" s="30"/>
      <c r="K1067" s="6"/>
      <c r="L1067" s="29"/>
      <c r="M1067" s="6"/>
      <c r="N1067" s="6"/>
    </row>
    <row r="1068" customFormat="false" ht="15" hidden="false" customHeight="false" outlineLevel="0" collapsed="false">
      <c r="A1068" s="6"/>
      <c r="B1068" s="21"/>
      <c r="C1068" s="28"/>
      <c r="D1068" s="29"/>
      <c r="E1068" s="21"/>
      <c r="F1068" s="6"/>
      <c r="G1068" s="6"/>
      <c r="H1068" s="6"/>
      <c r="I1068" s="6"/>
      <c r="J1068" s="30"/>
      <c r="K1068" s="6"/>
      <c r="L1068" s="29"/>
      <c r="M1068" s="6"/>
      <c r="N1068" s="6"/>
    </row>
    <row r="1069" customFormat="false" ht="15" hidden="false" customHeight="false" outlineLevel="0" collapsed="false">
      <c r="A1069" s="6"/>
      <c r="B1069" s="21"/>
      <c r="C1069" s="28"/>
      <c r="D1069" s="29"/>
      <c r="E1069" s="21"/>
      <c r="F1069" s="6"/>
      <c r="G1069" s="6"/>
      <c r="H1069" s="6"/>
      <c r="I1069" s="6"/>
      <c r="J1069" s="30"/>
      <c r="K1069" s="6"/>
      <c r="L1069" s="29"/>
      <c r="M1069" s="6"/>
      <c r="N1069" s="6"/>
    </row>
    <row r="1070" customFormat="false" ht="15" hidden="false" customHeight="false" outlineLevel="0" collapsed="false">
      <c r="A1070" s="6"/>
      <c r="B1070" s="21"/>
      <c r="C1070" s="28"/>
      <c r="D1070" s="29"/>
      <c r="E1070" s="21"/>
      <c r="F1070" s="6"/>
      <c r="G1070" s="6"/>
      <c r="H1070" s="6"/>
      <c r="I1070" s="6"/>
      <c r="J1070" s="30"/>
      <c r="K1070" s="6"/>
      <c r="L1070" s="29"/>
      <c r="M1070" s="6"/>
      <c r="N1070" s="6"/>
    </row>
    <row r="1071" customFormat="false" ht="15" hidden="false" customHeight="false" outlineLevel="0" collapsed="false">
      <c r="A1071" s="6"/>
      <c r="B1071" s="21"/>
      <c r="C1071" s="28"/>
      <c r="D1071" s="29"/>
      <c r="E1071" s="21"/>
      <c r="F1071" s="6"/>
      <c r="G1071" s="6"/>
      <c r="H1071" s="6"/>
      <c r="I1071" s="6"/>
      <c r="J1071" s="30"/>
      <c r="K1071" s="6"/>
      <c r="L1071" s="29"/>
      <c r="M1071" s="6"/>
      <c r="N1071" s="6"/>
    </row>
    <row r="1072" customFormat="false" ht="15" hidden="false" customHeight="false" outlineLevel="0" collapsed="false">
      <c r="A1072" s="6"/>
      <c r="B1072" s="21"/>
      <c r="C1072" s="28"/>
      <c r="D1072" s="29"/>
      <c r="E1072" s="21"/>
      <c r="F1072" s="6"/>
      <c r="G1072" s="6"/>
      <c r="H1072" s="6"/>
      <c r="I1072" s="6"/>
      <c r="J1072" s="30"/>
      <c r="K1072" s="6"/>
      <c r="L1072" s="29"/>
      <c r="M1072" s="6"/>
      <c r="N1072" s="6"/>
    </row>
    <row r="1073" customFormat="false" ht="15" hidden="false" customHeight="false" outlineLevel="0" collapsed="false">
      <c r="A1073" s="6"/>
      <c r="B1073" s="21"/>
      <c r="C1073" s="28"/>
      <c r="D1073" s="29"/>
      <c r="E1073" s="21"/>
      <c r="F1073" s="6"/>
      <c r="G1073" s="6"/>
      <c r="H1073" s="6"/>
      <c r="I1073" s="6"/>
      <c r="J1073" s="30"/>
      <c r="K1073" s="6"/>
      <c r="L1073" s="29"/>
      <c r="M1073" s="6"/>
      <c r="N1073" s="6"/>
    </row>
    <row r="1074" customFormat="false" ht="15" hidden="false" customHeight="false" outlineLevel="0" collapsed="false">
      <c r="A1074" s="6"/>
      <c r="B1074" s="21"/>
      <c r="C1074" s="28"/>
      <c r="D1074" s="29"/>
      <c r="E1074" s="21"/>
      <c r="F1074" s="6"/>
      <c r="G1074" s="6"/>
      <c r="H1074" s="6"/>
      <c r="I1074" s="6"/>
      <c r="J1074" s="30"/>
      <c r="K1074" s="6"/>
      <c r="L1074" s="29"/>
      <c r="M1074" s="6"/>
      <c r="N1074" s="6"/>
    </row>
    <row r="1075" customFormat="false" ht="15" hidden="false" customHeight="false" outlineLevel="0" collapsed="false">
      <c r="A1075" s="6"/>
      <c r="B1075" s="21"/>
      <c r="C1075" s="28"/>
      <c r="D1075" s="29"/>
      <c r="E1075" s="21"/>
      <c r="F1075" s="6"/>
      <c r="G1075" s="6"/>
      <c r="H1075" s="6"/>
      <c r="I1075" s="6"/>
      <c r="J1075" s="30"/>
      <c r="K1075" s="6"/>
      <c r="L1075" s="29"/>
      <c r="M1075" s="6"/>
      <c r="N1075" s="6"/>
    </row>
    <row r="1076" customFormat="false" ht="15" hidden="false" customHeight="false" outlineLevel="0" collapsed="false">
      <c r="A1076" s="6"/>
      <c r="B1076" s="21"/>
      <c r="C1076" s="28"/>
      <c r="D1076" s="29"/>
      <c r="E1076" s="21"/>
      <c r="F1076" s="6"/>
      <c r="G1076" s="6"/>
      <c r="H1076" s="6"/>
      <c r="I1076" s="6"/>
      <c r="J1076" s="30"/>
      <c r="K1076" s="6"/>
      <c r="L1076" s="29"/>
      <c r="M1076" s="6"/>
      <c r="N1076" s="6"/>
    </row>
    <row r="1077" customFormat="false" ht="15" hidden="false" customHeight="false" outlineLevel="0" collapsed="false">
      <c r="A1077" s="6"/>
      <c r="B1077" s="21"/>
      <c r="C1077" s="28"/>
      <c r="D1077" s="29"/>
      <c r="E1077" s="21"/>
      <c r="F1077" s="6"/>
      <c r="G1077" s="6"/>
      <c r="H1077" s="6"/>
      <c r="I1077" s="6"/>
      <c r="J1077" s="30"/>
      <c r="K1077" s="6"/>
      <c r="L1077" s="29"/>
      <c r="M1077" s="6"/>
      <c r="N1077" s="6"/>
    </row>
    <row r="1078" customFormat="false" ht="15" hidden="false" customHeight="false" outlineLevel="0" collapsed="false">
      <c r="A1078" s="6"/>
      <c r="B1078" s="21"/>
      <c r="C1078" s="28"/>
      <c r="D1078" s="29"/>
      <c r="E1078" s="21"/>
      <c r="F1078" s="6"/>
      <c r="G1078" s="6"/>
      <c r="H1078" s="6"/>
      <c r="I1078" s="6"/>
      <c r="J1078" s="30"/>
      <c r="K1078" s="6"/>
      <c r="L1078" s="29"/>
      <c r="M1078" s="6"/>
      <c r="N1078" s="6"/>
    </row>
    <row r="1079" customFormat="false" ht="15" hidden="false" customHeight="false" outlineLevel="0" collapsed="false">
      <c r="A1079" s="6"/>
      <c r="B1079" s="21"/>
      <c r="C1079" s="28"/>
      <c r="D1079" s="29"/>
      <c r="E1079" s="21"/>
      <c r="F1079" s="6"/>
      <c r="G1079" s="6"/>
      <c r="H1079" s="6"/>
      <c r="I1079" s="6"/>
      <c r="J1079" s="30"/>
      <c r="K1079" s="6"/>
      <c r="L1079" s="29"/>
      <c r="M1079" s="6"/>
      <c r="N1079" s="6"/>
    </row>
    <row r="1080" customFormat="false" ht="15" hidden="false" customHeight="false" outlineLevel="0" collapsed="false">
      <c r="A1080" s="6"/>
      <c r="B1080" s="21"/>
      <c r="C1080" s="28"/>
      <c r="D1080" s="29"/>
      <c r="E1080" s="21"/>
      <c r="F1080" s="6"/>
      <c r="G1080" s="6"/>
      <c r="H1080" s="6"/>
      <c r="I1080" s="6"/>
      <c r="J1080" s="30"/>
      <c r="K1080" s="6"/>
      <c r="L1080" s="29"/>
      <c r="M1080" s="6"/>
      <c r="N1080" s="6"/>
    </row>
    <row r="1081" customFormat="false" ht="15" hidden="false" customHeight="false" outlineLevel="0" collapsed="false">
      <c r="A1081" s="6"/>
      <c r="B1081" s="21"/>
      <c r="C1081" s="28"/>
      <c r="D1081" s="29"/>
      <c r="E1081" s="21"/>
      <c r="F1081" s="6"/>
      <c r="G1081" s="6"/>
      <c r="H1081" s="6"/>
      <c r="I1081" s="6"/>
      <c r="J1081" s="30"/>
      <c r="K1081" s="6"/>
      <c r="L1081" s="29"/>
      <c r="M1081" s="6"/>
      <c r="N1081" s="6"/>
    </row>
    <row r="1082" customFormat="false" ht="15" hidden="false" customHeight="false" outlineLevel="0" collapsed="false">
      <c r="A1082" s="6"/>
      <c r="B1082" s="21"/>
      <c r="C1082" s="28"/>
      <c r="D1082" s="29"/>
      <c r="E1082" s="21"/>
      <c r="F1082" s="6"/>
      <c r="G1082" s="6"/>
      <c r="H1082" s="6"/>
      <c r="I1082" s="6"/>
      <c r="J1082" s="30"/>
      <c r="K1082" s="6"/>
      <c r="L1082" s="29"/>
      <c r="M1082" s="6"/>
      <c r="N1082" s="6"/>
    </row>
    <row r="1083" customFormat="false" ht="15" hidden="false" customHeight="false" outlineLevel="0" collapsed="false">
      <c r="A1083" s="6"/>
      <c r="B1083" s="21"/>
      <c r="C1083" s="28"/>
      <c r="D1083" s="29"/>
      <c r="E1083" s="21"/>
      <c r="F1083" s="6"/>
      <c r="G1083" s="6"/>
      <c r="H1083" s="6"/>
      <c r="I1083" s="6"/>
      <c r="J1083" s="30"/>
      <c r="K1083" s="6"/>
      <c r="L1083" s="29"/>
      <c r="M1083" s="6"/>
      <c r="N1083" s="6"/>
    </row>
    <row r="1084" customFormat="false" ht="15" hidden="false" customHeight="false" outlineLevel="0" collapsed="false">
      <c r="A1084" s="6"/>
      <c r="B1084" s="21"/>
      <c r="C1084" s="28"/>
      <c r="D1084" s="29"/>
      <c r="E1084" s="21"/>
      <c r="F1084" s="6"/>
      <c r="G1084" s="6"/>
      <c r="H1084" s="6"/>
      <c r="I1084" s="6"/>
      <c r="J1084" s="30"/>
      <c r="K1084" s="6"/>
      <c r="L1084" s="29"/>
      <c r="M1084" s="6"/>
      <c r="N1084" s="6"/>
    </row>
    <row r="1085" customFormat="false" ht="15" hidden="false" customHeight="false" outlineLevel="0" collapsed="false">
      <c r="A1085" s="6"/>
      <c r="B1085" s="21"/>
      <c r="C1085" s="28"/>
      <c r="D1085" s="29"/>
      <c r="E1085" s="21"/>
      <c r="F1085" s="6"/>
      <c r="G1085" s="6"/>
      <c r="H1085" s="6"/>
      <c r="I1085" s="6"/>
      <c r="J1085" s="30"/>
      <c r="K1085" s="6"/>
      <c r="L1085" s="29"/>
      <c r="M1085" s="6"/>
      <c r="N1085" s="6"/>
    </row>
    <row r="1086" customFormat="false" ht="15" hidden="false" customHeight="false" outlineLevel="0" collapsed="false">
      <c r="A1086" s="6"/>
      <c r="B1086" s="21"/>
      <c r="C1086" s="28"/>
      <c r="D1086" s="29"/>
      <c r="E1086" s="21"/>
      <c r="F1086" s="6"/>
      <c r="G1086" s="6"/>
      <c r="H1086" s="6"/>
      <c r="I1086" s="6"/>
      <c r="J1086" s="30"/>
      <c r="K1086" s="6"/>
      <c r="L1086" s="29"/>
      <c r="M1086" s="6"/>
      <c r="N1086" s="6"/>
    </row>
    <row r="1087" customFormat="false" ht="15" hidden="false" customHeight="false" outlineLevel="0" collapsed="false">
      <c r="A1087" s="6"/>
      <c r="B1087" s="21"/>
      <c r="C1087" s="28"/>
      <c r="D1087" s="29"/>
      <c r="E1087" s="21"/>
      <c r="F1087" s="6"/>
      <c r="G1087" s="6"/>
      <c r="H1087" s="6"/>
      <c r="I1087" s="6"/>
      <c r="J1087" s="30"/>
      <c r="K1087" s="6"/>
      <c r="L1087" s="29"/>
      <c r="M1087" s="6"/>
      <c r="N1087" s="6"/>
    </row>
    <row r="1088" customFormat="false" ht="15" hidden="false" customHeight="false" outlineLevel="0" collapsed="false">
      <c r="A1088" s="6"/>
      <c r="B1088" s="21"/>
      <c r="C1088" s="28"/>
      <c r="D1088" s="29"/>
      <c r="E1088" s="21"/>
      <c r="F1088" s="6"/>
      <c r="G1088" s="6"/>
      <c r="H1088" s="6"/>
      <c r="I1088" s="6"/>
      <c r="J1088" s="30"/>
      <c r="K1088" s="6"/>
      <c r="L1088" s="29"/>
      <c r="M1088" s="6"/>
      <c r="N1088" s="6"/>
    </row>
    <row r="1089" customFormat="false" ht="15" hidden="false" customHeight="false" outlineLevel="0" collapsed="false">
      <c r="A1089" s="6"/>
      <c r="B1089" s="21"/>
      <c r="C1089" s="28"/>
      <c r="D1089" s="29"/>
      <c r="E1089" s="21"/>
      <c r="F1089" s="6"/>
      <c r="G1089" s="6"/>
      <c r="H1089" s="6"/>
      <c r="I1089" s="6"/>
      <c r="J1089" s="30"/>
      <c r="K1089" s="6"/>
      <c r="L1089" s="29"/>
      <c r="M1089" s="6"/>
      <c r="N1089" s="6"/>
    </row>
    <row r="1090" customFormat="false" ht="15" hidden="false" customHeight="false" outlineLevel="0" collapsed="false">
      <c r="A1090" s="6"/>
      <c r="B1090" s="21"/>
      <c r="C1090" s="28"/>
      <c r="D1090" s="29"/>
      <c r="E1090" s="21"/>
      <c r="F1090" s="6"/>
      <c r="G1090" s="6"/>
      <c r="H1090" s="6"/>
      <c r="I1090" s="6"/>
      <c r="J1090" s="30"/>
      <c r="K1090" s="6"/>
      <c r="L1090" s="29"/>
      <c r="M1090" s="6"/>
      <c r="N1090" s="6"/>
    </row>
    <row r="1091" customFormat="false" ht="15" hidden="false" customHeight="false" outlineLevel="0" collapsed="false">
      <c r="A1091" s="6"/>
      <c r="B1091" s="21"/>
      <c r="C1091" s="28"/>
      <c r="D1091" s="29"/>
      <c r="E1091" s="21"/>
      <c r="F1091" s="6"/>
      <c r="G1091" s="6"/>
      <c r="H1091" s="6"/>
      <c r="I1091" s="6"/>
      <c r="J1091" s="30"/>
      <c r="K1091" s="6"/>
      <c r="L1091" s="29"/>
      <c r="M1091" s="6"/>
      <c r="N1091" s="6"/>
    </row>
    <row r="1092" customFormat="false" ht="15" hidden="false" customHeight="false" outlineLevel="0" collapsed="false">
      <c r="A1092" s="6"/>
      <c r="B1092" s="21"/>
      <c r="C1092" s="28"/>
      <c r="D1092" s="29"/>
      <c r="E1092" s="21"/>
      <c r="F1092" s="6"/>
      <c r="G1092" s="6"/>
      <c r="H1092" s="6"/>
      <c r="I1092" s="6"/>
      <c r="J1092" s="30"/>
      <c r="K1092" s="6"/>
      <c r="L1092" s="29"/>
      <c r="M1092" s="6"/>
      <c r="N1092" s="6"/>
    </row>
    <row r="1093" customFormat="false" ht="15" hidden="false" customHeight="false" outlineLevel="0" collapsed="false">
      <c r="A1093" s="6"/>
      <c r="B1093" s="21"/>
      <c r="C1093" s="28"/>
      <c r="D1093" s="29"/>
      <c r="E1093" s="21"/>
      <c r="F1093" s="6"/>
      <c r="G1093" s="6"/>
      <c r="H1093" s="6"/>
      <c r="I1093" s="6"/>
      <c r="J1093" s="30"/>
      <c r="K1093" s="6"/>
      <c r="L1093" s="29"/>
      <c r="M1093" s="6"/>
      <c r="N1093" s="6"/>
    </row>
    <row r="1094" customFormat="false" ht="15" hidden="false" customHeight="false" outlineLevel="0" collapsed="false">
      <c r="A1094" s="6"/>
      <c r="B1094" s="21"/>
      <c r="C1094" s="28"/>
      <c r="D1094" s="29"/>
      <c r="E1094" s="21"/>
      <c r="F1094" s="6"/>
      <c r="G1094" s="6"/>
      <c r="H1094" s="6"/>
      <c r="I1094" s="6"/>
      <c r="J1094" s="30"/>
      <c r="K1094" s="6"/>
      <c r="L1094" s="29"/>
      <c r="M1094" s="6"/>
      <c r="N1094" s="6"/>
    </row>
    <row r="1095" customFormat="false" ht="15" hidden="false" customHeight="false" outlineLevel="0" collapsed="false">
      <c r="A1095" s="6"/>
      <c r="B1095" s="21"/>
      <c r="C1095" s="28"/>
      <c r="D1095" s="29"/>
      <c r="E1095" s="21"/>
      <c r="F1095" s="6"/>
      <c r="G1095" s="6"/>
      <c r="H1095" s="6"/>
      <c r="I1095" s="6"/>
      <c r="J1095" s="30"/>
      <c r="K1095" s="6"/>
      <c r="L1095" s="29"/>
      <c r="M1095" s="6"/>
      <c r="N1095" s="6"/>
    </row>
    <row r="1096" customFormat="false" ht="15" hidden="false" customHeight="false" outlineLevel="0" collapsed="false">
      <c r="A1096" s="6"/>
      <c r="B1096" s="21"/>
      <c r="C1096" s="28"/>
      <c r="D1096" s="29"/>
      <c r="E1096" s="21"/>
      <c r="F1096" s="6"/>
      <c r="G1096" s="6"/>
      <c r="H1096" s="6"/>
      <c r="I1096" s="6"/>
      <c r="J1096" s="30"/>
      <c r="K1096" s="6"/>
      <c r="L1096" s="29"/>
      <c r="M1096" s="6"/>
      <c r="N1096" s="6"/>
    </row>
    <row r="1097" customFormat="false" ht="15" hidden="false" customHeight="false" outlineLevel="0" collapsed="false">
      <c r="A1097" s="6"/>
      <c r="B1097" s="21"/>
      <c r="C1097" s="28"/>
      <c r="D1097" s="29"/>
      <c r="E1097" s="21"/>
      <c r="F1097" s="6"/>
      <c r="G1097" s="6"/>
      <c r="H1097" s="6"/>
      <c r="I1097" s="6"/>
      <c r="J1097" s="30"/>
      <c r="K1097" s="6"/>
      <c r="L1097" s="29"/>
      <c r="M1097" s="6"/>
      <c r="N1097" s="6"/>
    </row>
    <row r="1098" customFormat="false" ht="15" hidden="false" customHeight="false" outlineLevel="0" collapsed="false">
      <c r="A1098" s="6"/>
      <c r="B1098" s="21"/>
      <c r="C1098" s="28"/>
      <c r="D1098" s="29"/>
      <c r="E1098" s="21"/>
      <c r="F1098" s="6"/>
      <c r="G1098" s="6"/>
      <c r="H1098" s="6"/>
      <c r="I1098" s="6"/>
      <c r="J1098" s="30"/>
      <c r="K1098" s="6"/>
      <c r="L1098" s="29"/>
      <c r="M1098" s="6"/>
      <c r="N1098" s="6"/>
    </row>
    <row r="1099" customFormat="false" ht="15" hidden="false" customHeight="false" outlineLevel="0" collapsed="false">
      <c r="A1099" s="6"/>
      <c r="B1099" s="21"/>
      <c r="C1099" s="28"/>
      <c r="D1099" s="29"/>
      <c r="E1099" s="21"/>
      <c r="F1099" s="6"/>
      <c r="G1099" s="6"/>
      <c r="H1099" s="6"/>
      <c r="I1099" s="6"/>
      <c r="J1099" s="30"/>
      <c r="K1099" s="6"/>
      <c r="L1099" s="29"/>
      <c r="M1099" s="6"/>
      <c r="N1099" s="6"/>
    </row>
    <row r="1100" customFormat="false" ht="15" hidden="false" customHeight="false" outlineLevel="0" collapsed="false">
      <c r="A1100" s="6"/>
      <c r="B1100" s="21"/>
      <c r="C1100" s="28"/>
      <c r="D1100" s="29"/>
      <c r="E1100" s="21"/>
      <c r="F1100" s="6"/>
      <c r="G1100" s="6"/>
      <c r="H1100" s="6"/>
      <c r="I1100" s="6"/>
      <c r="J1100" s="30"/>
      <c r="K1100" s="6"/>
      <c r="L1100" s="29"/>
      <c r="M1100" s="6"/>
      <c r="N1100" s="6"/>
    </row>
    <row r="1101" customFormat="false" ht="15" hidden="false" customHeight="false" outlineLevel="0" collapsed="false">
      <c r="A1101" s="6"/>
      <c r="B1101" s="21"/>
      <c r="C1101" s="28"/>
      <c r="D1101" s="29"/>
      <c r="E1101" s="21"/>
      <c r="F1101" s="6"/>
      <c r="G1101" s="6"/>
      <c r="H1101" s="6"/>
      <c r="I1101" s="6"/>
      <c r="J1101" s="30"/>
      <c r="K1101" s="6"/>
      <c r="L1101" s="29"/>
      <c r="M1101" s="6"/>
      <c r="N1101" s="6"/>
    </row>
    <row r="1102" customFormat="false" ht="15" hidden="false" customHeight="false" outlineLevel="0" collapsed="false">
      <c r="A1102" s="6"/>
      <c r="B1102" s="21"/>
      <c r="C1102" s="28"/>
      <c r="D1102" s="29"/>
      <c r="E1102" s="21"/>
      <c r="F1102" s="6"/>
      <c r="G1102" s="6"/>
      <c r="H1102" s="6"/>
      <c r="I1102" s="6"/>
      <c r="J1102" s="30"/>
      <c r="K1102" s="6"/>
      <c r="L1102" s="29"/>
      <c r="M1102" s="6"/>
      <c r="N1102" s="6"/>
    </row>
    <row r="1103" customFormat="false" ht="15" hidden="false" customHeight="false" outlineLevel="0" collapsed="false">
      <c r="A1103" s="6"/>
      <c r="B1103" s="21"/>
      <c r="C1103" s="28"/>
      <c r="D1103" s="29"/>
      <c r="E1103" s="21"/>
      <c r="F1103" s="6"/>
      <c r="G1103" s="6"/>
      <c r="H1103" s="6"/>
      <c r="I1103" s="6"/>
      <c r="J1103" s="30"/>
      <c r="K1103" s="6"/>
      <c r="L1103" s="29"/>
      <c r="M1103" s="6"/>
      <c r="N1103" s="6"/>
    </row>
    <row r="1104" customFormat="false" ht="15" hidden="false" customHeight="false" outlineLevel="0" collapsed="false">
      <c r="A1104" s="6"/>
      <c r="B1104" s="21"/>
      <c r="C1104" s="28"/>
      <c r="D1104" s="29"/>
      <c r="E1104" s="21"/>
      <c r="F1104" s="6"/>
      <c r="G1104" s="6"/>
      <c r="H1104" s="6"/>
      <c r="I1104" s="6"/>
      <c r="J1104" s="30"/>
      <c r="K1104" s="6"/>
      <c r="L1104" s="29"/>
      <c r="M1104" s="6"/>
      <c r="N1104" s="6"/>
    </row>
    <row r="1105" customFormat="false" ht="15" hidden="false" customHeight="false" outlineLevel="0" collapsed="false">
      <c r="A1105" s="6"/>
      <c r="B1105" s="21"/>
      <c r="C1105" s="28"/>
      <c r="D1105" s="29"/>
      <c r="E1105" s="21"/>
      <c r="F1105" s="6"/>
      <c r="G1105" s="6"/>
      <c r="H1105" s="6"/>
      <c r="I1105" s="6"/>
      <c r="J1105" s="30"/>
      <c r="K1105" s="6"/>
      <c r="L1105" s="29"/>
      <c r="M1105" s="6"/>
      <c r="N1105" s="6"/>
    </row>
    <row r="1106" customFormat="false" ht="15" hidden="false" customHeight="false" outlineLevel="0" collapsed="false">
      <c r="A1106" s="6"/>
      <c r="B1106" s="21"/>
      <c r="C1106" s="28"/>
      <c r="D1106" s="29"/>
      <c r="E1106" s="21"/>
      <c r="F1106" s="6"/>
      <c r="G1106" s="6"/>
      <c r="H1106" s="6"/>
      <c r="I1106" s="6"/>
      <c r="J1106" s="30"/>
      <c r="K1106" s="6"/>
      <c r="L1106" s="29"/>
      <c r="M1106" s="6"/>
      <c r="N1106" s="6"/>
    </row>
    <row r="1107" customFormat="false" ht="15" hidden="false" customHeight="false" outlineLevel="0" collapsed="false">
      <c r="A1107" s="6"/>
      <c r="B1107" s="21"/>
      <c r="C1107" s="28"/>
      <c r="D1107" s="29"/>
      <c r="E1107" s="21"/>
      <c r="F1107" s="6"/>
      <c r="G1107" s="6"/>
      <c r="H1107" s="6"/>
      <c r="I1107" s="6"/>
      <c r="J1107" s="30"/>
      <c r="K1107" s="6"/>
      <c r="L1107" s="29"/>
      <c r="M1107" s="6"/>
      <c r="N1107" s="6"/>
    </row>
    <row r="1108" customFormat="false" ht="15" hidden="false" customHeight="false" outlineLevel="0" collapsed="false">
      <c r="A1108" s="6"/>
      <c r="B1108" s="21"/>
      <c r="C1108" s="28"/>
      <c r="D1108" s="29"/>
      <c r="E1108" s="21"/>
      <c r="F1108" s="6"/>
      <c r="G1108" s="6"/>
      <c r="H1108" s="6"/>
      <c r="I1108" s="6"/>
      <c r="J1108" s="30"/>
      <c r="K1108" s="6"/>
      <c r="L1108" s="29"/>
      <c r="M1108" s="6"/>
      <c r="N1108" s="6"/>
    </row>
    <row r="1109" customFormat="false" ht="15" hidden="false" customHeight="false" outlineLevel="0" collapsed="false">
      <c r="A1109" s="6"/>
      <c r="B1109" s="21"/>
      <c r="C1109" s="28"/>
      <c r="D1109" s="29"/>
      <c r="E1109" s="21"/>
      <c r="F1109" s="6"/>
      <c r="G1109" s="6"/>
      <c r="H1109" s="6"/>
      <c r="I1109" s="6"/>
      <c r="J1109" s="30"/>
      <c r="K1109" s="6"/>
      <c r="L1109" s="29"/>
      <c r="M1109" s="6"/>
      <c r="N1109" s="6"/>
    </row>
    <row r="1110" customFormat="false" ht="15" hidden="false" customHeight="false" outlineLevel="0" collapsed="false">
      <c r="A1110" s="6"/>
      <c r="B1110" s="21"/>
      <c r="C1110" s="28"/>
      <c r="D1110" s="29"/>
      <c r="E1110" s="21"/>
      <c r="F1110" s="6"/>
      <c r="G1110" s="6"/>
      <c r="H1110" s="6"/>
      <c r="I1110" s="6"/>
      <c r="J1110" s="30"/>
      <c r="K1110" s="6"/>
      <c r="L1110" s="29"/>
      <c r="M1110" s="6"/>
      <c r="N1110" s="6"/>
    </row>
    <row r="1111" customFormat="false" ht="15" hidden="false" customHeight="false" outlineLevel="0" collapsed="false">
      <c r="A1111" s="6"/>
      <c r="B1111" s="21"/>
      <c r="C1111" s="28"/>
      <c r="D1111" s="29"/>
      <c r="E1111" s="21"/>
      <c r="F1111" s="6"/>
      <c r="G1111" s="6"/>
      <c r="H1111" s="6"/>
      <c r="I1111" s="6"/>
      <c r="J1111" s="30"/>
      <c r="K1111" s="6"/>
      <c r="L1111" s="29"/>
      <c r="M1111" s="6"/>
      <c r="N1111" s="6"/>
    </row>
    <row r="1112" customFormat="false" ht="15" hidden="false" customHeight="false" outlineLevel="0" collapsed="false">
      <c r="A1112" s="6"/>
      <c r="B1112" s="21"/>
      <c r="C1112" s="28"/>
      <c r="D1112" s="29"/>
      <c r="E1112" s="21"/>
      <c r="F1112" s="6"/>
      <c r="G1112" s="6"/>
      <c r="H1112" s="6"/>
      <c r="I1112" s="6"/>
      <c r="J1112" s="30"/>
      <c r="K1112" s="6"/>
      <c r="L1112" s="29"/>
      <c r="M1112" s="6"/>
      <c r="N1112" s="6"/>
    </row>
    <row r="1113" customFormat="false" ht="15" hidden="false" customHeight="false" outlineLevel="0" collapsed="false">
      <c r="A1113" s="6"/>
      <c r="B1113" s="21"/>
      <c r="C1113" s="28"/>
      <c r="D1113" s="29"/>
      <c r="E1113" s="21"/>
      <c r="F1113" s="6"/>
      <c r="G1113" s="6"/>
      <c r="H1113" s="6"/>
      <c r="I1113" s="6"/>
      <c r="J1113" s="30"/>
      <c r="K1113" s="6"/>
      <c r="L1113" s="29"/>
      <c r="M1113" s="6"/>
      <c r="N1113" s="6"/>
    </row>
    <row r="1114" customFormat="false" ht="15" hidden="false" customHeight="false" outlineLevel="0" collapsed="false">
      <c r="A1114" s="6"/>
      <c r="B1114" s="21"/>
      <c r="C1114" s="28"/>
      <c r="D1114" s="29"/>
      <c r="E1114" s="21"/>
      <c r="F1114" s="6"/>
      <c r="G1114" s="6"/>
      <c r="H1114" s="6"/>
      <c r="I1114" s="6"/>
      <c r="J1114" s="30"/>
      <c r="K1114" s="6"/>
      <c r="L1114" s="29"/>
      <c r="M1114" s="6"/>
      <c r="N1114" s="6"/>
    </row>
    <row r="1115" customFormat="false" ht="15" hidden="false" customHeight="false" outlineLevel="0" collapsed="false">
      <c r="A1115" s="6"/>
      <c r="B1115" s="21"/>
      <c r="C1115" s="28"/>
      <c r="D1115" s="29"/>
      <c r="E1115" s="21"/>
      <c r="F1115" s="6"/>
      <c r="G1115" s="6"/>
      <c r="H1115" s="6"/>
      <c r="I1115" s="6"/>
      <c r="J1115" s="30"/>
      <c r="K1115" s="6"/>
      <c r="L1115" s="29"/>
      <c r="M1115" s="6"/>
      <c r="N1115" s="6"/>
    </row>
    <row r="1116" customFormat="false" ht="15" hidden="false" customHeight="false" outlineLevel="0" collapsed="false">
      <c r="A1116" s="6"/>
      <c r="B1116" s="21"/>
      <c r="C1116" s="28"/>
      <c r="D1116" s="29"/>
      <c r="E1116" s="21"/>
      <c r="F1116" s="6"/>
      <c r="G1116" s="6"/>
      <c r="H1116" s="6"/>
      <c r="I1116" s="6"/>
      <c r="J1116" s="30"/>
      <c r="K1116" s="6"/>
      <c r="L1116" s="29"/>
      <c r="M1116" s="6"/>
      <c r="N1116" s="6"/>
    </row>
    <row r="1117" customFormat="false" ht="15" hidden="false" customHeight="false" outlineLevel="0" collapsed="false">
      <c r="A1117" s="6"/>
      <c r="B1117" s="21"/>
      <c r="C1117" s="28"/>
      <c r="D1117" s="29"/>
      <c r="E1117" s="21"/>
      <c r="F1117" s="6"/>
      <c r="G1117" s="6"/>
      <c r="H1117" s="6"/>
      <c r="I1117" s="6"/>
      <c r="J1117" s="30"/>
      <c r="K1117" s="6"/>
      <c r="L1117" s="29"/>
      <c r="M1117" s="6"/>
      <c r="N1117" s="6"/>
    </row>
    <row r="1118" customFormat="false" ht="15" hidden="false" customHeight="false" outlineLevel="0" collapsed="false">
      <c r="A1118" s="6"/>
      <c r="B1118" s="21"/>
      <c r="C1118" s="28"/>
      <c r="D1118" s="29"/>
      <c r="E1118" s="21"/>
      <c r="F1118" s="6"/>
      <c r="G1118" s="6"/>
      <c r="H1118" s="6"/>
      <c r="I1118" s="6"/>
      <c r="J1118" s="30"/>
      <c r="K1118" s="6"/>
      <c r="L1118" s="29"/>
      <c r="M1118" s="6"/>
      <c r="N1118" s="6"/>
    </row>
    <row r="1119" customFormat="false" ht="15" hidden="false" customHeight="false" outlineLevel="0" collapsed="false">
      <c r="A1119" s="6"/>
      <c r="B1119" s="21"/>
      <c r="C1119" s="28"/>
      <c r="D1119" s="29"/>
      <c r="E1119" s="21"/>
      <c r="F1119" s="6"/>
      <c r="G1119" s="6"/>
      <c r="H1119" s="6"/>
      <c r="I1119" s="6"/>
      <c r="J1119" s="30"/>
      <c r="K1119" s="6"/>
      <c r="L1119" s="29"/>
      <c r="M1119" s="6"/>
      <c r="N1119" s="6"/>
    </row>
    <row r="1120" customFormat="false" ht="15" hidden="false" customHeight="false" outlineLevel="0" collapsed="false">
      <c r="A1120" s="6"/>
      <c r="B1120" s="21"/>
      <c r="C1120" s="28"/>
      <c r="D1120" s="29"/>
      <c r="E1120" s="21"/>
      <c r="F1120" s="6"/>
      <c r="G1120" s="6"/>
      <c r="H1120" s="6"/>
      <c r="I1120" s="6"/>
      <c r="J1120" s="30"/>
      <c r="K1120" s="6"/>
      <c r="L1120" s="29"/>
      <c r="M1120" s="6"/>
      <c r="N1120" s="6"/>
    </row>
    <row r="1121" customFormat="false" ht="15" hidden="false" customHeight="false" outlineLevel="0" collapsed="false">
      <c r="A1121" s="6"/>
      <c r="B1121" s="21"/>
      <c r="C1121" s="28"/>
      <c r="D1121" s="29"/>
      <c r="E1121" s="21"/>
      <c r="F1121" s="6"/>
      <c r="G1121" s="6"/>
      <c r="H1121" s="6"/>
      <c r="I1121" s="6"/>
      <c r="J1121" s="30"/>
      <c r="K1121" s="6"/>
      <c r="L1121" s="29"/>
      <c r="M1121" s="6"/>
      <c r="N1121" s="6"/>
    </row>
    <row r="1122" customFormat="false" ht="15" hidden="false" customHeight="false" outlineLevel="0" collapsed="false">
      <c r="A1122" s="6"/>
      <c r="B1122" s="21"/>
      <c r="C1122" s="28"/>
      <c r="D1122" s="29"/>
      <c r="E1122" s="21"/>
      <c r="F1122" s="6"/>
      <c r="G1122" s="6"/>
      <c r="H1122" s="6"/>
      <c r="I1122" s="6"/>
      <c r="J1122" s="30"/>
      <c r="K1122" s="6"/>
      <c r="L1122" s="29"/>
      <c r="M1122" s="6"/>
      <c r="N1122" s="6"/>
    </row>
    <row r="1123" customFormat="false" ht="15" hidden="false" customHeight="false" outlineLevel="0" collapsed="false">
      <c r="A1123" s="6"/>
      <c r="B1123" s="21"/>
      <c r="C1123" s="28"/>
      <c r="D1123" s="29"/>
      <c r="E1123" s="21"/>
      <c r="F1123" s="6"/>
      <c r="G1123" s="6"/>
      <c r="H1123" s="6"/>
      <c r="I1123" s="6"/>
      <c r="J1123" s="30"/>
      <c r="K1123" s="6"/>
      <c r="L1123" s="29"/>
      <c r="M1123" s="6"/>
      <c r="N1123" s="6"/>
    </row>
    <row r="1124" customFormat="false" ht="15" hidden="false" customHeight="false" outlineLevel="0" collapsed="false">
      <c r="A1124" s="6"/>
      <c r="B1124" s="21"/>
      <c r="C1124" s="28"/>
      <c r="D1124" s="29"/>
      <c r="E1124" s="21"/>
      <c r="F1124" s="6"/>
      <c r="G1124" s="6"/>
      <c r="H1124" s="6"/>
      <c r="I1124" s="6"/>
      <c r="J1124" s="30"/>
      <c r="K1124" s="6"/>
      <c r="L1124" s="29"/>
      <c r="M1124" s="6"/>
      <c r="N1124" s="6"/>
    </row>
    <row r="1125" customFormat="false" ht="15" hidden="false" customHeight="false" outlineLevel="0" collapsed="false">
      <c r="A1125" s="6"/>
      <c r="B1125" s="21"/>
      <c r="C1125" s="28"/>
      <c r="D1125" s="29"/>
      <c r="E1125" s="21"/>
      <c r="F1125" s="6"/>
      <c r="G1125" s="6"/>
      <c r="H1125" s="6"/>
      <c r="I1125" s="6"/>
      <c r="J1125" s="30"/>
      <c r="K1125" s="6"/>
      <c r="L1125" s="29"/>
      <c r="M1125" s="6"/>
      <c r="N1125" s="6"/>
    </row>
    <row r="1126" customFormat="false" ht="15" hidden="false" customHeight="false" outlineLevel="0" collapsed="false">
      <c r="A1126" s="6"/>
      <c r="B1126" s="21"/>
      <c r="C1126" s="28"/>
      <c r="D1126" s="29"/>
      <c r="E1126" s="21"/>
      <c r="F1126" s="6"/>
      <c r="G1126" s="6"/>
      <c r="H1126" s="6"/>
      <c r="I1126" s="6"/>
      <c r="J1126" s="30"/>
      <c r="K1126" s="6"/>
      <c r="L1126" s="29"/>
      <c r="M1126" s="6"/>
      <c r="N1126" s="6"/>
    </row>
    <row r="1127" customFormat="false" ht="15" hidden="false" customHeight="false" outlineLevel="0" collapsed="false">
      <c r="A1127" s="6"/>
      <c r="B1127" s="21"/>
      <c r="C1127" s="28"/>
      <c r="D1127" s="29"/>
      <c r="E1127" s="21"/>
      <c r="F1127" s="6"/>
      <c r="G1127" s="6"/>
      <c r="H1127" s="6"/>
      <c r="I1127" s="6"/>
      <c r="J1127" s="30"/>
      <c r="K1127" s="6"/>
      <c r="L1127" s="29"/>
      <c r="M1127" s="6"/>
      <c r="N1127" s="6"/>
    </row>
    <row r="1128" customFormat="false" ht="15" hidden="false" customHeight="false" outlineLevel="0" collapsed="false">
      <c r="A1128" s="6"/>
      <c r="B1128" s="21"/>
      <c r="C1128" s="28"/>
      <c r="D1128" s="29"/>
      <c r="E1128" s="21"/>
      <c r="F1128" s="6"/>
      <c r="G1128" s="6"/>
      <c r="H1128" s="6"/>
      <c r="I1128" s="6"/>
      <c r="J1128" s="30"/>
      <c r="K1128" s="6"/>
      <c r="L1128" s="29"/>
      <c r="M1128" s="6"/>
      <c r="N1128" s="6"/>
    </row>
    <row r="1129" customFormat="false" ht="15" hidden="false" customHeight="false" outlineLevel="0" collapsed="false">
      <c r="A1129" s="6"/>
      <c r="B1129" s="21"/>
      <c r="C1129" s="28"/>
      <c r="D1129" s="29"/>
      <c r="E1129" s="21"/>
      <c r="F1129" s="6"/>
      <c r="G1129" s="6"/>
      <c r="H1129" s="6"/>
      <c r="I1129" s="6"/>
      <c r="J1129" s="30"/>
      <c r="K1129" s="6"/>
      <c r="L1129" s="29"/>
      <c r="M1129" s="6"/>
      <c r="N1129" s="6"/>
    </row>
    <row r="1130" customFormat="false" ht="15" hidden="false" customHeight="false" outlineLevel="0" collapsed="false">
      <c r="A1130" s="6"/>
      <c r="B1130" s="21"/>
      <c r="C1130" s="28"/>
      <c r="D1130" s="29"/>
      <c r="E1130" s="21"/>
      <c r="F1130" s="6"/>
      <c r="G1130" s="6"/>
      <c r="H1130" s="6"/>
      <c r="I1130" s="6"/>
      <c r="J1130" s="30"/>
      <c r="K1130" s="6"/>
      <c r="L1130" s="29"/>
      <c r="M1130" s="6"/>
      <c r="N1130" s="6"/>
    </row>
    <row r="1131" customFormat="false" ht="15" hidden="false" customHeight="false" outlineLevel="0" collapsed="false">
      <c r="A1131" s="6"/>
      <c r="B1131" s="21"/>
      <c r="C1131" s="28"/>
      <c r="D1131" s="29"/>
      <c r="E1131" s="21"/>
      <c r="F1131" s="6"/>
      <c r="G1131" s="6"/>
      <c r="H1131" s="6"/>
      <c r="I1131" s="6"/>
      <c r="J1131" s="30"/>
      <c r="K1131" s="6"/>
      <c r="L1131" s="29"/>
      <c r="M1131" s="6"/>
      <c r="N1131" s="6"/>
    </row>
    <row r="1132" customFormat="false" ht="15" hidden="false" customHeight="false" outlineLevel="0" collapsed="false">
      <c r="A1132" s="6"/>
      <c r="B1132" s="21"/>
      <c r="C1132" s="28"/>
      <c r="D1132" s="29"/>
      <c r="E1132" s="21"/>
      <c r="F1132" s="6"/>
      <c r="G1132" s="6"/>
      <c r="H1132" s="6"/>
      <c r="I1132" s="6"/>
      <c r="J1132" s="30"/>
      <c r="K1132" s="6"/>
      <c r="L1132" s="29"/>
      <c r="M1132" s="6"/>
      <c r="N1132" s="6"/>
    </row>
    <row r="1133" customFormat="false" ht="15" hidden="false" customHeight="false" outlineLevel="0" collapsed="false">
      <c r="A1133" s="6"/>
      <c r="B1133" s="21"/>
      <c r="C1133" s="28"/>
      <c r="D1133" s="29"/>
      <c r="E1133" s="21"/>
      <c r="F1133" s="6"/>
      <c r="G1133" s="6"/>
      <c r="H1133" s="6"/>
      <c r="I1133" s="6"/>
      <c r="J1133" s="30"/>
      <c r="K1133" s="6"/>
      <c r="L1133" s="29"/>
      <c r="M1133" s="6"/>
      <c r="N1133" s="6"/>
    </row>
    <row r="1134" customFormat="false" ht="15" hidden="false" customHeight="false" outlineLevel="0" collapsed="false">
      <c r="A1134" s="6"/>
      <c r="B1134" s="21"/>
      <c r="C1134" s="28"/>
      <c r="D1134" s="29"/>
      <c r="E1134" s="21"/>
      <c r="F1134" s="6"/>
      <c r="G1134" s="6"/>
      <c r="H1134" s="6"/>
      <c r="I1134" s="6"/>
      <c r="J1134" s="30"/>
      <c r="K1134" s="6"/>
      <c r="L1134" s="29"/>
      <c r="M1134" s="6"/>
      <c r="N1134" s="6"/>
    </row>
    <row r="1135" customFormat="false" ht="15" hidden="false" customHeight="false" outlineLevel="0" collapsed="false">
      <c r="A1135" s="6"/>
      <c r="B1135" s="21"/>
      <c r="C1135" s="28"/>
      <c r="D1135" s="29"/>
      <c r="E1135" s="21"/>
      <c r="F1135" s="6"/>
      <c r="G1135" s="6"/>
      <c r="H1135" s="6"/>
      <c r="I1135" s="6"/>
      <c r="J1135" s="30"/>
      <c r="K1135" s="6"/>
      <c r="L1135" s="29"/>
      <c r="M1135" s="6"/>
      <c r="N1135" s="6"/>
    </row>
    <row r="1136" customFormat="false" ht="15" hidden="false" customHeight="false" outlineLevel="0" collapsed="false">
      <c r="A1136" s="6"/>
      <c r="B1136" s="21"/>
      <c r="C1136" s="28"/>
      <c r="D1136" s="29"/>
      <c r="E1136" s="21"/>
      <c r="F1136" s="6"/>
      <c r="G1136" s="6"/>
      <c r="H1136" s="6"/>
      <c r="I1136" s="6"/>
      <c r="J1136" s="30"/>
      <c r="K1136" s="6"/>
      <c r="L1136" s="29"/>
      <c r="M1136" s="6"/>
      <c r="N1136" s="6"/>
    </row>
    <row r="1137" customFormat="false" ht="15" hidden="false" customHeight="false" outlineLevel="0" collapsed="false">
      <c r="A1137" s="6"/>
      <c r="B1137" s="21"/>
      <c r="C1137" s="28"/>
      <c r="D1137" s="29"/>
      <c r="E1137" s="21"/>
      <c r="F1137" s="6"/>
      <c r="G1137" s="6"/>
      <c r="H1137" s="6"/>
      <c r="I1137" s="6"/>
      <c r="J1137" s="30"/>
      <c r="K1137" s="6"/>
      <c r="L1137" s="29"/>
      <c r="M1137" s="6"/>
      <c r="N1137" s="6"/>
    </row>
    <row r="1138" customFormat="false" ht="15" hidden="false" customHeight="false" outlineLevel="0" collapsed="false">
      <c r="A1138" s="6"/>
      <c r="B1138" s="21"/>
      <c r="C1138" s="28"/>
      <c r="D1138" s="29"/>
      <c r="E1138" s="21"/>
      <c r="F1138" s="6"/>
      <c r="G1138" s="6"/>
      <c r="H1138" s="6"/>
      <c r="I1138" s="6"/>
      <c r="J1138" s="30"/>
      <c r="K1138" s="6"/>
      <c r="L1138" s="29"/>
      <c r="M1138" s="6"/>
      <c r="N1138" s="6"/>
    </row>
    <row r="1139" customFormat="false" ht="15" hidden="false" customHeight="false" outlineLevel="0" collapsed="false">
      <c r="A1139" s="6"/>
      <c r="B1139" s="21"/>
      <c r="C1139" s="28"/>
      <c r="D1139" s="29"/>
      <c r="E1139" s="21"/>
      <c r="F1139" s="6"/>
      <c r="G1139" s="6"/>
      <c r="H1139" s="6"/>
      <c r="I1139" s="6"/>
      <c r="J1139" s="30"/>
      <c r="K1139" s="6"/>
      <c r="L1139" s="29"/>
      <c r="M1139" s="6"/>
      <c r="N1139" s="6"/>
    </row>
    <row r="1140" customFormat="false" ht="15" hidden="false" customHeight="false" outlineLevel="0" collapsed="false">
      <c r="A1140" s="6"/>
      <c r="B1140" s="21"/>
      <c r="C1140" s="28"/>
      <c r="D1140" s="29"/>
      <c r="E1140" s="21"/>
      <c r="F1140" s="6"/>
      <c r="G1140" s="6"/>
      <c r="H1140" s="6"/>
      <c r="I1140" s="6"/>
      <c r="J1140" s="30"/>
      <c r="K1140" s="6"/>
      <c r="L1140" s="29"/>
      <c r="M1140" s="6"/>
      <c r="N1140" s="6"/>
    </row>
    <row r="1141" customFormat="false" ht="15" hidden="false" customHeight="false" outlineLevel="0" collapsed="false">
      <c r="A1141" s="6"/>
      <c r="B1141" s="21"/>
      <c r="C1141" s="28"/>
      <c r="D1141" s="29"/>
      <c r="E1141" s="21"/>
      <c r="F1141" s="6"/>
      <c r="G1141" s="6"/>
      <c r="H1141" s="6"/>
      <c r="I1141" s="6"/>
      <c r="J1141" s="30"/>
      <c r="K1141" s="6"/>
      <c r="L1141" s="29"/>
      <c r="M1141" s="6"/>
      <c r="N1141" s="6"/>
    </row>
    <row r="1142" customFormat="false" ht="15" hidden="false" customHeight="false" outlineLevel="0" collapsed="false">
      <c r="A1142" s="6"/>
      <c r="B1142" s="21"/>
      <c r="C1142" s="28"/>
      <c r="D1142" s="29"/>
      <c r="E1142" s="21"/>
      <c r="F1142" s="6"/>
      <c r="G1142" s="6"/>
      <c r="H1142" s="6"/>
      <c r="I1142" s="6"/>
      <c r="J1142" s="30"/>
      <c r="K1142" s="6"/>
      <c r="L1142" s="29"/>
      <c r="M1142" s="6"/>
      <c r="N1142" s="6"/>
    </row>
    <row r="1143" customFormat="false" ht="15" hidden="false" customHeight="false" outlineLevel="0" collapsed="false">
      <c r="A1143" s="6"/>
      <c r="B1143" s="21"/>
      <c r="C1143" s="28"/>
      <c r="D1143" s="29"/>
      <c r="E1143" s="21"/>
      <c r="F1143" s="6"/>
      <c r="G1143" s="6"/>
      <c r="H1143" s="6"/>
      <c r="I1143" s="6"/>
      <c r="J1143" s="30"/>
      <c r="K1143" s="6"/>
      <c r="L1143" s="29"/>
      <c r="M1143" s="6"/>
      <c r="N1143" s="6"/>
    </row>
    <row r="1144" customFormat="false" ht="15" hidden="false" customHeight="false" outlineLevel="0" collapsed="false">
      <c r="A1144" s="6"/>
      <c r="B1144" s="21"/>
      <c r="C1144" s="28"/>
      <c r="D1144" s="29"/>
      <c r="E1144" s="21"/>
      <c r="F1144" s="6"/>
      <c r="G1144" s="6"/>
      <c r="H1144" s="6"/>
      <c r="I1144" s="6"/>
      <c r="J1144" s="30"/>
      <c r="K1144" s="6"/>
      <c r="L1144" s="29"/>
      <c r="M1144" s="6"/>
      <c r="N1144" s="6"/>
    </row>
    <row r="1145" customFormat="false" ht="15" hidden="false" customHeight="false" outlineLevel="0" collapsed="false">
      <c r="A1145" s="6"/>
      <c r="B1145" s="21"/>
      <c r="C1145" s="28"/>
      <c r="D1145" s="29"/>
      <c r="E1145" s="21"/>
      <c r="F1145" s="6"/>
      <c r="G1145" s="6"/>
      <c r="H1145" s="6"/>
      <c r="I1145" s="6"/>
      <c r="J1145" s="30"/>
      <c r="K1145" s="6"/>
      <c r="L1145" s="29"/>
      <c r="M1145" s="6"/>
      <c r="N1145" s="6"/>
    </row>
    <row r="1146" customFormat="false" ht="15" hidden="false" customHeight="false" outlineLevel="0" collapsed="false">
      <c r="A1146" s="6"/>
      <c r="B1146" s="21"/>
      <c r="C1146" s="28"/>
      <c r="D1146" s="29"/>
      <c r="E1146" s="21"/>
      <c r="F1146" s="6"/>
      <c r="G1146" s="6"/>
      <c r="H1146" s="6"/>
      <c r="I1146" s="6"/>
      <c r="J1146" s="30"/>
      <c r="K1146" s="6"/>
      <c r="L1146" s="29"/>
      <c r="M1146" s="6"/>
      <c r="N1146" s="6"/>
    </row>
    <row r="1147" customFormat="false" ht="15" hidden="false" customHeight="false" outlineLevel="0" collapsed="false">
      <c r="A1147" s="6"/>
      <c r="B1147" s="21"/>
      <c r="C1147" s="28"/>
      <c r="D1147" s="29"/>
      <c r="E1147" s="21"/>
      <c r="F1147" s="6"/>
      <c r="G1147" s="6"/>
      <c r="H1147" s="6"/>
      <c r="I1147" s="6"/>
      <c r="J1147" s="30"/>
      <c r="K1147" s="6"/>
      <c r="L1147" s="29"/>
      <c r="M1147" s="6"/>
      <c r="N1147" s="6"/>
    </row>
    <row r="1148" customFormat="false" ht="15" hidden="false" customHeight="false" outlineLevel="0" collapsed="false">
      <c r="A1148" s="6"/>
      <c r="B1148" s="21"/>
      <c r="C1148" s="28"/>
      <c r="D1148" s="29"/>
      <c r="E1148" s="21"/>
      <c r="F1148" s="6"/>
      <c r="G1148" s="6"/>
      <c r="H1148" s="6"/>
      <c r="I1148" s="6"/>
      <c r="J1148" s="30"/>
      <c r="K1148" s="6"/>
      <c r="L1148" s="29"/>
      <c r="M1148" s="6"/>
      <c r="N1148" s="6"/>
    </row>
    <row r="1149" customFormat="false" ht="15" hidden="false" customHeight="false" outlineLevel="0" collapsed="false">
      <c r="A1149" s="6"/>
      <c r="B1149" s="21"/>
      <c r="C1149" s="28"/>
      <c r="D1149" s="29"/>
      <c r="E1149" s="21"/>
      <c r="F1149" s="6"/>
      <c r="G1149" s="6"/>
      <c r="H1149" s="6"/>
      <c r="I1149" s="6"/>
      <c r="J1149" s="30"/>
      <c r="K1149" s="6"/>
      <c r="L1149" s="29"/>
      <c r="M1149" s="6"/>
      <c r="N1149" s="6"/>
    </row>
    <row r="1150" customFormat="false" ht="15" hidden="false" customHeight="false" outlineLevel="0" collapsed="false">
      <c r="A1150" s="6"/>
      <c r="B1150" s="21"/>
      <c r="C1150" s="28"/>
      <c r="D1150" s="29"/>
      <c r="E1150" s="21"/>
      <c r="F1150" s="6"/>
      <c r="G1150" s="6"/>
      <c r="H1150" s="6"/>
      <c r="I1150" s="6"/>
      <c r="J1150" s="30"/>
      <c r="K1150" s="6"/>
      <c r="L1150" s="29"/>
      <c r="M1150" s="6"/>
      <c r="N1150" s="6"/>
    </row>
    <row r="1151" customFormat="false" ht="15" hidden="false" customHeight="false" outlineLevel="0" collapsed="false">
      <c r="A1151" s="6"/>
      <c r="B1151" s="21"/>
      <c r="C1151" s="28"/>
      <c r="D1151" s="29"/>
      <c r="E1151" s="21"/>
      <c r="F1151" s="6"/>
      <c r="G1151" s="6"/>
      <c r="H1151" s="6"/>
      <c r="I1151" s="6"/>
      <c r="J1151" s="30"/>
      <c r="K1151" s="6"/>
      <c r="L1151" s="29"/>
      <c r="M1151" s="6"/>
      <c r="N1151" s="6"/>
    </row>
    <row r="1152" customFormat="false" ht="15" hidden="false" customHeight="false" outlineLevel="0" collapsed="false">
      <c r="A1152" s="6"/>
      <c r="B1152" s="21"/>
      <c r="C1152" s="28"/>
      <c r="D1152" s="29"/>
      <c r="E1152" s="21"/>
      <c r="F1152" s="6"/>
      <c r="G1152" s="6"/>
      <c r="H1152" s="6"/>
      <c r="I1152" s="6"/>
      <c r="J1152" s="30"/>
      <c r="K1152" s="6"/>
      <c r="L1152" s="29"/>
      <c r="M1152" s="6"/>
      <c r="N1152" s="6"/>
    </row>
    <row r="1153" customFormat="false" ht="15" hidden="false" customHeight="false" outlineLevel="0" collapsed="false">
      <c r="A1153" s="6"/>
      <c r="B1153" s="21"/>
      <c r="C1153" s="28"/>
      <c r="D1153" s="29"/>
      <c r="E1153" s="21"/>
      <c r="F1153" s="6"/>
      <c r="G1153" s="6"/>
      <c r="H1153" s="6"/>
      <c r="I1153" s="6"/>
      <c r="J1153" s="30"/>
      <c r="K1153" s="6"/>
      <c r="L1153" s="29"/>
      <c r="M1153" s="6"/>
      <c r="N1153" s="6"/>
    </row>
    <row r="1154" customFormat="false" ht="15" hidden="false" customHeight="false" outlineLevel="0" collapsed="false">
      <c r="A1154" s="6"/>
      <c r="B1154" s="21"/>
      <c r="C1154" s="28"/>
      <c r="D1154" s="29"/>
      <c r="E1154" s="21"/>
      <c r="F1154" s="6"/>
      <c r="G1154" s="6"/>
      <c r="H1154" s="6"/>
      <c r="I1154" s="6"/>
      <c r="J1154" s="30"/>
      <c r="K1154" s="6"/>
      <c r="L1154" s="29"/>
      <c r="M1154" s="6"/>
      <c r="N1154" s="6"/>
    </row>
    <row r="1155" customFormat="false" ht="15" hidden="false" customHeight="false" outlineLevel="0" collapsed="false">
      <c r="A1155" s="6"/>
      <c r="B1155" s="21"/>
      <c r="C1155" s="28"/>
      <c r="D1155" s="29"/>
      <c r="E1155" s="21"/>
      <c r="F1155" s="6"/>
      <c r="G1155" s="6"/>
      <c r="H1155" s="6"/>
      <c r="I1155" s="6"/>
      <c r="J1155" s="30"/>
      <c r="K1155" s="6"/>
      <c r="L1155" s="29"/>
      <c r="M1155" s="6"/>
      <c r="N1155" s="6"/>
    </row>
    <row r="1156" customFormat="false" ht="15" hidden="false" customHeight="false" outlineLevel="0" collapsed="false">
      <c r="A1156" s="6"/>
      <c r="B1156" s="21"/>
      <c r="C1156" s="28"/>
      <c r="D1156" s="29"/>
      <c r="E1156" s="21"/>
      <c r="F1156" s="6"/>
      <c r="G1156" s="6"/>
      <c r="H1156" s="6"/>
      <c r="I1156" s="6"/>
      <c r="J1156" s="30"/>
      <c r="K1156" s="6"/>
      <c r="L1156" s="29"/>
      <c r="M1156" s="6"/>
      <c r="N1156" s="6"/>
    </row>
    <row r="1157" customFormat="false" ht="15" hidden="false" customHeight="false" outlineLevel="0" collapsed="false">
      <c r="A1157" s="6"/>
      <c r="B1157" s="21"/>
      <c r="C1157" s="28"/>
      <c r="D1157" s="29"/>
      <c r="E1157" s="21"/>
      <c r="F1157" s="6"/>
      <c r="G1157" s="6"/>
      <c r="H1157" s="6"/>
      <c r="I1157" s="6"/>
      <c r="J1157" s="30"/>
      <c r="K1157" s="6"/>
      <c r="L1157" s="29"/>
      <c r="M1157" s="6"/>
      <c r="N1157" s="6"/>
    </row>
    <row r="1158" customFormat="false" ht="15" hidden="false" customHeight="false" outlineLevel="0" collapsed="false">
      <c r="A1158" s="6"/>
      <c r="B1158" s="21"/>
      <c r="C1158" s="28"/>
      <c r="D1158" s="29"/>
      <c r="E1158" s="21"/>
      <c r="F1158" s="6"/>
      <c r="G1158" s="6"/>
      <c r="H1158" s="6"/>
      <c r="I1158" s="6"/>
      <c r="J1158" s="30"/>
      <c r="K1158" s="6"/>
      <c r="L1158" s="29"/>
      <c r="M1158" s="6"/>
      <c r="N1158" s="6"/>
    </row>
    <row r="1159" customFormat="false" ht="15" hidden="false" customHeight="false" outlineLevel="0" collapsed="false">
      <c r="A1159" s="6"/>
      <c r="B1159" s="21"/>
      <c r="C1159" s="28"/>
      <c r="D1159" s="29"/>
      <c r="E1159" s="21"/>
      <c r="F1159" s="6"/>
      <c r="G1159" s="6"/>
      <c r="H1159" s="6"/>
      <c r="I1159" s="6"/>
      <c r="J1159" s="30"/>
      <c r="K1159" s="6"/>
      <c r="L1159" s="29"/>
      <c r="M1159" s="6"/>
      <c r="N1159" s="6"/>
    </row>
    <row r="1160" customFormat="false" ht="15" hidden="false" customHeight="false" outlineLevel="0" collapsed="false">
      <c r="A1160" s="6"/>
      <c r="B1160" s="21"/>
      <c r="C1160" s="28"/>
      <c r="D1160" s="29"/>
      <c r="E1160" s="21"/>
      <c r="F1160" s="6"/>
      <c r="G1160" s="6"/>
      <c r="H1160" s="6"/>
      <c r="I1160" s="6"/>
      <c r="J1160" s="30"/>
      <c r="K1160" s="6"/>
      <c r="L1160" s="29"/>
      <c r="M1160" s="6"/>
      <c r="N1160" s="6"/>
    </row>
    <row r="1161" customFormat="false" ht="15" hidden="false" customHeight="false" outlineLevel="0" collapsed="false">
      <c r="A1161" s="6"/>
      <c r="B1161" s="21"/>
      <c r="C1161" s="28"/>
      <c r="D1161" s="29"/>
      <c r="E1161" s="21"/>
      <c r="F1161" s="6"/>
      <c r="G1161" s="6"/>
      <c r="H1161" s="6"/>
      <c r="I1161" s="6"/>
      <c r="J1161" s="30"/>
      <c r="K1161" s="6"/>
      <c r="L1161" s="29"/>
      <c r="M1161" s="6"/>
      <c r="N1161" s="6"/>
    </row>
    <row r="1162" customFormat="false" ht="15" hidden="false" customHeight="false" outlineLevel="0" collapsed="false">
      <c r="A1162" s="6"/>
      <c r="B1162" s="21"/>
      <c r="C1162" s="28"/>
      <c r="D1162" s="29"/>
      <c r="E1162" s="21"/>
      <c r="F1162" s="6"/>
      <c r="G1162" s="6"/>
      <c r="H1162" s="6"/>
      <c r="I1162" s="6"/>
      <c r="J1162" s="30"/>
      <c r="K1162" s="6"/>
      <c r="L1162" s="29"/>
      <c r="M1162" s="6"/>
      <c r="N1162" s="6"/>
    </row>
    <row r="1163" customFormat="false" ht="15" hidden="false" customHeight="false" outlineLevel="0" collapsed="false">
      <c r="A1163" s="6"/>
      <c r="B1163" s="21"/>
      <c r="C1163" s="28"/>
      <c r="D1163" s="29"/>
      <c r="E1163" s="21"/>
      <c r="F1163" s="6"/>
      <c r="G1163" s="6"/>
      <c r="H1163" s="6"/>
      <c r="I1163" s="6"/>
      <c r="J1163" s="30"/>
      <c r="K1163" s="6"/>
      <c r="L1163" s="29"/>
      <c r="M1163" s="6"/>
      <c r="N1163" s="6"/>
    </row>
    <row r="1164" customFormat="false" ht="15" hidden="false" customHeight="false" outlineLevel="0" collapsed="false">
      <c r="A1164" s="6"/>
      <c r="B1164" s="21"/>
      <c r="C1164" s="28"/>
      <c r="D1164" s="29"/>
      <c r="E1164" s="21"/>
      <c r="F1164" s="6"/>
      <c r="G1164" s="6"/>
      <c r="H1164" s="6"/>
      <c r="I1164" s="6"/>
      <c r="J1164" s="30"/>
      <c r="K1164" s="6"/>
      <c r="L1164" s="29"/>
      <c r="M1164" s="6"/>
      <c r="N1164" s="6"/>
    </row>
    <row r="1165" customFormat="false" ht="15" hidden="false" customHeight="false" outlineLevel="0" collapsed="false">
      <c r="A1165" s="6"/>
      <c r="B1165" s="21"/>
      <c r="C1165" s="28"/>
      <c r="D1165" s="29"/>
      <c r="E1165" s="21"/>
      <c r="F1165" s="6"/>
      <c r="G1165" s="6"/>
      <c r="H1165" s="6"/>
      <c r="I1165" s="6"/>
      <c r="J1165" s="30"/>
      <c r="K1165" s="6"/>
      <c r="L1165" s="29"/>
      <c r="M1165" s="6"/>
      <c r="N1165" s="6"/>
    </row>
    <row r="1166" customFormat="false" ht="15" hidden="false" customHeight="false" outlineLevel="0" collapsed="false">
      <c r="A1166" s="6"/>
      <c r="B1166" s="21"/>
      <c r="C1166" s="28"/>
      <c r="D1166" s="29"/>
      <c r="E1166" s="21"/>
      <c r="F1166" s="6"/>
      <c r="G1166" s="6"/>
      <c r="H1166" s="6"/>
      <c r="I1166" s="6"/>
      <c r="J1166" s="30"/>
      <c r="K1166" s="6"/>
      <c r="L1166" s="29"/>
      <c r="M1166" s="6"/>
      <c r="N1166" s="6"/>
    </row>
    <row r="1167" customFormat="false" ht="15" hidden="false" customHeight="false" outlineLevel="0" collapsed="false">
      <c r="A1167" s="6"/>
      <c r="B1167" s="21"/>
      <c r="C1167" s="28"/>
      <c r="D1167" s="29"/>
      <c r="E1167" s="21"/>
      <c r="F1167" s="6"/>
      <c r="G1167" s="6"/>
      <c r="H1167" s="6"/>
      <c r="I1167" s="6"/>
      <c r="J1167" s="30"/>
      <c r="K1167" s="6"/>
      <c r="L1167" s="29"/>
      <c r="M1167" s="6"/>
      <c r="N1167" s="6"/>
    </row>
    <row r="1168" customFormat="false" ht="15" hidden="false" customHeight="false" outlineLevel="0" collapsed="false">
      <c r="A1168" s="6"/>
      <c r="B1168" s="21"/>
      <c r="C1168" s="28"/>
      <c r="D1168" s="29"/>
      <c r="E1168" s="21"/>
      <c r="F1168" s="6"/>
      <c r="G1168" s="6"/>
      <c r="H1168" s="6"/>
      <c r="I1168" s="6"/>
      <c r="J1168" s="30"/>
      <c r="K1168" s="6"/>
      <c r="L1168" s="29"/>
      <c r="M1168" s="6"/>
      <c r="N1168" s="6"/>
    </row>
    <row r="1169" customFormat="false" ht="15" hidden="false" customHeight="false" outlineLevel="0" collapsed="false">
      <c r="A1169" s="6"/>
      <c r="B1169" s="21"/>
      <c r="C1169" s="28"/>
      <c r="D1169" s="29"/>
      <c r="E1169" s="21"/>
      <c r="F1169" s="6"/>
      <c r="G1169" s="6"/>
      <c r="H1169" s="6"/>
      <c r="I1169" s="6"/>
      <c r="J1169" s="30"/>
      <c r="K1169" s="6"/>
      <c r="L1169" s="29"/>
      <c r="M1169" s="6"/>
      <c r="N1169" s="6"/>
    </row>
    <row r="1170" customFormat="false" ht="15" hidden="false" customHeight="false" outlineLevel="0" collapsed="false">
      <c r="A1170" s="6"/>
      <c r="B1170" s="21"/>
      <c r="C1170" s="28"/>
      <c r="D1170" s="29"/>
      <c r="E1170" s="21"/>
      <c r="F1170" s="6"/>
      <c r="G1170" s="6"/>
      <c r="H1170" s="6"/>
      <c r="I1170" s="6"/>
      <c r="J1170" s="30"/>
      <c r="K1170" s="6"/>
      <c r="L1170" s="29"/>
      <c r="M1170" s="6"/>
      <c r="N1170" s="6"/>
    </row>
    <row r="1171" customFormat="false" ht="15" hidden="false" customHeight="false" outlineLevel="0" collapsed="false">
      <c r="A1171" s="6"/>
      <c r="B1171" s="21"/>
      <c r="C1171" s="28"/>
      <c r="D1171" s="29"/>
      <c r="E1171" s="21"/>
      <c r="F1171" s="6"/>
      <c r="G1171" s="6"/>
      <c r="H1171" s="6"/>
      <c r="I1171" s="6"/>
      <c r="J1171" s="30"/>
      <c r="K1171" s="6"/>
      <c r="L1171" s="29"/>
      <c r="M1171" s="6"/>
      <c r="N1171" s="6"/>
    </row>
    <row r="1172" customFormat="false" ht="15" hidden="false" customHeight="false" outlineLevel="0" collapsed="false">
      <c r="A1172" s="6"/>
      <c r="B1172" s="21"/>
      <c r="C1172" s="28"/>
      <c r="D1172" s="29"/>
      <c r="E1172" s="21"/>
      <c r="F1172" s="6"/>
      <c r="G1172" s="6"/>
      <c r="H1172" s="6"/>
      <c r="I1172" s="6"/>
      <c r="J1172" s="30"/>
      <c r="K1172" s="6"/>
      <c r="L1172" s="29"/>
      <c r="M1172" s="6"/>
      <c r="N1172" s="6"/>
    </row>
    <row r="1173" customFormat="false" ht="15" hidden="false" customHeight="false" outlineLevel="0" collapsed="false">
      <c r="A1173" s="6"/>
      <c r="B1173" s="21"/>
      <c r="C1173" s="28"/>
      <c r="D1173" s="29"/>
      <c r="E1173" s="21"/>
      <c r="F1173" s="6"/>
      <c r="G1173" s="6"/>
      <c r="H1173" s="6"/>
      <c r="I1173" s="6"/>
      <c r="J1173" s="30"/>
      <c r="K1173" s="6"/>
      <c r="L1173" s="29"/>
      <c r="M1173" s="6"/>
      <c r="N1173" s="6"/>
    </row>
    <row r="1174" customFormat="false" ht="15" hidden="false" customHeight="false" outlineLevel="0" collapsed="false">
      <c r="A1174" s="6"/>
      <c r="B1174" s="21"/>
      <c r="C1174" s="28"/>
      <c r="D1174" s="29"/>
      <c r="E1174" s="21"/>
      <c r="F1174" s="6"/>
      <c r="G1174" s="6"/>
      <c r="H1174" s="6"/>
      <c r="I1174" s="6"/>
      <c r="J1174" s="30"/>
      <c r="K1174" s="6"/>
      <c r="L1174" s="29"/>
      <c r="M1174" s="6"/>
      <c r="N1174" s="6"/>
    </row>
    <row r="1175" customFormat="false" ht="15" hidden="false" customHeight="false" outlineLevel="0" collapsed="false">
      <c r="A1175" s="6"/>
      <c r="B1175" s="21"/>
      <c r="C1175" s="28"/>
      <c r="D1175" s="29"/>
      <c r="E1175" s="21"/>
      <c r="F1175" s="6"/>
      <c r="G1175" s="6"/>
      <c r="H1175" s="6"/>
      <c r="I1175" s="6"/>
      <c r="J1175" s="30"/>
      <c r="K1175" s="6"/>
      <c r="L1175" s="29"/>
      <c r="M1175" s="6"/>
      <c r="N1175" s="6"/>
    </row>
    <row r="1176" customFormat="false" ht="15" hidden="false" customHeight="false" outlineLevel="0" collapsed="false">
      <c r="A1176" s="6"/>
      <c r="B1176" s="21"/>
      <c r="C1176" s="28"/>
      <c r="D1176" s="29"/>
      <c r="E1176" s="21"/>
      <c r="F1176" s="6"/>
      <c r="G1176" s="6"/>
      <c r="H1176" s="6"/>
      <c r="I1176" s="6"/>
      <c r="J1176" s="30"/>
      <c r="K1176" s="6"/>
      <c r="L1176" s="29"/>
      <c r="M1176" s="6"/>
      <c r="N1176" s="6"/>
    </row>
    <row r="1177" customFormat="false" ht="15" hidden="false" customHeight="false" outlineLevel="0" collapsed="false">
      <c r="A1177" s="6"/>
      <c r="B1177" s="21"/>
      <c r="C1177" s="28"/>
      <c r="D1177" s="29"/>
      <c r="E1177" s="21"/>
      <c r="F1177" s="6"/>
      <c r="G1177" s="6"/>
      <c r="H1177" s="6"/>
      <c r="I1177" s="6"/>
      <c r="J1177" s="30"/>
      <c r="K1177" s="6"/>
      <c r="L1177" s="29"/>
      <c r="M1177" s="6"/>
      <c r="N1177" s="6"/>
    </row>
    <row r="1178" customFormat="false" ht="15" hidden="false" customHeight="false" outlineLevel="0" collapsed="false">
      <c r="A1178" s="6"/>
      <c r="B1178" s="21"/>
      <c r="C1178" s="28"/>
      <c r="D1178" s="29"/>
      <c r="E1178" s="21"/>
      <c r="F1178" s="6"/>
      <c r="G1178" s="6"/>
      <c r="H1178" s="6"/>
      <c r="I1178" s="6"/>
      <c r="J1178" s="30"/>
      <c r="K1178" s="6"/>
      <c r="L1178" s="29"/>
      <c r="M1178" s="6"/>
      <c r="N1178" s="6"/>
    </row>
    <row r="1179" customFormat="false" ht="15" hidden="false" customHeight="false" outlineLevel="0" collapsed="false">
      <c r="A1179" s="6"/>
      <c r="B1179" s="21"/>
      <c r="C1179" s="28"/>
      <c r="D1179" s="29"/>
      <c r="E1179" s="21"/>
      <c r="F1179" s="6"/>
      <c r="G1179" s="6"/>
      <c r="H1179" s="6"/>
      <c r="I1179" s="6"/>
      <c r="J1179" s="30"/>
      <c r="K1179" s="6"/>
      <c r="L1179" s="29"/>
      <c r="M1179" s="6"/>
      <c r="N1179" s="6"/>
    </row>
    <row r="1180" customFormat="false" ht="15" hidden="false" customHeight="false" outlineLevel="0" collapsed="false">
      <c r="A1180" s="6"/>
      <c r="B1180" s="21"/>
      <c r="C1180" s="28"/>
      <c r="D1180" s="29"/>
      <c r="E1180" s="21"/>
      <c r="F1180" s="6"/>
      <c r="G1180" s="6"/>
      <c r="H1180" s="6"/>
      <c r="I1180" s="6"/>
      <c r="J1180" s="30"/>
      <c r="K1180" s="6"/>
      <c r="L1180" s="29"/>
      <c r="M1180" s="6"/>
      <c r="N1180" s="6"/>
    </row>
    <row r="1181" customFormat="false" ht="15" hidden="false" customHeight="false" outlineLevel="0" collapsed="false">
      <c r="A1181" s="6"/>
      <c r="B1181" s="21"/>
      <c r="C1181" s="28"/>
      <c r="D1181" s="29"/>
      <c r="E1181" s="21"/>
      <c r="F1181" s="6"/>
      <c r="G1181" s="6"/>
      <c r="H1181" s="6"/>
      <c r="I1181" s="6"/>
      <c r="J1181" s="30"/>
      <c r="K1181" s="6"/>
      <c r="L1181" s="29"/>
      <c r="M1181" s="6"/>
      <c r="N1181" s="6"/>
    </row>
    <row r="1182" customFormat="false" ht="15" hidden="false" customHeight="false" outlineLevel="0" collapsed="false">
      <c r="A1182" s="6"/>
      <c r="B1182" s="21"/>
      <c r="C1182" s="28"/>
      <c r="D1182" s="29"/>
      <c r="E1182" s="21"/>
      <c r="F1182" s="6"/>
      <c r="G1182" s="6"/>
      <c r="H1182" s="6"/>
      <c r="I1182" s="6"/>
      <c r="J1182" s="30"/>
      <c r="K1182" s="6"/>
      <c r="L1182" s="29"/>
      <c r="M1182" s="6"/>
      <c r="N1182" s="6"/>
    </row>
    <row r="1183" customFormat="false" ht="15" hidden="false" customHeight="false" outlineLevel="0" collapsed="false">
      <c r="A1183" s="6"/>
      <c r="B1183" s="21"/>
      <c r="C1183" s="28"/>
      <c r="D1183" s="29"/>
      <c r="E1183" s="21"/>
      <c r="F1183" s="6"/>
      <c r="G1183" s="6"/>
      <c r="H1183" s="6"/>
      <c r="I1183" s="6"/>
      <c r="J1183" s="30"/>
      <c r="K1183" s="6"/>
      <c r="L1183" s="29"/>
      <c r="M1183" s="6"/>
      <c r="N1183" s="6"/>
    </row>
    <row r="1184" customFormat="false" ht="15" hidden="false" customHeight="false" outlineLevel="0" collapsed="false">
      <c r="A1184" s="6"/>
      <c r="B1184" s="21"/>
      <c r="C1184" s="28"/>
      <c r="D1184" s="29"/>
      <c r="E1184" s="21"/>
      <c r="F1184" s="6"/>
      <c r="G1184" s="6"/>
      <c r="H1184" s="6"/>
      <c r="I1184" s="6"/>
      <c r="J1184" s="30"/>
      <c r="K1184" s="6"/>
      <c r="L1184" s="29"/>
      <c r="M1184" s="6"/>
      <c r="N1184" s="6"/>
    </row>
    <row r="1185" customFormat="false" ht="15" hidden="false" customHeight="false" outlineLevel="0" collapsed="false">
      <c r="A1185" s="6"/>
      <c r="B1185" s="21"/>
      <c r="C1185" s="28"/>
      <c r="D1185" s="29"/>
      <c r="E1185" s="21"/>
      <c r="F1185" s="6"/>
      <c r="G1185" s="6"/>
      <c r="H1185" s="6"/>
      <c r="I1185" s="6"/>
      <c r="J1185" s="30"/>
      <c r="K1185" s="6"/>
      <c r="L1185" s="29"/>
      <c r="M1185" s="6"/>
      <c r="N1185" s="6"/>
    </row>
    <row r="1186" customFormat="false" ht="15" hidden="false" customHeight="false" outlineLevel="0" collapsed="false">
      <c r="A1186" s="6"/>
      <c r="B1186" s="21"/>
      <c r="C1186" s="28"/>
      <c r="D1186" s="29"/>
      <c r="E1186" s="21"/>
      <c r="F1186" s="6"/>
      <c r="G1186" s="6"/>
      <c r="H1186" s="6"/>
      <c r="I1186" s="6"/>
      <c r="J1186" s="30"/>
      <c r="K1186" s="6"/>
      <c r="L1186" s="29"/>
      <c r="M1186" s="6"/>
      <c r="N1186" s="6"/>
    </row>
    <row r="1187" customFormat="false" ht="15" hidden="false" customHeight="false" outlineLevel="0" collapsed="false">
      <c r="A1187" s="6"/>
      <c r="B1187" s="21"/>
      <c r="C1187" s="28"/>
      <c r="D1187" s="29"/>
      <c r="E1187" s="21"/>
      <c r="F1187" s="6"/>
      <c r="G1187" s="6"/>
      <c r="H1187" s="6"/>
      <c r="I1187" s="6"/>
      <c r="J1187" s="30"/>
      <c r="K1187" s="6"/>
      <c r="L1187" s="29"/>
      <c r="M1187" s="6"/>
      <c r="N1187" s="6"/>
    </row>
    <row r="1188" customFormat="false" ht="15" hidden="false" customHeight="false" outlineLevel="0" collapsed="false">
      <c r="A1188" s="6"/>
      <c r="B1188" s="21"/>
      <c r="C1188" s="28"/>
      <c r="D1188" s="29"/>
      <c r="E1188" s="21"/>
      <c r="F1188" s="6"/>
      <c r="G1188" s="6"/>
      <c r="H1188" s="6"/>
      <c r="I1188" s="6"/>
      <c r="J1188" s="30"/>
      <c r="K1188" s="6"/>
      <c r="L1188" s="29"/>
      <c r="M1188" s="6"/>
      <c r="N1188" s="6"/>
    </row>
    <row r="1189" customFormat="false" ht="15" hidden="false" customHeight="false" outlineLevel="0" collapsed="false">
      <c r="A1189" s="6"/>
      <c r="B1189" s="21"/>
      <c r="C1189" s="28"/>
      <c r="D1189" s="29"/>
      <c r="E1189" s="21"/>
      <c r="F1189" s="6"/>
      <c r="G1189" s="6"/>
      <c r="H1189" s="6"/>
      <c r="I1189" s="6"/>
      <c r="J1189" s="30"/>
      <c r="K1189" s="6"/>
      <c r="L1189" s="29"/>
      <c r="M1189" s="6"/>
      <c r="N1189" s="6"/>
    </row>
    <row r="1190" customFormat="false" ht="15" hidden="false" customHeight="false" outlineLevel="0" collapsed="false">
      <c r="A1190" s="6"/>
      <c r="B1190" s="21"/>
      <c r="C1190" s="28"/>
      <c r="D1190" s="29"/>
      <c r="E1190" s="21"/>
      <c r="F1190" s="6"/>
      <c r="G1190" s="6"/>
      <c r="H1190" s="6"/>
      <c r="I1190" s="6"/>
      <c r="J1190" s="30"/>
      <c r="K1190" s="6"/>
      <c r="L1190" s="29"/>
      <c r="M1190" s="6"/>
      <c r="N1190" s="6"/>
    </row>
    <row r="1191" customFormat="false" ht="15" hidden="false" customHeight="false" outlineLevel="0" collapsed="false">
      <c r="A1191" s="6"/>
      <c r="B1191" s="21"/>
      <c r="C1191" s="28"/>
      <c r="D1191" s="29"/>
      <c r="E1191" s="21"/>
      <c r="F1191" s="6"/>
      <c r="G1191" s="6"/>
      <c r="H1191" s="6"/>
      <c r="I1191" s="6"/>
      <c r="J1191" s="30"/>
      <c r="K1191" s="6"/>
      <c r="L1191" s="29"/>
      <c r="M1191" s="6"/>
      <c r="N1191" s="6"/>
    </row>
    <row r="1192" customFormat="false" ht="15" hidden="false" customHeight="false" outlineLevel="0" collapsed="false">
      <c r="A1192" s="6"/>
      <c r="B1192" s="21"/>
      <c r="C1192" s="28"/>
      <c r="D1192" s="29"/>
      <c r="E1192" s="21"/>
      <c r="F1192" s="6"/>
      <c r="G1192" s="6"/>
      <c r="H1192" s="6"/>
      <c r="I1192" s="6"/>
      <c r="J1192" s="30"/>
      <c r="K1192" s="6"/>
      <c r="L1192" s="29"/>
      <c r="M1192" s="6"/>
      <c r="N1192" s="6"/>
    </row>
    <row r="1193" customFormat="false" ht="15" hidden="false" customHeight="false" outlineLevel="0" collapsed="false">
      <c r="A1193" s="6"/>
      <c r="B1193" s="21"/>
      <c r="C1193" s="28"/>
      <c r="D1193" s="29"/>
      <c r="E1193" s="21"/>
      <c r="F1193" s="6"/>
      <c r="G1193" s="6"/>
      <c r="H1193" s="6"/>
      <c r="I1193" s="6"/>
      <c r="J1193" s="30"/>
      <c r="K1193" s="6"/>
      <c r="L1193" s="29"/>
      <c r="M1193" s="6"/>
      <c r="N1193" s="6"/>
    </row>
    <row r="1194" customFormat="false" ht="15" hidden="false" customHeight="false" outlineLevel="0" collapsed="false">
      <c r="A1194" s="6"/>
      <c r="B1194" s="21"/>
      <c r="C1194" s="28"/>
      <c r="D1194" s="29"/>
      <c r="E1194" s="21"/>
      <c r="F1194" s="6"/>
      <c r="G1194" s="6"/>
      <c r="H1194" s="6"/>
      <c r="I1194" s="6"/>
      <c r="J1194" s="30"/>
      <c r="K1194" s="6"/>
      <c r="L1194" s="29"/>
      <c r="M1194" s="6"/>
      <c r="N1194" s="6"/>
    </row>
    <row r="1195" customFormat="false" ht="15" hidden="false" customHeight="false" outlineLevel="0" collapsed="false">
      <c r="A1195" s="6"/>
      <c r="B1195" s="21"/>
      <c r="C1195" s="28"/>
      <c r="D1195" s="29"/>
      <c r="E1195" s="21"/>
      <c r="F1195" s="6"/>
      <c r="G1195" s="6"/>
      <c r="H1195" s="6"/>
      <c r="I1195" s="6"/>
      <c r="J1195" s="30"/>
      <c r="K1195" s="6"/>
      <c r="L1195" s="29"/>
      <c r="M1195" s="6"/>
      <c r="N1195" s="6"/>
    </row>
    <row r="1196" customFormat="false" ht="15" hidden="false" customHeight="false" outlineLevel="0" collapsed="false">
      <c r="A1196" s="6"/>
      <c r="B1196" s="21"/>
      <c r="C1196" s="28"/>
      <c r="D1196" s="29"/>
      <c r="E1196" s="21"/>
      <c r="F1196" s="6"/>
      <c r="G1196" s="6"/>
      <c r="H1196" s="6"/>
      <c r="I1196" s="6"/>
      <c r="J1196" s="30"/>
      <c r="K1196" s="6"/>
      <c r="L1196" s="29"/>
      <c r="M1196" s="6"/>
      <c r="N1196" s="6"/>
    </row>
    <row r="1197" customFormat="false" ht="15" hidden="false" customHeight="false" outlineLevel="0" collapsed="false">
      <c r="A1197" s="6"/>
      <c r="B1197" s="21"/>
      <c r="C1197" s="28"/>
      <c r="D1197" s="29"/>
      <c r="E1197" s="21"/>
      <c r="F1197" s="6"/>
      <c r="G1197" s="6"/>
      <c r="H1197" s="6"/>
      <c r="I1197" s="6"/>
      <c r="J1197" s="30"/>
      <c r="K1197" s="6"/>
      <c r="L1197" s="29"/>
      <c r="M1197" s="6"/>
      <c r="N1197" s="6"/>
    </row>
    <row r="1198" customFormat="false" ht="15" hidden="false" customHeight="false" outlineLevel="0" collapsed="false">
      <c r="A1198" s="6"/>
      <c r="B1198" s="21"/>
      <c r="C1198" s="28"/>
      <c r="D1198" s="29"/>
      <c r="E1198" s="21"/>
      <c r="F1198" s="6"/>
      <c r="G1198" s="6"/>
      <c r="H1198" s="6"/>
      <c r="I1198" s="6"/>
      <c r="J1198" s="30"/>
      <c r="K1198" s="6"/>
      <c r="L1198" s="29"/>
      <c r="M1198" s="6"/>
      <c r="N1198" s="6"/>
    </row>
    <row r="1199" customFormat="false" ht="15" hidden="false" customHeight="false" outlineLevel="0" collapsed="false">
      <c r="A1199" s="6"/>
      <c r="B1199" s="21"/>
      <c r="C1199" s="28"/>
      <c r="D1199" s="29"/>
      <c r="E1199" s="21"/>
      <c r="F1199" s="6"/>
      <c r="G1199" s="6"/>
      <c r="H1199" s="6"/>
      <c r="I1199" s="6"/>
      <c r="J1199" s="30"/>
      <c r="K1199" s="6"/>
      <c r="L1199" s="29"/>
      <c r="M1199" s="6"/>
      <c r="N1199" s="6"/>
    </row>
    <row r="1200" customFormat="false" ht="15" hidden="false" customHeight="false" outlineLevel="0" collapsed="false">
      <c r="A1200" s="6"/>
      <c r="B1200" s="21"/>
      <c r="C1200" s="28"/>
      <c r="D1200" s="29"/>
      <c r="E1200" s="21"/>
      <c r="F1200" s="6"/>
      <c r="G1200" s="6"/>
      <c r="H1200" s="6"/>
      <c r="I1200" s="6"/>
      <c r="J1200" s="30"/>
      <c r="K1200" s="6"/>
      <c r="L1200" s="29"/>
      <c r="M1200" s="6"/>
      <c r="N1200" s="6"/>
    </row>
    <row r="1201" customFormat="false" ht="15" hidden="false" customHeight="false" outlineLevel="0" collapsed="false">
      <c r="A1201" s="6"/>
      <c r="B1201" s="21"/>
      <c r="C1201" s="28"/>
      <c r="D1201" s="29"/>
      <c r="E1201" s="21"/>
      <c r="F1201" s="6"/>
      <c r="G1201" s="6"/>
      <c r="H1201" s="6"/>
      <c r="I1201" s="6"/>
      <c r="J1201" s="30"/>
      <c r="K1201" s="6"/>
      <c r="L1201" s="29"/>
      <c r="M1201" s="6"/>
      <c r="N1201" s="6"/>
    </row>
    <row r="1202" customFormat="false" ht="15" hidden="false" customHeight="false" outlineLevel="0" collapsed="false">
      <c r="A1202" s="6"/>
      <c r="B1202" s="21"/>
      <c r="C1202" s="28"/>
      <c r="D1202" s="29"/>
      <c r="E1202" s="21"/>
      <c r="F1202" s="6"/>
      <c r="G1202" s="6"/>
      <c r="H1202" s="6"/>
      <c r="I1202" s="6"/>
      <c r="J1202" s="30"/>
      <c r="K1202" s="6"/>
      <c r="L1202" s="29"/>
      <c r="M1202" s="6"/>
      <c r="N1202" s="6"/>
    </row>
    <row r="1203" customFormat="false" ht="15" hidden="false" customHeight="false" outlineLevel="0" collapsed="false">
      <c r="A1203" s="6"/>
      <c r="B1203" s="21"/>
      <c r="C1203" s="28"/>
      <c r="D1203" s="29"/>
      <c r="E1203" s="21"/>
      <c r="F1203" s="6"/>
      <c r="G1203" s="6"/>
      <c r="H1203" s="6"/>
      <c r="I1203" s="6"/>
      <c r="J1203" s="30"/>
      <c r="K1203" s="6"/>
      <c r="L1203" s="29"/>
      <c r="M1203" s="6"/>
      <c r="N1203" s="6"/>
    </row>
    <row r="1204" customFormat="false" ht="15" hidden="false" customHeight="false" outlineLevel="0" collapsed="false">
      <c r="A1204" s="6"/>
      <c r="B1204" s="21"/>
      <c r="C1204" s="28"/>
      <c r="D1204" s="29"/>
      <c r="E1204" s="21"/>
      <c r="F1204" s="6"/>
      <c r="G1204" s="6"/>
      <c r="H1204" s="6"/>
      <c r="I1204" s="6"/>
      <c r="J1204" s="30"/>
      <c r="K1204" s="6"/>
      <c r="L1204" s="29"/>
      <c r="M1204" s="6"/>
      <c r="N1204" s="6"/>
    </row>
    <row r="1205" customFormat="false" ht="15" hidden="false" customHeight="false" outlineLevel="0" collapsed="false">
      <c r="A1205" s="6"/>
      <c r="B1205" s="21"/>
      <c r="C1205" s="28"/>
      <c r="D1205" s="29"/>
      <c r="E1205" s="21"/>
      <c r="F1205" s="6"/>
      <c r="G1205" s="6"/>
      <c r="H1205" s="6"/>
      <c r="I1205" s="6"/>
      <c r="J1205" s="30"/>
      <c r="K1205" s="6"/>
      <c r="L1205" s="29"/>
      <c r="M1205" s="6"/>
      <c r="N1205" s="6"/>
    </row>
    <row r="1206" customFormat="false" ht="15" hidden="false" customHeight="false" outlineLevel="0" collapsed="false">
      <c r="A1206" s="6"/>
      <c r="B1206" s="21"/>
      <c r="C1206" s="28"/>
      <c r="D1206" s="29"/>
      <c r="E1206" s="21"/>
      <c r="F1206" s="6"/>
      <c r="G1206" s="6"/>
      <c r="H1206" s="6"/>
      <c r="I1206" s="6"/>
      <c r="J1206" s="30"/>
      <c r="K1206" s="6"/>
      <c r="L1206" s="29"/>
      <c r="M1206" s="6"/>
      <c r="N1206" s="6"/>
    </row>
    <row r="1207" customFormat="false" ht="15" hidden="false" customHeight="false" outlineLevel="0" collapsed="false">
      <c r="A1207" s="6"/>
      <c r="B1207" s="21"/>
      <c r="C1207" s="28"/>
      <c r="D1207" s="29"/>
      <c r="E1207" s="21"/>
      <c r="F1207" s="6"/>
      <c r="G1207" s="6"/>
      <c r="H1207" s="6"/>
      <c r="I1207" s="6"/>
      <c r="J1207" s="30"/>
      <c r="K1207" s="6"/>
      <c r="L1207" s="29"/>
      <c r="M1207" s="6"/>
      <c r="N1207" s="6"/>
    </row>
    <row r="1208" customFormat="false" ht="15" hidden="false" customHeight="false" outlineLevel="0" collapsed="false">
      <c r="A1208" s="6"/>
      <c r="B1208" s="21"/>
      <c r="C1208" s="28"/>
      <c r="D1208" s="29"/>
      <c r="E1208" s="21"/>
      <c r="F1208" s="6"/>
      <c r="G1208" s="6"/>
      <c r="H1208" s="6"/>
      <c r="I1208" s="6"/>
      <c r="J1208" s="30"/>
      <c r="K1208" s="6"/>
      <c r="L1208" s="29"/>
      <c r="M1208" s="6"/>
      <c r="N1208" s="6"/>
    </row>
    <row r="1209" customFormat="false" ht="15" hidden="false" customHeight="false" outlineLevel="0" collapsed="false">
      <c r="A1209" s="6"/>
      <c r="B1209" s="21"/>
      <c r="C1209" s="28"/>
      <c r="D1209" s="29"/>
      <c r="E1209" s="21"/>
      <c r="F1209" s="6"/>
      <c r="G1209" s="6"/>
      <c r="H1209" s="6"/>
      <c r="I1209" s="6"/>
      <c r="J1209" s="30"/>
      <c r="K1209" s="6"/>
      <c r="L1209" s="29"/>
      <c r="M1209" s="6"/>
      <c r="N1209" s="6"/>
    </row>
    <row r="1210" customFormat="false" ht="15" hidden="false" customHeight="false" outlineLevel="0" collapsed="false">
      <c r="A1210" s="6"/>
      <c r="B1210" s="21"/>
      <c r="C1210" s="28"/>
      <c r="D1210" s="29"/>
      <c r="E1210" s="21"/>
      <c r="F1210" s="6"/>
      <c r="G1210" s="6"/>
      <c r="H1210" s="6"/>
      <c r="I1210" s="6"/>
      <c r="J1210" s="30"/>
      <c r="K1210" s="6"/>
      <c r="L1210" s="29"/>
      <c r="M1210" s="6"/>
      <c r="N1210" s="6"/>
    </row>
    <row r="1211" customFormat="false" ht="15" hidden="false" customHeight="false" outlineLevel="0" collapsed="false">
      <c r="A1211" s="6"/>
      <c r="B1211" s="21"/>
      <c r="C1211" s="28"/>
      <c r="D1211" s="29"/>
      <c r="E1211" s="21"/>
      <c r="F1211" s="6"/>
      <c r="G1211" s="6"/>
      <c r="H1211" s="6"/>
      <c r="I1211" s="6"/>
      <c r="J1211" s="30"/>
      <c r="K1211" s="6"/>
      <c r="L1211" s="29"/>
      <c r="M1211" s="6"/>
      <c r="N1211" s="6"/>
    </row>
    <row r="1212" customFormat="false" ht="15" hidden="false" customHeight="false" outlineLevel="0" collapsed="false">
      <c r="A1212" s="6"/>
      <c r="B1212" s="21"/>
      <c r="C1212" s="28"/>
      <c r="D1212" s="29"/>
      <c r="E1212" s="21"/>
      <c r="F1212" s="6"/>
      <c r="G1212" s="6"/>
      <c r="H1212" s="6"/>
      <c r="I1212" s="6"/>
      <c r="J1212" s="30"/>
      <c r="K1212" s="6"/>
      <c r="L1212" s="29"/>
      <c r="M1212" s="6"/>
      <c r="N1212" s="6"/>
    </row>
    <row r="1213" customFormat="false" ht="15" hidden="false" customHeight="false" outlineLevel="0" collapsed="false">
      <c r="A1213" s="6"/>
      <c r="B1213" s="21"/>
      <c r="C1213" s="28"/>
      <c r="D1213" s="29"/>
      <c r="E1213" s="21"/>
      <c r="F1213" s="6"/>
      <c r="G1213" s="6"/>
      <c r="H1213" s="6"/>
      <c r="I1213" s="6"/>
      <c r="J1213" s="30"/>
      <c r="K1213" s="6"/>
      <c r="L1213" s="29"/>
      <c r="M1213" s="6"/>
      <c r="N1213" s="6"/>
    </row>
    <row r="1214" customFormat="false" ht="15" hidden="false" customHeight="false" outlineLevel="0" collapsed="false">
      <c r="A1214" s="6"/>
      <c r="B1214" s="21"/>
      <c r="C1214" s="28"/>
      <c r="D1214" s="29"/>
      <c r="E1214" s="21"/>
      <c r="F1214" s="6"/>
      <c r="G1214" s="6"/>
      <c r="H1214" s="6"/>
      <c r="I1214" s="6"/>
      <c r="J1214" s="30"/>
      <c r="K1214" s="6"/>
      <c r="L1214" s="29"/>
      <c r="M1214" s="6"/>
      <c r="N1214" s="6"/>
    </row>
    <row r="1215" customFormat="false" ht="15" hidden="false" customHeight="false" outlineLevel="0" collapsed="false">
      <c r="A1215" s="6"/>
      <c r="B1215" s="21"/>
      <c r="C1215" s="28"/>
      <c r="D1215" s="29"/>
      <c r="E1215" s="21"/>
      <c r="F1215" s="6"/>
      <c r="G1215" s="6"/>
      <c r="H1215" s="6"/>
      <c r="I1215" s="6"/>
      <c r="J1215" s="30"/>
      <c r="K1215" s="6"/>
      <c r="L1215" s="29"/>
      <c r="M1215" s="6"/>
      <c r="N1215" s="6"/>
    </row>
    <row r="1216" customFormat="false" ht="15" hidden="false" customHeight="false" outlineLevel="0" collapsed="false">
      <c r="A1216" s="6"/>
      <c r="B1216" s="21"/>
      <c r="C1216" s="28"/>
      <c r="D1216" s="29"/>
      <c r="E1216" s="21"/>
      <c r="F1216" s="6"/>
      <c r="G1216" s="6"/>
      <c r="H1216" s="6"/>
      <c r="I1216" s="6"/>
      <c r="J1216" s="30"/>
      <c r="K1216" s="6"/>
      <c r="L1216" s="29"/>
      <c r="M1216" s="6"/>
      <c r="N1216" s="6"/>
    </row>
    <row r="1217" customFormat="false" ht="15" hidden="false" customHeight="false" outlineLevel="0" collapsed="false">
      <c r="A1217" s="6"/>
      <c r="B1217" s="21"/>
      <c r="C1217" s="28"/>
      <c r="D1217" s="29"/>
      <c r="E1217" s="21"/>
      <c r="F1217" s="6"/>
      <c r="G1217" s="6"/>
      <c r="H1217" s="6"/>
      <c r="I1217" s="6"/>
      <c r="J1217" s="30"/>
      <c r="K1217" s="6"/>
      <c r="L1217" s="29"/>
      <c r="M1217" s="6"/>
      <c r="N1217" s="6"/>
    </row>
    <row r="1218" customFormat="false" ht="15" hidden="false" customHeight="false" outlineLevel="0" collapsed="false">
      <c r="A1218" s="6"/>
      <c r="B1218" s="21"/>
      <c r="C1218" s="28"/>
      <c r="D1218" s="29"/>
      <c r="E1218" s="21"/>
      <c r="F1218" s="6"/>
      <c r="G1218" s="6"/>
      <c r="H1218" s="6"/>
      <c r="I1218" s="6"/>
      <c r="J1218" s="30"/>
      <c r="K1218" s="6"/>
      <c r="L1218" s="29"/>
      <c r="M1218" s="6"/>
      <c r="N1218" s="6"/>
    </row>
    <row r="1219" customFormat="false" ht="15" hidden="false" customHeight="false" outlineLevel="0" collapsed="false">
      <c r="A1219" s="6"/>
      <c r="B1219" s="21"/>
      <c r="C1219" s="28"/>
      <c r="D1219" s="29"/>
      <c r="E1219" s="21"/>
      <c r="F1219" s="6"/>
      <c r="G1219" s="6"/>
      <c r="H1219" s="6"/>
      <c r="I1219" s="6"/>
      <c r="J1219" s="30"/>
      <c r="K1219" s="6"/>
      <c r="L1219" s="29"/>
      <c r="M1219" s="6"/>
      <c r="N1219" s="6"/>
    </row>
    <row r="1220" customFormat="false" ht="15" hidden="false" customHeight="false" outlineLevel="0" collapsed="false">
      <c r="A1220" s="6"/>
      <c r="B1220" s="21"/>
      <c r="C1220" s="28"/>
      <c r="D1220" s="29"/>
      <c r="E1220" s="21"/>
      <c r="F1220" s="6"/>
      <c r="G1220" s="6"/>
      <c r="H1220" s="6"/>
      <c r="I1220" s="6"/>
      <c r="J1220" s="30"/>
      <c r="K1220" s="6"/>
      <c r="L1220" s="29"/>
      <c r="M1220" s="6"/>
      <c r="N1220" s="6"/>
    </row>
    <row r="1221" customFormat="false" ht="15" hidden="false" customHeight="false" outlineLevel="0" collapsed="false">
      <c r="A1221" s="6"/>
      <c r="B1221" s="21"/>
      <c r="C1221" s="28"/>
      <c r="D1221" s="29"/>
      <c r="E1221" s="21"/>
      <c r="F1221" s="6"/>
      <c r="G1221" s="6"/>
      <c r="H1221" s="6"/>
      <c r="I1221" s="6"/>
      <c r="J1221" s="30"/>
      <c r="K1221" s="6"/>
      <c r="L1221" s="29"/>
      <c r="M1221" s="6"/>
      <c r="N1221" s="6"/>
    </row>
    <row r="1222" customFormat="false" ht="15" hidden="false" customHeight="false" outlineLevel="0" collapsed="false">
      <c r="A1222" s="6"/>
      <c r="B1222" s="21"/>
      <c r="C1222" s="28"/>
      <c r="D1222" s="29"/>
      <c r="E1222" s="21"/>
      <c r="F1222" s="6"/>
      <c r="G1222" s="6"/>
      <c r="H1222" s="6"/>
      <c r="I1222" s="6"/>
      <c r="J1222" s="30"/>
      <c r="K1222" s="6"/>
      <c r="L1222" s="29"/>
      <c r="M1222" s="6"/>
      <c r="N1222" s="6"/>
    </row>
    <row r="1223" customFormat="false" ht="15" hidden="false" customHeight="false" outlineLevel="0" collapsed="false">
      <c r="A1223" s="6"/>
      <c r="B1223" s="21"/>
      <c r="C1223" s="28"/>
      <c r="D1223" s="29"/>
      <c r="E1223" s="21"/>
      <c r="F1223" s="6"/>
      <c r="G1223" s="6"/>
      <c r="H1223" s="6"/>
      <c r="I1223" s="6"/>
      <c r="J1223" s="30"/>
      <c r="K1223" s="6"/>
      <c r="L1223" s="29"/>
      <c r="M1223" s="6"/>
      <c r="N1223" s="6"/>
    </row>
    <row r="1224" customFormat="false" ht="15" hidden="false" customHeight="false" outlineLevel="0" collapsed="false">
      <c r="A1224" s="6"/>
      <c r="B1224" s="21"/>
      <c r="C1224" s="28"/>
      <c r="D1224" s="29"/>
      <c r="E1224" s="21"/>
      <c r="F1224" s="6"/>
      <c r="G1224" s="6"/>
      <c r="H1224" s="6"/>
      <c r="I1224" s="6"/>
      <c r="J1224" s="30"/>
      <c r="K1224" s="6"/>
      <c r="L1224" s="29"/>
      <c r="M1224" s="6"/>
      <c r="N1224" s="6"/>
    </row>
    <row r="1225" customFormat="false" ht="15" hidden="false" customHeight="false" outlineLevel="0" collapsed="false">
      <c r="A1225" s="6"/>
      <c r="B1225" s="21"/>
      <c r="C1225" s="28"/>
      <c r="D1225" s="29"/>
      <c r="E1225" s="21"/>
      <c r="F1225" s="6"/>
      <c r="G1225" s="6"/>
      <c r="H1225" s="6"/>
      <c r="I1225" s="6"/>
      <c r="J1225" s="30"/>
      <c r="K1225" s="6"/>
      <c r="L1225" s="29"/>
      <c r="M1225" s="6"/>
      <c r="N1225" s="6"/>
    </row>
    <row r="1226" customFormat="false" ht="15" hidden="false" customHeight="false" outlineLevel="0" collapsed="false">
      <c r="A1226" s="6"/>
      <c r="B1226" s="21"/>
      <c r="C1226" s="28"/>
      <c r="D1226" s="29"/>
      <c r="E1226" s="21"/>
      <c r="F1226" s="6"/>
      <c r="G1226" s="6"/>
      <c r="H1226" s="6"/>
      <c r="I1226" s="6"/>
      <c r="J1226" s="30"/>
      <c r="K1226" s="6"/>
      <c r="L1226" s="29"/>
      <c r="M1226" s="6"/>
      <c r="N1226" s="6"/>
    </row>
    <row r="1227" customFormat="false" ht="15" hidden="false" customHeight="false" outlineLevel="0" collapsed="false">
      <c r="A1227" s="6"/>
      <c r="B1227" s="21"/>
      <c r="C1227" s="28"/>
      <c r="D1227" s="29"/>
      <c r="E1227" s="21"/>
      <c r="F1227" s="6"/>
      <c r="G1227" s="6"/>
      <c r="H1227" s="6"/>
      <c r="I1227" s="6"/>
      <c r="J1227" s="30"/>
      <c r="K1227" s="6"/>
      <c r="L1227" s="29"/>
      <c r="M1227" s="6"/>
      <c r="N1227" s="6"/>
    </row>
    <row r="1228" customFormat="false" ht="15" hidden="false" customHeight="false" outlineLevel="0" collapsed="false">
      <c r="A1228" s="6"/>
      <c r="B1228" s="21"/>
      <c r="C1228" s="28"/>
      <c r="D1228" s="29"/>
      <c r="E1228" s="21"/>
      <c r="F1228" s="6"/>
      <c r="G1228" s="6"/>
      <c r="H1228" s="6"/>
      <c r="I1228" s="6"/>
      <c r="J1228" s="30"/>
      <c r="K1228" s="6"/>
      <c r="L1228" s="29"/>
      <c r="M1228" s="6"/>
      <c r="N1228" s="6"/>
    </row>
    <row r="1229" customFormat="false" ht="15" hidden="false" customHeight="false" outlineLevel="0" collapsed="false">
      <c r="A1229" s="6"/>
      <c r="B1229" s="21"/>
      <c r="C1229" s="28"/>
      <c r="D1229" s="29"/>
      <c r="E1229" s="21"/>
      <c r="F1229" s="6"/>
      <c r="G1229" s="6"/>
      <c r="H1229" s="6"/>
      <c r="I1229" s="6"/>
      <c r="J1229" s="30"/>
      <c r="K1229" s="6"/>
      <c r="L1229" s="29"/>
      <c r="M1229" s="6"/>
      <c r="N1229" s="6"/>
    </row>
    <row r="1230" customFormat="false" ht="15" hidden="false" customHeight="false" outlineLevel="0" collapsed="false">
      <c r="A1230" s="6"/>
      <c r="B1230" s="21"/>
      <c r="C1230" s="28"/>
      <c r="D1230" s="29"/>
      <c r="E1230" s="21"/>
      <c r="F1230" s="6"/>
      <c r="G1230" s="6"/>
      <c r="H1230" s="6"/>
      <c r="I1230" s="6"/>
      <c r="J1230" s="30"/>
      <c r="K1230" s="6"/>
      <c r="L1230" s="29"/>
      <c r="M1230" s="6"/>
      <c r="N1230" s="6"/>
    </row>
    <row r="1231" customFormat="false" ht="15" hidden="false" customHeight="false" outlineLevel="0" collapsed="false">
      <c r="A1231" s="6"/>
      <c r="B1231" s="21"/>
      <c r="C1231" s="28"/>
      <c r="D1231" s="29"/>
      <c r="E1231" s="21"/>
      <c r="F1231" s="6"/>
      <c r="G1231" s="6"/>
      <c r="H1231" s="6"/>
      <c r="I1231" s="6"/>
      <c r="J1231" s="30"/>
      <c r="K1231" s="6"/>
      <c r="L1231" s="29"/>
      <c r="M1231" s="6"/>
      <c r="N1231" s="6"/>
    </row>
    <row r="1232" customFormat="false" ht="15" hidden="false" customHeight="false" outlineLevel="0" collapsed="false">
      <c r="A1232" s="6"/>
      <c r="B1232" s="21"/>
      <c r="C1232" s="28"/>
      <c r="D1232" s="29"/>
      <c r="E1232" s="21"/>
      <c r="F1232" s="6"/>
      <c r="G1232" s="6"/>
      <c r="H1232" s="6"/>
      <c r="I1232" s="6"/>
      <c r="J1232" s="30"/>
      <c r="K1232" s="6"/>
      <c r="L1232" s="29"/>
      <c r="M1232" s="6"/>
      <c r="N1232" s="6"/>
    </row>
    <row r="1233" customFormat="false" ht="15" hidden="false" customHeight="false" outlineLevel="0" collapsed="false">
      <c r="A1233" s="6"/>
      <c r="B1233" s="21"/>
      <c r="C1233" s="28"/>
      <c r="D1233" s="29"/>
      <c r="E1233" s="21"/>
      <c r="F1233" s="6"/>
      <c r="G1233" s="6"/>
      <c r="H1233" s="6"/>
      <c r="I1233" s="6"/>
      <c r="J1233" s="30"/>
      <c r="K1233" s="6"/>
      <c r="L1233" s="29"/>
      <c r="M1233" s="6"/>
      <c r="N1233" s="6"/>
    </row>
    <row r="1234" customFormat="false" ht="15" hidden="false" customHeight="false" outlineLevel="0" collapsed="false">
      <c r="A1234" s="6"/>
      <c r="B1234" s="21"/>
      <c r="C1234" s="28"/>
      <c r="D1234" s="29"/>
      <c r="E1234" s="21"/>
      <c r="F1234" s="6"/>
      <c r="G1234" s="6"/>
      <c r="H1234" s="6"/>
      <c r="I1234" s="6"/>
      <c r="J1234" s="30"/>
      <c r="K1234" s="6"/>
      <c r="L1234" s="29"/>
      <c r="M1234" s="6"/>
      <c r="N1234" s="6"/>
    </row>
    <row r="1235" customFormat="false" ht="15" hidden="false" customHeight="false" outlineLevel="0" collapsed="false">
      <c r="A1235" s="6"/>
      <c r="B1235" s="21"/>
      <c r="C1235" s="28"/>
      <c r="D1235" s="29"/>
      <c r="E1235" s="21"/>
      <c r="F1235" s="6"/>
      <c r="G1235" s="6"/>
      <c r="H1235" s="6"/>
      <c r="I1235" s="6"/>
      <c r="J1235" s="30"/>
      <c r="K1235" s="6"/>
      <c r="L1235" s="29"/>
      <c r="M1235" s="6"/>
      <c r="N1235" s="6"/>
    </row>
    <row r="1236" customFormat="false" ht="15" hidden="false" customHeight="false" outlineLevel="0" collapsed="false">
      <c r="A1236" s="6"/>
      <c r="B1236" s="21"/>
      <c r="C1236" s="28"/>
      <c r="D1236" s="29"/>
      <c r="E1236" s="21"/>
      <c r="F1236" s="6"/>
      <c r="G1236" s="6"/>
      <c r="H1236" s="6"/>
      <c r="I1236" s="6"/>
      <c r="J1236" s="30"/>
      <c r="K1236" s="6"/>
      <c r="L1236" s="29"/>
      <c r="M1236" s="6"/>
      <c r="N1236" s="6"/>
    </row>
    <row r="1237" customFormat="false" ht="15" hidden="false" customHeight="false" outlineLevel="0" collapsed="false">
      <c r="A1237" s="6"/>
      <c r="B1237" s="21"/>
      <c r="C1237" s="28"/>
      <c r="D1237" s="29"/>
      <c r="E1237" s="21"/>
      <c r="F1237" s="6"/>
      <c r="G1237" s="6"/>
      <c r="H1237" s="6"/>
      <c r="I1237" s="6"/>
      <c r="J1237" s="30"/>
      <c r="K1237" s="6"/>
      <c r="L1237" s="29"/>
      <c r="M1237" s="6"/>
      <c r="N1237" s="6"/>
    </row>
    <row r="1238" customFormat="false" ht="15" hidden="false" customHeight="false" outlineLevel="0" collapsed="false">
      <c r="A1238" s="6"/>
      <c r="B1238" s="21"/>
      <c r="C1238" s="28"/>
      <c r="D1238" s="29"/>
      <c r="E1238" s="21"/>
      <c r="F1238" s="6"/>
      <c r="G1238" s="6"/>
      <c r="H1238" s="6"/>
      <c r="I1238" s="6"/>
      <c r="J1238" s="30"/>
      <c r="K1238" s="6"/>
      <c r="L1238" s="29"/>
      <c r="M1238" s="6"/>
      <c r="N1238" s="6"/>
    </row>
    <row r="1239" customFormat="false" ht="15" hidden="false" customHeight="false" outlineLevel="0" collapsed="false">
      <c r="A1239" s="6"/>
      <c r="B1239" s="21"/>
      <c r="C1239" s="28"/>
      <c r="D1239" s="29"/>
      <c r="E1239" s="21"/>
      <c r="F1239" s="6"/>
      <c r="G1239" s="6"/>
      <c r="H1239" s="6"/>
      <c r="I1239" s="6"/>
      <c r="J1239" s="30"/>
      <c r="K1239" s="6"/>
      <c r="L1239" s="29"/>
      <c r="M1239" s="6"/>
      <c r="N1239" s="6"/>
    </row>
    <row r="1240" customFormat="false" ht="15" hidden="false" customHeight="false" outlineLevel="0" collapsed="false">
      <c r="A1240" s="6"/>
      <c r="B1240" s="21"/>
      <c r="C1240" s="28"/>
      <c r="D1240" s="29"/>
      <c r="E1240" s="21"/>
      <c r="F1240" s="6"/>
      <c r="G1240" s="6"/>
      <c r="H1240" s="6"/>
      <c r="I1240" s="6"/>
      <c r="J1240" s="30"/>
      <c r="K1240" s="6"/>
      <c r="L1240" s="29"/>
      <c r="M1240" s="6"/>
      <c r="N1240" s="6"/>
    </row>
    <row r="1241" customFormat="false" ht="15" hidden="false" customHeight="false" outlineLevel="0" collapsed="false">
      <c r="A1241" s="6"/>
      <c r="B1241" s="21"/>
      <c r="C1241" s="28"/>
      <c r="D1241" s="29"/>
      <c r="E1241" s="21"/>
      <c r="F1241" s="6"/>
      <c r="G1241" s="6"/>
      <c r="H1241" s="6"/>
      <c r="I1241" s="6"/>
      <c r="J1241" s="30"/>
      <c r="K1241" s="6"/>
      <c r="L1241" s="29"/>
      <c r="M1241" s="6"/>
      <c r="N1241" s="6"/>
    </row>
    <row r="1242" customFormat="false" ht="15" hidden="false" customHeight="false" outlineLevel="0" collapsed="false">
      <c r="A1242" s="6"/>
      <c r="B1242" s="21"/>
      <c r="C1242" s="28"/>
      <c r="D1242" s="29"/>
      <c r="E1242" s="21"/>
      <c r="F1242" s="6"/>
      <c r="G1242" s="6"/>
      <c r="H1242" s="6"/>
      <c r="I1242" s="6"/>
      <c r="J1242" s="30"/>
      <c r="K1242" s="6"/>
      <c r="L1242" s="29"/>
      <c r="M1242" s="6"/>
      <c r="N1242" s="6"/>
    </row>
    <row r="1243" customFormat="false" ht="15" hidden="false" customHeight="false" outlineLevel="0" collapsed="false">
      <c r="A1243" s="6"/>
      <c r="B1243" s="21"/>
      <c r="C1243" s="28"/>
      <c r="D1243" s="29"/>
      <c r="E1243" s="21"/>
      <c r="F1243" s="6"/>
      <c r="G1243" s="6"/>
      <c r="H1243" s="6"/>
      <c r="I1243" s="6"/>
      <c r="J1243" s="30"/>
      <c r="K1243" s="6"/>
      <c r="L1243" s="29"/>
      <c r="M1243" s="6"/>
      <c r="N1243" s="6"/>
    </row>
    <row r="1244" customFormat="false" ht="15" hidden="false" customHeight="false" outlineLevel="0" collapsed="false">
      <c r="A1244" s="6"/>
      <c r="B1244" s="21"/>
      <c r="C1244" s="28"/>
      <c r="D1244" s="29"/>
      <c r="E1244" s="21"/>
      <c r="F1244" s="6"/>
      <c r="G1244" s="6"/>
      <c r="H1244" s="6"/>
      <c r="I1244" s="6"/>
      <c r="J1244" s="30"/>
      <c r="K1244" s="6"/>
      <c r="L1244" s="29"/>
      <c r="M1244" s="6"/>
      <c r="N1244" s="6"/>
    </row>
    <row r="1245" customFormat="false" ht="15" hidden="false" customHeight="false" outlineLevel="0" collapsed="false">
      <c r="A1245" s="6"/>
      <c r="B1245" s="21"/>
      <c r="C1245" s="28"/>
      <c r="D1245" s="29"/>
      <c r="E1245" s="21"/>
      <c r="F1245" s="6"/>
      <c r="G1245" s="6"/>
      <c r="H1245" s="6"/>
      <c r="I1245" s="6"/>
      <c r="J1245" s="30"/>
      <c r="K1245" s="6"/>
      <c r="L1245" s="29"/>
      <c r="M1245" s="6"/>
      <c r="N1245" s="6"/>
    </row>
    <row r="1246" customFormat="false" ht="15" hidden="false" customHeight="false" outlineLevel="0" collapsed="false">
      <c r="A1246" s="6"/>
      <c r="B1246" s="21"/>
      <c r="C1246" s="28"/>
      <c r="D1246" s="29"/>
      <c r="E1246" s="21"/>
      <c r="F1246" s="6"/>
      <c r="G1246" s="6"/>
      <c r="H1246" s="6"/>
      <c r="I1246" s="6"/>
      <c r="J1246" s="30"/>
      <c r="K1246" s="6"/>
      <c r="L1246" s="29"/>
      <c r="M1246" s="6"/>
      <c r="N1246" s="6"/>
    </row>
    <row r="1247" customFormat="false" ht="15" hidden="false" customHeight="false" outlineLevel="0" collapsed="false">
      <c r="A1247" s="6"/>
      <c r="B1247" s="21"/>
      <c r="C1247" s="28"/>
      <c r="D1247" s="29"/>
      <c r="E1247" s="21"/>
      <c r="F1247" s="6"/>
      <c r="G1247" s="6"/>
      <c r="H1247" s="6"/>
      <c r="I1247" s="6"/>
      <c r="J1247" s="30"/>
      <c r="K1247" s="6"/>
      <c r="L1247" s="29"/>
      <c r="M1247" s="6"/>
      <c r="N1247" s="6"/>
    </row>
    <row r="1248" customFormat="false" ht="15" hidden="false" customHeight="false" outlineLevel="0" collapsed="false">
      <c r="A1248" s="6"/>
      <c r="B1248" s="21"/>
      <c r="C1248" s="28"/>
      <c r="D1248" s="29"/>
      <c r="E1248" s="21"/>
      <c r="F1248" s="6"/>
      <c r="G1248" s="6"/>
      <c r="H1248" s="6"/>
      <c r="I1248" s="6"/>
      <c r="J1248" s="30"/>
      <c r="K1248" s="6"/>
      <c r="L1248" s="29"/>
      <c r="M1248" s="6"/>
      <c r="N1248" s="6"/>
    </row>
    <row r="1249" customFormat="false" ht="15" hidden="false" customHeight="false" outlineLevel="0" collapsed="false">
      <c r="A1249" s="6"/>
      <c r="B1249" s="21"/>
      <c r="C1249" s="28"/>
      <c r="D1249" s="29"/>
      <c r="E1249" s="21"/>
      <c r="F1249" s="6"/>
      <c r="G1249" s="6"/>
      <c r="H1249" s="6"/>
      <c r="I1249" s="6"/>
      <c r="J1249" s="30"/>
      <c r="K1249" s="6"/>
      <c r="L1249" s="29"/>
      <c r="M1249" s="6"/>
      <c r="N1249" s="6"/>
    </row>
    <row r="1250" customFormat="false" ht="15" hidden="false" customHeight="false" outlineLevel="0" collapsed="false">
      <c r="A1250" s="6"/>
      <c r="B1250" s="21"/>
      <c r="C1250" s="28"/>
      <c r="D1250" s="29"/>
      <c r="E1250" s="21"/>
      <c r="F1250" s="6"/>
      <c r="G1250" s="6"/>
      <c r="H1250" s="6"/>
      <c r="I1250" s="6"/>
      <c r="J1250" s="30"/>
      <c r="K1250" s="6"/>
      <c r="L1250" s="29"/>
      <c r="M1250" s="6"/>
      <c r="N1250" s="6"/>
    </row>
    <row r="1251" customFormat="false" ht="15" hidden="false" customHeight="false" outlineLevel="0" collapsed="false">
      <c r="A1251" s="6"/>
      <c r="B1251" s="21"/>
      <c r="C1251" s="28"/>
      <c r="D1251" s="29"/>
      <c r="E1251" s="21"/>
      <c r="F1251" s="6"/>
      <c r="G1251" s="6"/>
      <c r="H1251" s="6"/>
      <c r="I1251" s="6"/>
      <c r="J1251" s="30"/>
      <c r="K1251" s="6"/>
      <c r="L1251" s="29"/>
      <c r="M1251" s="6"/>
      <c r="N1251" s="6"/>
    </row>
    <row r="1252" customFormat="false" ht="15" hidden="false" customHeight="false" outlineLevel="0" collapsed="false">
      <c r="A1252" s="6"/>
      <c r="B1252" s="21"/>
      <c r="C1252" s="28"/>
      <c r="D1252" s="29"/>
      <c r="E1252" s="21"/>
      <c r="F1252" s="6"/>
      <c r="G1252" s="6"/>
      <c r="H1252" s="6"/>
      <c r="I1252" s="6"/>
      <c r="J1252" s="30"/>
      <c r="K1252" s="6"/>
      <c r="L1252" s="29"/>
      <c r="M1252" s="6"/>
      <c r="N1252" s="6"/>
    </row>
    <row r="1253" customFormat="false" ht="15" hidden="false" customHeight="false" outlineLevel="0" collapsed="false">
      <c r="A1253" s="6"/>
      <c r="B1253" s="21"/>
      <c r="C1253" s="28"/>
      <c r="D1253" s="29"/>
      <c r="E1253" s="21"/>
      <c r="F1253" s="6"/>
      <c r="G1253" s="6"/>
      <c r="H1253" s="6"/>
      <c r="I1253" s="6"/>
      <c r="J1253" s="30"/>
      <c r="K1253" s="6"/>
      <c r="L1253" s="29"/>
      <c r="M1253" s="6"/>
      <c r="N1253" s="6"/>
    </row>
    <row r="1254" customFormat="false" ht="15" hidden="false" customHeight="false" outlineLevel="0" collapsed="false">
      <c r="A1254" s="6"/>
      <c r="B1254" s="21"/>
      <c r="C1254" s="28"/>
      <c r="D1254" s="29"/>
      <c r="E1254" s="21"/>
      <c r="F1254" s="6"/>
      <c r="G1254" s="6"/>
      <c r="H1254" s="6"/>
      <c r="I1254" s="6"/>
      <c r="J1254" s="30"/>
      <c r="K1254" s="6"/>
      <c r="L1254" s="29"/>
      <c r="M1254" s="6"/>
      <c r="N1254" s="6"/>
    </row>
    <row r="1255" customFormat="false" ht="15" hidden="false" customHeight="false" outlineLevel="0" collapsed="false">
      <c r="A1255" s="6"/>
      <c r="B1255" s="21"/>
      <c r="C1255" s="28"/>
      <c r="D1255" s="29"/>
      <c r="E1255" s="21"/>
      <c r="F1255" s="6"/>
      <c r="G1255" s="6"/>
      <c r="H1255" s="6"/>
      <c r="I1255" s="6"/>
      <c r="J1255" s="30"/>
      <c r="K1255" s="6"/>
      <c r="L1255" s="29"/>
      <c r="M1255" s="6"/>
      <c r="N1255" s="6"/>
    </row>
    <row r="1256" customFormat="false" ht="15" hidden="false" customHeight="false" outlineLevel="0" collapsed="false">
      <c r="A1256" s="6"/>
      <c r="B1256" s="21"/>
      <c r="C1256" s="28"/>
      <c r="D1256" s="29"/>
      <c r="E1256" s="21"/>
      <c r="F1256" s="6"/>
      <c r="G1256" s="6"/>
      <c r="H1256" s="6"/>
      <c r="I1256" s="6"/>
      <c r="J1256" s="30"/>
      <c r="K1256" s="6"/>
      <c r="L1256" s="29"/>
      <c r="M1256" s="6"/>
      <c r="N1256" s="6"/>
    </row>
    <row r="1257" customFormat="false" ht="15" hidden="false" customHeight="false" outlineLevel="0" collapsed="false">
      <c r="A1257" s="6"/>
      <c r="B1257" s="21"/>
      <c r="C1257" s="28"/>
      <c r="D1257" s="29"/>
      <c r="E1257" s="21"/>
      <c r="F1257" s="6"/>
      <c r="G1257" s="6"/>
      <c r="H1257" s="6"/>
      <c r="I1257" s="6"/>
      <c r="J1257" s="30"/>
      <c r="K1257" s="6"/>
      <c r="L1257" s="29"/>
      <c r="M1257" s="6"/>
      <c r="N1257" s="6"/>
    </row>
    <row r="1258" customFormat="false" ht="15" hidden="false" customHeight="false" outlineLevel="0" collapsed="false">
      <c r="A1258" s="6"/>
      <c r="B1258" s="21"/>
      <c r="C1258" s="28"/>
      <c r="D1258" s="29"/>
      <c r="E1258" s="21"/>
      <c r="F1258" s="6"/>
      <c r="G1258" s="6"/>
      <c r="H1258" s="6"/>
      <c r="I1258" s="6"/>
      <c r="J1258" s="30"/>
      <c r="K1258" s="6"/>
      <c r="L1258" s="29"/>
      <c r="M1258" s="6"/>
      <c r="N1258" s="6"/>
    </row>
    <row r="1259" customFormat="false" ht="15" hidden="false" customHeight="false" outlineLevel="0" collapsed="false">
      <c r="A1259" s="6"/>
      <c r="B1259" s="21"/>
      <c r="C1259" s="28"/>
      <c r="D1259" s="29"/>
      <c r="E1259" s="21"/>
      <c r="F1259" s="6"/>
      <c r="G1259" s="6"/>
      <c r="H1259" s="6"/>
      <c r="I1259" s="6"/>
      <c r="J1259" s="30"/>
      <c r="K1259" s="6"/>
      <c r="L1259" s="29"/>
      <c r="M1259" s="6"/>
      <c r="N1259" s="6"/>
    </row>
    <row r="1260" customFormat="false" ht="15" hidden="false" customHeight="false" outlineLevel="0" collapsed="false">
      <c r="A1260" s="6"/>
      <c r="B1260" s="21"/>
      <c r="C1260" s="28"/>
      <c r="D1260" s="29"/>
      <c r="E1260" s="21"/>
      <c r="F1260" s="6"/>
      <c r="G1260" s="6"/>
      <c r="H1260" s="6"/>
      <c r="I1260" s="6"/>
      <c r="J1260" s="30"/>
      <c r="K1260" s="6"/>
      <c r="L1260" s="29"/>
      <c r="M1260" s="6"/>
      <c r="N1260" s="6"/>
    </row>
    <row r="1261" customFormat="false" ht="15" hidden="false" customHeight="false" outlineLevel="0" collapsed="false">
      <c r="A1261" s="6"/>
      <c r="B1261" s="21"/>
      <c r="C1261" s="28"/>
      <c r="D1261" s="29"/>
      <c r="E1261" s="21"/>
      <c r="F1261" s="6"/>
      <c r="G1261" s="6"/>
      <c r="H1261" s="6"/>
      <c r="I1261" s="6"/>
      <c r="J1261" s="30"/>
      <c r="K1261" s="6"/>
      <c r="L1261" s="29"/>
      <c r="M1261" s="6"/>
      <c r="N1261" s="6"/>
    </row>
    <row r="1262" customFormat="false" ht="15" hidden="false" customHeight="false" outlineLevel="0" collapsed="false">
      <c r="A1262" s="6"/>
      <c r="B1262" s="21"/>
      <c r="C1262" s="28"/>
      <c r="D1262" s="29"/>
      <c r="E1262" s="21"/>
      <c r="F1262" s="6"/>
      <c r="G1262" s="6"/>
      <c r="H1262" s="6"/>
      <c r="I1262" s="6"/>
      <c r="J1262" s="30"/>
      <c r="K1262" s="6"/>
      <c r="L1262" s="29"/>
      <c r="M1262" s="6"/>
      <c r="N1262" s="6"/>
    </row>
    <row r="1263" customFormat="false" ht="15" hidden="false" customHeight="false" outlineLevel="0" collapsed="false">
      <c r="A1263" s="6"/>
      <c r="B1263" s="21"/>
      <c r="C1263" s="28"/>
      <c r="D1263" s="29"/>
      <c r="E1263" s="21"/>
      <c r="F1263" s="6"/>
      <c r="G1263" s="6"/>
      <c r="H1263" s="6"/>
      <c r="I1263" s="6"/>
      <c r="J1263" s="30"/>
      <c r="K1263" s="6"/>
      <c r="L1263" s="29"/>
      <c r="M1263" s="6"/>
      <c r="N1263" s="6"/>
    </row>
    <row r="1264" customFormat="false" ht="15" hidden="false" customHeight="false" outlineLevel="0" collapsed="false">
      <c r="A1264" s="6"/>
      <c r="B1264" s="21"/>
      <c r="C1264" s="28"/>
      <c r="D1264" s="29"/>
      <c r="E1264" s="21"/>
      <c r="F1264" s="6"/>
      <c r="G1264" s="6"/>
      <c r="H1264" s="6"/>
      <c r="I1264" s="6"/>
      <c r="J1264" s="30"/>
      <c r="K1264" s="6"/>
      <c r="L1264" s="29"/>
      <c r="M1264" s="6"/>
      <c r="N1264" s="6"/>
    </row>
    <row r="1265" customFormat="false" ht="15" hidden="false" customHeight="false" outlineLevel="0" collapsed="false">
      <c r="A1265" s="6"/>
      <c r="B1265" s="21"/>
      <c r="C1265" s="28"/>
      <c r="D1265" s="29"/>
      <c r="E1265" s="21"/>
      <c r="F1265" s="6"/>
      <c r="G1265" s="6"/>
      <c r="H1265" s="6"/>
      <c r="I1265" s="6"/>
      <c r="J1265" s="30"/>
      <c r="K1265" s="6"/>
      <c r="L1265" s="29"/>
      <c r="M1265" s="6"/>
      <c r="N1265" s="6"/>
    </row>
    <row r="1266" customFormat="false" ht="15" hidden="false" customHeight="false" outlineLevel="0" collapsed="false">
      <c r="A1266" s="6"/>
      <c r="B1266" s="21"/>
      <c r="C1266" s="28"/>
      <c r="D1266" s="29"/>
      <c r="E1266" s="21"/>
      <c r="F1266" s="6"/>
      <c r="G1266" s="6"/>
      <c r="H1266" s="6"/>
      <c r="I1266" s="6"/>
      <c r="J1266" s="30"/>
      <c r="K1266" s="6"/>
      <c r="L1266" s="29"/>
      <c r="M1266" s="6"/>
      <c r="N1266" s="6"/>
    </row>
    <row r="1267" customFormat="false" ht="15" hidden="false" customHeight="false" outlineLevel="0" collapsed="false">
      <c r="A1267" s="6"/>
      <c r="B1267" s="21"/>
      <c r="C1267" s="28"/>
      <c r="D1267" s="29"/>
      <c r="E1267" s="21"/>
      <c r="F1267" s="6"/>
      <c r="G1267" s="6"/>
      <c r="H1267" s="6"/>
      <c r="I1267" s="6"/>
      <c r="J1267" s="30"/>
      <c r="K1267" s="6"/>
      <c r="L1267" s="29"/>
      <c r="M1267" s="6"/>
      <c r="N1267" s="6"/>
    </row>
    <row r="1268" customFormat="false" ht="15" hidden="false" customHeight="false" outlineLevel="0" collapsed="false">
      <c r="A1268" s="6"/>
      <c r="B1268" s="21"/>
      <c r="C1268" s="28"/>
      <c r="D1268" s="29"/>
      <c r="E1268" s="21"/>
      <c r="F1268" s="6"/>
      <c r="G1268" s="6"/>
      <c r="H1268" s="6"/>
      <c r="I1268" s="6"/>
      <c r="J1268" s="30"/>
      <c r="K1268" s="6"/>
      <c r="L1268" s="29"/>
      <c r="M1268" s="6"/>
      <c r="N1268" s="6"/>
    </row>
    <row r="1269" customFormat="false" ht="15" hidden="false" customHeight="false" outlineLevel="0" collapsed="false">
      <c r="A1269" s="6"/>
      <c r="B1269" s="21"/>
      <c r="C1269" s="28"/>
      <c r="D1269" s="29"/>
      <c r="E1269" s="21"/>
      <c r="F1269" s="6"/>
      <c r="G1269" s="6"/>
      <c r="H1269" s="6"/>
      <c r="I1269" s="6"/>
      <c r="J1269" s="30"/>
      <c r="K1269" s="6"/>
      <c r="L1269" s="29"/>
      <c r="M1269" s="6"/>
      <c r="N1269" s="6"/>
    </row>
    <row r="1270" customFormat="false" ht="15" hidden="false" customHeight="false" outlineLevel="0" collapsed="false">
      <c r="A1270" s="6"/>
      <c r="B1270" s="21"/>
      <c r="C1270" s="28"/>
      <c r="D1270" s="29"/>
      <c r="E1270" s="21"/>
      <c r="F1270" s="6"/>
      <c r="G1270" s="6"/>
      <c r="H1270" s="6"/>
      <c r="I1270" s="6"/>
      <c r="J1270" s="30"/>
      <c r="K1270" s="6"/>
      <c r="L1270" s="29"/>
      <c r="M1270" s="6"/>
      <c r="N1270" s="6"/>
    </row>
    <row r="1271" customFormat="false" ht="15" hidden="false" customHeight="false" outlineLevel="0" collapsed="false">
      <c r="A1271" s="6"/>
      <c r="B1271" s="21"/>
      <c r="C1271" s="28"/>
      <c r="D1271" s="29"/>
      <c r="E1271" s="21"/>
      <c r="F1271" s="6"/>
      <c r="G1271" s="6"/>
      <c r="H1271" s="6"/>
      <c r="I1271" s="6"/>
      <c r="J1271" s="30"/>
      <c r="K1271" s="6"/>
      <c r="L1271" s="29"/>
      <c r="M1271" s="6"/>
      <c r="N1271" s="6"/>
    </row>
    <row r="1272" customFormat="false" ht="15" hidden="false" customHeight="false" outlineLevel="0" collapsed="false">
      <c r="A1272" s="6"/>
      <c r="B1272" s="21"/>
      <c r="C1272" s="28"/>
      <c r="D1272" s="29"/>
      <c r="E1272" s="21"/>
      <c r="F1272" s="6"/>
      <c r="G1272" s="6"/>
      <c r="H1272" s="6"/>
      <c r="I1272" s="6"/>
      <c r="J1272" s="30"/>
      <c r="K1272" s="6"/>
      <c r="L1272" s="29"/>
      <c r="M1272" s="6"/>
      <c r="N1272" s="6"/>
    </row>
    <row r="1273" customFormat="false" ht="15" hidden="false" customHeight="false" outlineLevel="0" collapsed="false">
      <c r="A1273" s="6"/>
      <c r="B1273" s="21"/>
      <c r="C1273" s="28"/>
      <c r="D1273" s="29"/>
      <c r="E1273" s="21"/>
      <c r="F1273" s="6"/>
      <c r="G1273" s="6"/>
      <c r="H1273" s="6"/>
      <c r="I1273" s="6"/>
      <c r="J1273" s="30"/>
      <c r="K1273" s="6"/>
      <c r="L1273" s="29"/>
      <c r="M1273" s="6"/>
      <c r="N1273" s="6"/>
    </row>
    <row r="1274" customFormat="false" ht="15" hidden="false" customHeight="false" outlineLevel="0" collapsed="false">
      <c r="A1274" s="6"/>
      <c r="B1274" s="21"/>
      <c r="C1274" s="28"/>
      <c r="D1274" s="29"/>
      <c r="E1274" s="21"/>
      <c r="F1274" s="6"/>
      <c r="G1274" s="6"/>
      <c r="H1274" s="6"/>
      <c r="I1274" s="6"/>
      <c r="J1274" s="30"/>
      <c r="K1274" s="6"/>
      <c r="L1274" s="29"/>
      <c r="M1274" s="6"/>
      <c r="N1274" s="6"/>
    </row>
    <row r="1275" customFormat="false" ht="15" hidden="false" customHeight="false" outlineLevel="0" collapsed="false">
      <c r="A1275" s="6"/>
      <c r="B1275" s="21"/>
      <c r="C1275" s="28"/>
      <c r="D1275" s="29"/>
      <c r="E1275" s="21"/>
      <c r="F1275" s="6"/>
      <c r="G1275" s="6"/>
      <c r="H1275" s="6"/>
      <c r="I1275" s="6"/>
      <c r="J1275" s="30"/>
      <c r="K1275" s="6"/>
      <c r="L1275" s="29"/>
      <c r="M1275" s="6"/>
      <c r="N1275" s="6"/>
    </row>
    <row r="1276" customFormat="false" ht="15" hidden="false" customHeight="false" outlineLevel="0" collapsed="false">
      <c r="A1276" s="6"/>
      <c r="B1276" s="21"/>
      <c r="C1276" s="28"/>
      <c r="D1276" s="29"/>
      <c r="E1276" s="21"/>
      <c r="F1276" s="6"/>
      <c r="G1276" s="6"/>
      <c r="H1276" s="6"/>
      <c r="I1276" s="6"/>
      <c r="J1276" s="30"/>
      <c r="K1276" s="6"/>
      <c r="L1276" s="29"/>
      <c r="M1276" s="6"/>
      <c r="N1276" s="6"/>
    </row>
    <row r="1277" customFormat="false" ht="15" hidden="false" customHeight="false" outlineLevel="0" collapsed="false">
      <c r="A1277" s="6"/>
      <c r="B1277" s="21"/>
      <c r="C1277" s="28"/>
      <c r="D1277" s="29"/>
      <c r="E1277" s="21"/>
      <c r="F1277" s="6"/>
      <c r="G1277" s="6"/>
      <c r="H1277" s="6"/>
      <c r="I1277" s="6"/>
      <c r="J1277" s="30"/>
      <c r="K1277" s="6"/>
      <c r="L1277" s="29"/>
      <c r="M1277" s="6"/>
      <c r="N1277" s="6"/>
    </row>
    <row r="1278" customFormat="false" ht="15" hidden="false" customHeight="false" outlineLevel="0" collapsed="false">
      <c r="A1278" s="6"/>
      <c r="B1278" s="21"/>
      <c r="C1278" s="28"/>
      <c r="D1278" s="29"/>
      <c r="E1278" s="21"/>
      <c r="F1278" s="6"/>
      <c r="G1278" s="6"/>
      <c r="H1278" s="6"/>
      <c r="I1278" s="6"/>
      <c r="J1278" s="30"/>
      <c r="K1278" s="6"/>
      <c r="L1278" s="29"/>
      <c r="M1278" s="6"/>
      <c r="N1278" s="6"/>
    </row>
    <row r="1279" customFormat="false" ht="15" hidden="false" customHeight="false" outlineLevel="0" collapsed="false">
      <c r="A1279" s="6"/>
      <c r="B1279" s="21"/>
      <c r="C1279" s="28"/>
      <c r="D1279" s="29"/>
      <c r="E1279" s="21"/>
      <c r="F1279" s="6"/>
      <c r="G1279" s="6"/>
      <c r="H1279" s="6"/>
      <c r="I1279" s="6"/>
      <c r="J1279" s="30"/>
      <c r="K1279" s="6"/>
      <c r="L1279" s="29"/>
      <c r="M1279" s="6"/>
      <c r="N1279" s="6"/>
    </row>
    <row r="1280" customFormat="false" ht="15" hidden="false" customHeight="false" outlineLevel="0" collapsed="false">
      <c r="A1280" s="6"/>
      <c r="B1280" s="21"/>
      <c r="C1280" s="28"/>
      <c r="D1280" s="29"/>
      <c r="E1280" s="21"/>
      <c r="F1280" s="6"/>
      <c r="G1280" s="6"/>
      <c r="H1280" s="6"/>
      <c r="I1280" s="6"/>
      <c r="J1280" s="30"/>
      <c r="K1280" s="6"/>
      <c r="L1280" s="29"/>
      <c r="M1280" s="6"/>
      <c r="N1280" s="6"/>
    </row>
    <row r="1281" customFormat="false" ht="15" hidden="false" customHeight="false" outlineLevel="0" collapsed="false">
      <c r="A1281" s="6"/>
      <c r="B1281" s="21"/>
      <c r="C1281" s="28"/>
      <c r="D1281" s="29"/>
      <c r="E1281" s="21"/>
      <c r="F1281" s="6"/>
      <c r="G1281" s="6"/>
      <c r="H1281" s="6"/>
      <c r="I1281" s="6"/>
      <c r="J1281" s="30"/>
      <c r="K1281" s="6"/>
      <c r="L1281" s="29"/>
      <c r="M1281" s="6"/>
      <c r="N1281" s="6"/>
    </row>
    <row r="1282" customFormat="false" ht="15" hidden="false" customHeight="false" outlineLevel="0" collapsed="false">
      <c r="A1282" s="6"/>
      <c r="B1282" s="21"/>
      <c r="C1282" s="28"/>
      <c r="D1282" s="29"/>
      <c r="E1282" s="21"/>
      <c r="F1282" s="6"/>
      <c r="G1282" s="6"/>
      <c r="H1282" s="6"/>
      <c r="I1282" s="6"/>
      <c r="J1282" s="30"/>
      <c r="K1282" s="6"/>
      <c r="L1282" s="29"/>
      <c r="M1282" s="6"/>
      <c r="N1282" s="6"/>
    </row>
    <row r="1283" customFormat="false" ht="15" hidden="false" customHeight="false" outlineLevel="0" collapsed="false">
      <c r="A1283" s="6"/>
      <c r="B1283" s="21"/>
      <c r="C1283" s="28"/>
      <c r="D1283" s="29"/>
      <c r="E1283" s="21"/>
      <c r="F1283" s="6"/>
      <c r="G1283" s="6"/>
      <c r="H1283" s="6"/>
      <c r="I1283" s="6"/>
      <c r="J1283" s="30"/>
      <c r="K1283" s="6"/>
      <c r="L1283" s="29"/>
      <c r="M1283" s="6"/>
      <c r="N1283" s="6"/>
    </row>
    <row r="1284" customFormat="false" ht="15" hidden="false" customHeight="false" outlineLevel="0" collapsed="false">
      <c r="A1284" s="6"/>
      <c r="B1284" s="21"/>
      <c r="C1284" s="28"/>
      <c r="D1284" s="29"/>
      <c r="E1284" s="21"/>
      <c r="F1284" s="6"/>
      <c r="G1284" s="6"/>
      <c r="H1284" s="6"/>
      <c r="I1284" s="6"/>
      <c r="J1284" s="30"/>
      <c r="K1284" s="6"/>
      <c r="L1284" s="29"/>
      <c r="M1284" s="6"/>
      <c r="N1284" s="6"/>
    </row>
    <row r="1285" customFormat="false" ht="15" hidden="false" customHeight="false" outlineLevel="0" collapsed="false">
      <c r="A1285" s="6"/>
      <c r="B1285" s="21"/>
      <c r="C1285" s="28"/>
      <c r="D1285" s="29"/>
      <c r="E1285" s="21"/>
      <c r="F1285" s="6"/>
      <c r="G1285" s="6"/>
      <c r="H1285" s="6"/>
      <c r="I1285" s="6"/>
      <c r="J1285" s="30"/>
      <c r="K1285" s="6"/>
      <c r="L1285" s="29"/>
      <c r="M1285" s="6"/>
      <c r="N1285" s="6"/>
    </row>
    <row r="1286" customFormat="false" ht="15" hidden="false" customHeight="false" outlineLevel="0" collapsed="false">
      <c r="A1286" s="6"/>
      <c r="B1286" s="21"/>
      <c r="C1286" s="28"/>
      <c r="D1286" s="29"/>
      <c r="E1286" s="21"/>
      <c r="F1286" s="6"/>
      <c r="G1286" s="6"/>
      <c r="H1286" s="6"/>
      <c r="I1286" s="6"/>
      <c r="J1286" s="30"/>
      <c r="K1286" s="6"/>
      <c r="L1286" s="29"/>
      <c r="M1286" s="6"/>
      <c r="N1286" s="6"/>
    </row>
    <row r="1287" customFormat="false" ht="15" hidden="false" customHeight="false" outlineLevel="0" collapsed="false">
      <c r="A1287" s="6"/>
      <c r="B1287" s="21"/>
      <c r="C1287" s="28"/>
      <c r="D1287" s="29"/>
      <c r="E1287" s="21"/>
      <c r="F1287" s="6"/>
      <c r="G1287" s="6"/>
      <c r="H1287" s="6"/>
      <c r="I1287" s="6"/>
      <c r="J1287" s="30"/>
      <c r="K1287" s="6"/>
      <c r="L1287" s="29"/>
      <c r="M1287" s="6"/>
      <c r="N1287" s="6"/>
    </row>
    <row r="1288" customFormat="false" ht="15" hidden="false" customHeight="false" outlineLevel="0" collapsed="false">
      <c r="A1288" s="6"/>
      <c r="B1288" s="21"/>
      <c r="C1288" s="28"/>
      <c r="D1288" s="29"/>
      <c r="E1288" s="21"/>
      <c r="F1288" s="6"/>
      <c r="G1288" s="6"/>
      <c r="H1288" s="6"/>
      <c r="I1288" s="6"/>
      <c r="J1288" s="30"/>
      <c r="K1288" s="6"/>
      <c r="L1288" s="29"/>
      <c r="M1288" s="6"/>
      <c r="N1288" s="6"/>
    </row>
    <row r="1289" customFormat="false" ht="15" hidden="false" customHeight="false" outlineLevel="0" collapsed="false">
      <c r="A1289" s="6"/>
      <c r="B1289" s="21"/>
      <c r="C1289" s="28"/>
      <c r="D1289" s="29"/>
      <c r="E1289" s="21"/>
      <c r="F1289" s="6"/>
      <c r="G1289" s="6"/>
      <c r="H1289" s="6"/>
      <c r="I1289" s="6"/>
      <c r="J1289" s="30"/>
      <c r="K1289" s="6"/>
      <c r="L1289" s="29"/>
      <c r="M1289" s="6"/>
      <c r="N1289" s="6"/>
    </row>
    <row r="1290" customFormat="false" ht="15" hidden="false" customHeight="false" outlineLevel="0" collapsed="false">
      <c r="A1290" s="6"/>
      <c r="B1290" s="21"/>
      <c r="C1290" s="28"/>
      <c r="D1290" s="29"/>
      <c r="E1290" s="21"/>
      <c r="F1290" s="6"/>
      <c r="G1290" s="6"/>
      <c r="H1290" s="6"/>
      <c r="I1290" s="6"/>
      <c r="J1290" s="30"/>
      <c r="K1290" s="6"/>
      <c r="L1290" s="29"/>
      <c r="M1290" s="6"/>
      <c r="N1290" s="6"/>
    </row>
    <row r="1291" customFormat="false" ht="15" hidden="false" customHeight="false" outlineLevel="0" collapsed="false">
      <c r="A1291" s="6"/>
      <c r="B1291" s="21"/>
      <c r="C1291" s="28"/>
      <c r="D1291" s="29"/>
      <c r="E1291" s="21"/>
      <c r="F1291" s="6"/>
      <c r="G1291" s="6"/>
      <c r="H1291" s="6"/>
      <c r="I1291" s="6"/>
      <c r="J1291" s="30"/>
      <c r="K1291" s="6"/>
      <c r="L1291" s="29"/>
      <c r="M1291" s="6"/>
      <c r="N1291" s="6"/>
    </row>
    <row r="1292" customFormat="false" ht="15" hidden="false" customHeight="false" outlineLevel="0" collapsed="false">
      <c r="A1292" s="6"/>
      <c r="B1292" s="21"/>
      <c r="C1292" s="28"/>
      <c r="D1292" s="29"/>
      <c r="E1292" s="21"/>
      <c r="F1292" s="6"/>
      <c r="G1292" s="6"/>
      <c r="H1292" s="6"/>
      <c r="I1292" s="6"/>
      <c r="J1292" s="30"/>
      <c r="K1292" s="6"/>
      <c r="L1292" s="29"/>
      <c r="M1292" s="6"/>
      <c r="N1292" s="6"/>
    </row>
    <row r="1293" customFormat="false" ht="15" hidden="false" customHeight="false" outlineLevel="0" collapsed="false">
      <c r="A1293" s="6"/>
      <c r="B1293" s="21"/>
      <c r="C1293" s="28"/>
      <c r="D1293" s="29"/>
      <c r="E1293" s="21"/>
      <c r="F1293" s="6"/>
      <c r="G1293" s="6"/>
      <c r="H1293" s="6"/>
      <c r="I1293" s="6"/>
      <c r="J1293" s="30"/>
      <c r="K1293" s="6"/>
      <c r="L1293" s="29"/>
      <c r="M1293" s="6"/>
      <c r="N1293" s="6"/>
    </row>
    <row r="1294" customFormat="false" ht="15" hidden="false" customHeight="false" outlineLevel="0" collapsed="false">
      <c r="A1294" s="6"/>
      <c r="B1294" s="21"/>
      <c r="C1294" s="28"/>
      <c r="D1294" s="29"/>
      <c r="E1294" s="21"/>
      <c r="F1294" s="6"/>
      <c r="G1294" s="6"/>
      <c r="H1294" s="6"/>
      <c r="I1294" s="6"/>
      <c r="J1294" s="30"/>
      <c r="K1294" s="6"/>
      <c r="L1294" s="29"/>
      <c r="M1294" s="6"/>
      <c r="N1294" s="6"/>
    </row>
    <row r="1295" customFormat="false" ht="15" hidden="false" customHeight="false" outlineLevel="0" collapsed="false">
      <c r="A1295" s="6"/>
      <c r="B1295" s="21"/>
      <c r="C1295" s="28"/>
      <c r="D1295" s="29"/>
      <c r="E1295" s="21"/>
      <c r="F1295" s="6"/>
      <c r="G1295" s="6"/>
      <c r="H1295" s="6"/>
      <c r="I1295" s="6"/>
      <c r="J1295" s="30"/>
      <c r="K1295" s="6"/>
      <c r="L1295" s="29"/>
      <c r="M1295" s="6"/>
      <c r="N1295" s="6"/>
    </row>
    <row r="1296" customFormat="false" ht="15" hidden="false" customHeight="false" outlineLevel="0" collapsed="false">
      <c r="A1296" s="6"/>
      <c r="B1296" s="21"/>
      <c r="C1296" s="28"/>
      <c r="D1296" s="29"/>
      <c r="E1296" s="21"/>
      <c r="F1296" s="6"/>
      <c r="G1296" s="6"/>
      <c r="H1296" s="6"/>
      <c r="I1296" s="6"/>
      <c r="J1296" s="30"/>
      <c r="K1296" s="6"/>
      <c r="L1296" s="29"/>
      <c r="M1296" s="6"/>
      <c r="N1296" s="6"/>
    </row>
    <row r="1297" customFormat="false" ht="15" hidden="false" customHeight="false" outlineLevel="0" collapsed="false">
      <c r="A1297" s="6"/>
      <c r="B1297" s="21"/>
      <c r="C1297" s="28"/>
      <c r="D1297" s="29"/>
      <c r="E1297" s="21"/>
      <c r="F1297" s="6"/>
      <c r="G1297" s="6"/>
      <c r="H1297" s="6"/>
      <c r="I1297" s="6"/>
      <c r="J1297" s="30"/>
      <c r="K1297" s="6"/>
      <c r="L1297" s="29"/>
      <c r="M1297" s="6"/>
      <c r="N1297" s="6"/>
    </row>
    <row r="1298" customFormat="false" ht="15" hidden="false" customHeight="false" outlineLevel="0" collapsed="false">
      <c r="A1298" s="6"/>
      <c r="B1298" s="21"/>
      <c r="C1298" s="28"/>
      <c r="D1298" s="29"/>
      <c r="E1298" s="21"/>
      <c r="F1298" s="6"/>
      <c r="G1298" s="6"/>
      <c r="H1298" s="6"/>
      <c r="I1298" s="6"/>
      <c r="J1298" s="30"/>
      <c r="K1298" s="6"/>
      <c r="L1298" s="29"/>
      <c r="M1298" s="6"/>
      <c r="N1298" s="6"/>
    </row>
    <row r="1299" customFormat="false" ht="15" hidden="false" customHeight="false" outlineLevel="0" collapsed="false">
      <c r="A1299" s="6"/>
      <c r="B1299" s="21"/>
      <c r="C1299" s="28"/>
      <c r="D1299" s="29"/>
      <c r="E1299" s="21"/>
      <c r="F1299" s="6"/>
      <c r="G1299" s="6"/>
      <c r="H1299" s="6"/>
      <c r="I1299" s="6"/>
      <c r="J1299" s="30"/>
      <c r="K1299" s="6"/>
      <c r="L1299" s="29"/>
      <c r="M1299" s="6"/>
      <c r="N1299" s="6"/>
    </row>
    <row r="1300" customFormat="false" ht="15" hidden="false" customHeight="false" outlineLevel="0" collapsed="false">
      <c r="A1300" s="6"/>
      <c r="B1300" s="21"/>
      <c r="C1300" s="28"/>
      <c r="D1300" s="29"/>
      <c r="E1300" s="21"/>
      <c r="F1300" s="6"/>
      <c r="G1300" s="6"/>
      <c r="H1300" s="6"/>
      <c r="I1300" s="6"/>
      <c r="J1300" s="30"/>
      <c r="K1300" s="6"/>
      <c r="L1300" s="29"/>
      <c r="M1300" s="6"/>
      <c r="N1300" s="6"/>
    </row>
    <row r="1301" customFormat="false" ht="15" hidden="false" customHeight="false" outlineLevel="0" collapsed="false">
      <c r="A1301" s="6"/>
      <c r="B1301" s="21"/>
      <c r="C1301" s="28"/>
      <c r="D1301" s="29"/>
      <c r="E1301" s="21"/>
      <c r="F1301" s="6"/>
      <c r="G1301" s="6"/>
      <c r="H1301" s="6"/>
      <c r="I1301" s="6"/>
      <c r="J1301" s="30"/>
      <c r="K1301" s="6"/>
      <c r="L1301" s="29"/>
      <c r="M1301" s="6"/>
      <c r="N1301" s="6"/>
    </row>
    <row r="1302" customFormat="false" ht="15" hidden="false" customHeight="false" outlineLevel="0" collapsed="false">
      <c r="A1302" s="6"/>
      <c r="B1302" s="21"/>
      <c r="C1302" s="28"/>
      <c r="D1302" s="29"/>
      <c r="E1302" s="21"/>
      <c r="F1302" s="6"/>
      <c r="G1302" s="6"/>
      <c r="H1302" s="6"/>
      <c r="I1302" s="6"/>
      <c r="J1302" s="30"/>
      <c r="K1302" s="6"/>
      <c r="L1302" s="29"/>
      <c r="M1302" s="6"/>
      <c r="N1302" s="6"/>
    </row>
    <row r="1303" customFormat="false" ht="15" hidden="false" customHeight="false" outlineLevel="0" collapsed="false">
      <c r="A1303" s="6"/>
      <c r="B1303" s="21"/>
      <c r="C1303" s="28"/>
      <c r="D1303" s="29"/>
      <c r="E1303" s="21"/>
      <c r="F1303" s="6"/>
      <c r="G1303" s="6"/>
      <c r="H1303" s="6"/>
      <c r="I1303" s="6"/>
      <c r="J1303" s="30"/>
      <c r="K1303" s="6"/>
      <c r="L1303" s="29"/>
      <c r="M1303" s="6"/>
      <c r="N1303" s="6"/>
    </row>
    <row r="1304" customFormat="false" ht="15" hidden="false" customHeight="false" outlineLevel="0" collapsed="false">
      <c r="A1304" s="6"/>
      <c r="B1304" s="21"/>
      <c r="C1304" s="28"/>
      <c r="D1304" s="29"/>
      <c r="E1304" s="21"/>
      <c r="F1304" s="6"/>
      <c r="G1304" s="6"/>
      <c r="H1304" s="6"/>
      <c r="I1304" s="6"/>
      <c r="J1304" s="30"/>
      <c r="K1304" s="6"/>
      <c r="L1304" s="29"/>
      <c r="M1304" s="6"/>
      <c r="N1304" s="6"/>
    </row>
    <row r="1305" customFormat="false" ht="15" hidden="false" customHeight="false" outlineLevel="0" collapsed="false">
      <c r="A1305" s="6"/>
      <c r="B1305" s="21"/>
      <c r="C1305" s="28"/>
      <c r="D1305" s="29"/>
      <c r="E1305" s="21"/>
      <c r="F1305" s="6"/>
      <c r="G1305" s="6"/>
      <c r="H1305" s="6"/>
      <c r="I1305" s="6"/>
      <c r="J1305" s="30"/>
      <c r="K1305" s="6"/>
      <c r="L1305" s="29"/>
      <c r="M1305" s="6"/>
      <c r="N1305" s="6"/>
    </row>
    <row r="1306" customFormat="false" ht="15" hidden="false" customHeight="false" outlineLevel="0" collapsed="false">
      <c r="A1306" s="6"/>
      <c r="B1306" s="21"/>
      <c r="C1306" s="28"/>
      <c r="D1306" s="29"/>
      <c r="E1306" s="21"/>
      <c r="F1306" s="6"/>
      <c r="G1306" s="6"/>
      <c r="H1306" s="6"/>
      <c r="I1306" s="6"/>
      <c r="J1306" s="30"/>
      <c r="K1306" s="6"/>
      <c r="L1306" s="29"/>
      <c r="M1306" s="6"/>
      <c r="N1306" s="6"/>
    </row>
    <row r="1307" customFormat="false" ht="15" hidden="false" customHeight="false" outlineLevel="0" collapsed="false">
      <c r="A1307" s="6"/>
      <c r="B1307" s="21"/>
      <c r="C1307" s="28"/>
      <c r="D1307" s="29"/>
      <c r="E1307" s="21"/>
      <c r="F1307" s="6"/>
      <c r="G1307" s="6"/>
      <c r="H1307" s="6"/>
      <c r="I1307" s="6"/>
      <c r="J1307" s="30"/>
      <c r="K1307" s="6"/>
      <c r="L1307" s="29"/>
      <c r="M1307" s="6"/>
      <c r="N1307" s="6"/>
    </row>
    <row r="1308" customFormat="false" ht="15" hidden="false" customHeight="false" outlineLevel="0" collapsed="false">
      <c r="A1308" s="6"/>
      <c r="B1308" s="21"/>
      <c r="C1308" s="28"/>
      <c r="D1308" s="29"/>
      <c r="E1308" s="21"/>
      <c r="F1308" s="6"/>
      <c r="G1308" s="6"/>
      <c r="H1308" s="6"/>
      <c r="I1308" s="6"/>
      <c r="J1308" s="30"/>
      <c r="K1308" s="6"/>
      <c r="L1308" s="29"/>
      <c r="M1308" s="6"/>
      <c r="N1308" s="6"/>
    </row>
    <row r="1309" customFormat="false" ht="15" hidden="false" customHeight="false" outlineLevel="0" collapsed="false">
      <c r="A1309" s="6"/>
      <c r="B1309" s="21"/>
      <c r="C1309" s="28"/>
      <c r="D1309" s="29"/>
      <c r="E1309" s="21"/>
      <c r="F1309" s="6"/>
      <c r="G1309" s="6"/>
      <c r="H1309" s="6"/>
      <c r="I1309" s="6"/>
      <c r="J1309" s="30"/>
      <c r="K1309" s="6"/>
      <c r="L1309" s="29"/>
      <c r="M1309" s="6"/>
      <c r="N1309" s="6"/>
    </row>
    <row r="1310" customFormat="false" ht="15" hidden="false" customHeight="false" outlineLevel="0" collapsed="false">
      <c r="A1310" s="6"/>
      <c r="B1310" s="21"/>
      <c r="C1310" s="28"/>
      <c r="D1310" s="29"/>
      <c r="E1310" s="21"/>
      <c r="F1310" s="6"/>
      <c r="G1310" s="6"/>
      <c r="H1310" s="6"/>
      <c r="I1310" s="6"/>
      <c r="J1310" s="30"/>
      <c r="K1310" s="6"/>
      <c r="L1310" s="29"/>
      <c r="M1310" s="6"/>
      <c r="N1310" s="6"/>
    </row>
    <row r="1311" customFormat="false" ht="15" hidden="false" customHeight="false" outlineLevel="0" collapsed="false">
      <c r="A1311" s="6"/>
      <c r="B1311" s="21"/>
      <c r="C1311" s="28"/>
      <c r="D1311" s="29"/>
      <c r="E1311" s="21"/>
      <c r="F1311" s="6"/>
      <c r="G1311" s="6"/>
      <c r="H1311" s="6"/>
      <c r="I1311" s="6"/>
      <c r="J1311" s="30"/>
      <c r="K1311" s="6"/>
      <c r="L1311" s="29"/>
      <c r="M1311" s="6"/>
      <c r="N1311" s="6"/>
    </row>
    <row r="1312" customFormat="false" ht="15" hidden="false" customHeight="false" outlineLevel="0" collapsed="false">
      <c r="A1312" s="6"/>
      <c r="B1312" s="21"/>
      <c r="C1312" s="28"/>
      <c r="D1312" s="29"/>
      <c r="E1312" s="21"/>
      <c r="F1312" s="6"/>
      <c r="G1312" s="6"/>
      <c r="H1312" s="6"/>
      <c r="I1312" s="6"/>
      <c r="J1312" s="30"/>
      <c r="K1312" s="6"/>
      <c r="L1312" s="29"/>
      <c r="M1312" s="6"/>
      <c r="N1312" s="6"/>
    </row>
    <row r="1313" customFormat="false" ht="15" hidden="false" customHeight="false" outlineLevel="0" collapsed="false">
      <c r="A1313" s="6"/>
      <c r="B1313" s="21"/>
      <c r="C1313" s="28"/>
      <c r="D1313" s="29"/>
      <c r="E1313" s="21"/>
      <c r="F1313" s="6"/>
      <c r="G1313" s="6"/>
      <c r="H1313" s="6"/>
      <c r="I1313" s="6"/>
      <c r="J1313" s="30"/>
      <c r="K1313" s="6"/>
      <c r="L1313" s="29"/>
      <c r="M1313" s="6"/>
      <c r="N1313" s="6"/>
    </row>
    <row r="1314" customFormat="false" ht="15" hidden="false" customHeight="false" outlineLevel="0" collapsed="false">
      <c r="A1314" s="6"/>
      <c r="B1314" s="21"/>
      <c r="C1314" s="28"/>
      <c r="D1314" s="29"/>
      <c r="E1314" s="21"/>
      <c r="F1314" s="6"/>
      <c r="G1314" s="6"/>
      <c r="H1314" s="6"/>
      <c r="I1314" s="6"/>
      <c r="J1314" s="30"/>
      <c r="K1314" s="6"/>
      <c r="L1314" s="29"/>
      <c r="M1314" s="6"/>
      <c r="N1314" s="6"/>
    </row>
    <row r="1315" customFormat="false" ht="15" hidden="false" customHeight="false" outlineLevel="0" collapsed="false">
      <c r="A1315" s="6"/>
      <c r="B1315" s="21"/>
      <c r="C1315" s="28"/>
      <c r="D1315" s="29"/>
      <c r="E1315" s="21"/>
      <c r="F1315" s="6"/>
      <c r="G1315" s="6"/>
      <c r="H1315" s="6"/>
      <c r="I1315" s="6"/>
      <c r="J1315" s="30"/>
      <c r="K1315" s="6"/>
      <c r="L1315" s="29"/>
      <c r="M1315" s="6"/>
      <c r="N1315" s="6"/>
    </row>
    <row r="1316" customFormat="false" ht="15" hidden="false" customHeight="false" outlineLevel="0" collapsed="false">
      <c r="A1316" s="6"/>
      <c r="B1316" s="21"/>
      <c r="C1316" s="28"/>
      <c r="D1316" s="29"/>
      <c r="E1316" s="21"/>
      <c r="F1316" s="6"/>
      <c r="G1316" s="6"/>
      <c r="H1316" s="6"/>
      <c r="I1316" s="6"/>
      <c r="J1316" s="30"/>
      <c r="K1316" s="6"/>
      <c r="L1316" s="29"/>
      <c r="M1316" s="6"/>
      <c r="N1316" s="6"/>
    </row>
    <row r="1317" customFormat="false" ht="15" hidden="false" customHeight="false" outlineLevel="0" collapsed="false">
      <c r="A1317" s="6"/>
      <c r="B1317" s="21"/>
      <c r="C1317" s="28"/>
      <c r="D1317" s="29"/>
      <c r="E1317" s="21"/>
      <c r="F1317" s="6"/>
      <c r="G1317" s="6"/>
      <c r="H1317" s="6"/>
      <c r="I1317" s="6"/>
      <c r="J1317" s="30"/>
      <c r="K1317" s="6"/>
      <c r="L1317" s="29"/>
      <c r="M1317" s="6"/>
      <c r="N1317" s="6"/>
    </row>
    <row r="1318" customFormat="false" ht="15" hidden="false" customHeight="false" outlineLevel="0" collapsed="false">
      <c r="A1318" s="6"/>
      <c r="B1318" s="21"/>
      <c r="C1318" s="28"/>
      <c r="D1318" s="29"/>
      <c r="E1318" s="21"/>
      <c r="F1318" s="6"/>
      <c r="G1318" s="6"/>
      <c r="H1318" s="6"/>
      <c r="I1318" s="6"/>
      <c r="J1318" s="30"/>
      <c r="K1318" s="6"/>
      <c r="L1318" s="29"/>
      <c r="M1318" s="6"/>
      <c r="N1318" s="6"/>
    </row>
    <row r="1319" customFormat="false" ht="15" hidden="false" customHeight="false" outlineLevel="0" collapsed="false">
      <c r="A1319" s="6"/>
      <c r="B1319" s="21"/>
      <c r="C1319" s="28"/>
      <c r="D1319" s="29"/>
      <c r="E1319" s="21"/>
      <c r="F1319" s="6"/>
      <c r="G1319" s="6"/>
      <c r="H1319" s="6"/>
      <c r="I1319" s="6"/>
      <c r="J1319" s="30"/>
      <c r="K1319" s="6"/>
      <c r="L1319" s="29"/>
      <c r="M1319" s="6"/>
      <c r="N1319" s="6"/>
    </row>
    <row r="1320" customFormat="false" ht="15" hidden="false" customHeight="false" outlineLevel="0" collapsed="false">
      <c r="A1320" s="6"/>
      <c r="B1320" s="21"/>
      <c r="C1320" s="28"/>
      <c r="D1320" s="29"/>
      <c r="E1320" s="21"/>
      <c r="F1320" s="6"/>
      <c r="G1320" s="6"/>
      <c r="H1320" s="6"/>
      <c r="I1320" s="6"/>
      <c r="J1320" s="30"/>
      <c r="K1320" s="6"/>
      <c r="L1320" s="29"/>
      <c r="M1320" s="6"/>
      <c r="N1320" s="6"/>
    </row>
    <row r="1321" customFormat="false" ht="15" hidden="false" customHeight="false" outlineLevel="0" collapsed="false">
      <c r="A1321" s="6"/>
      <c r="B1321" s="21"/>
      <c r="C1321" s="28"/>
      <c r="D1321" s="29"/>
      <c r="E1321" s="21"/>
      <c r="F1321" s="6"/>
      <c r="G1321" s="6"/>
      <c r="H1321" s="6"/>
      <c r="I1321" s="6"/>
      <c r="J1321" s="30"/>
      <c r="K1321" s="6"/>
      <c r="L1321" s="29"/>
      <c r="M1321" s="6"/>
      <c r="N1321" s="6"/>
    </row>
    <row r="1322" customFormat="false" ht="15" hidden="false" customHeight="false" outlineLevel="0" collapsed="false">
      <c r="A1322" s="6"/>
      <c r="B1322" s="21"/>
      <c r="C1322" s="28"/>
      <c r="D1322" s="29"/>
      <c r="E1322" s="21"/>
      <c r="F1322" s="6"/>
      <c r="G1322" s="6"/>
      <c r="H1322" s="6"/>
      <c r="I1322" s="6"/>
      <c r="J1322" s="30"/>
      <c r="K1322" s="6"/>
      <c r="L1322" s="29"/>
      <c r="M1322" s="6"/>
      <c r="N1322" s="6"/>
    </row>
    <row r="1323" customFormat="false" ht="15" hidden="false" customHeight="false" outlineLevel="0" collapsed="false">
      <c r="A1323" s="6"/>
      <c r="B1323" s="21"/>
      <c r="C1323" s="28"/>
      <c r="D1323" s="29"/>
      <c r="E1323" s="21"/>
      <c r="F1323" s="6"/>
      <c r="G1323" s="6"/>
      <c r="H1323" s="6"/>
      <c r="I1323" s="6"/>
      <c r="J1323" s="30"/>
      <c r="K1323" s="6"/>
      <c r="L1323" s="29"/>
      <c r="M1323" s="6"/>
      <c r="N1323" s="6"/>
    </row>
    <row r="1324" customFormat="false" ht="15" hidden="false" customHeight="false" outlineLevel="0" collapsed="false">
      <c r="A1324" s="6"/>
      <c r="B1324" s="21"/>
      <c r="C1324" s="28"/>
      <c r="D1324" s="29"/>
      <c r="E1324" s="21"/>
      <c r="F1324" s="6"/>
      <c r="G1324" s="6"/>
      <c r="H1324" s="6"/>
      <c r="I1324" s="6"/>
      <c r="J1324" s="30"/>
      <c r="K1324" s="6"/>
      <c r="L1324" s="29"/>
      <c r="M1324" s="6"/>
      <c r="N1324" s="6"/>
    </row>
    <row r="1325" customFormat="false" ht="15" hidden="false" customHeight="false" outlineLevel="0" collapsed="false">
      <c r="A1325" s="6"/>
      <c r="B1325" s="21"/>
      <c r="C1325" s="28"/>
      <c r="D1325" s="29"/>
      <c r="E1325" s="21"/>
      <c r="F1325" s="6"/>
      <c r="G1325" s="6"/>
      <c r="H1325" s="6"/>
      <c r="I1325" s="6"/>
      <c r="J1325" s="30"/>
      <c r="K1325" s="6"/>
      <c r="L1325" s="29"/>
      <c r="M1325" s="6"/>
      <c r="N1325" s="6"/>
    </row>
    <row r="1326" customFormat="false" ht="15" hidden="false" customHeight="false" outlineLevel="0" collapsed="false">
      <c r="A1326" s="6"/>
      <c r="B1326" s="21"/>
      <c r="C1326" s="28"/>
      <c r="D1326" s="29"/>
      <c r="E1326" s="21"/>
      <c r="F1326" s="6"/>
      <c r="G1326" s="6"/>
      <c r="H1326" s="6"/>
      <c r="I1326" s="6"/>
      <c r="J1326" s="30"/>
      <c r="K1326" s="6"/>
      <c r="L1326" s="29"/>
      <c r="M1326" s="6"/>
      <c r="N1326" s="6"/>
    </row>
    <row r="1327" customFormat="false" ht="15" hidden="false" customHeight="false" outlineLevel="0" collapsed="false">
      <c r="A1327" s="6"/>
      <c r="B1327" s="21"/>
      <c r="C1327" s="28"/>
      <c r="D1327" s="29"/>
      <c r="E1327" s="21"/>
      <c r="F1327" s="6"/>
      <c r="G1327" s="6"/>
      <c r="H1327" s="6"/>
      <c r="I1327" s="6"/>
      <c r="J1327" s="30"/>
      <c r="K1327" s="6"/>
      <c r="L1327" s="29"/>
      <c r="M1327" s="6"/>
      <c r="N1327" s="6"/>
    </row>
    <row r="1328" customFormat="false" ht="15" hidden="false" customHeight="false" outlineLevel="0" collapsed="false">
      <c r="A1328" s="6"/>
      <c r="B1328" s="21"/>
      <c r="C1328" s="28"/>
      <c r="D1328" s="29"/>
      <c r="E1328" s="21"/>
      <c r="F1328" s="6"/>
      <c r="G1328" s="6"/>
      <c r="H1328" s="6"/>
      <c r="I1328" s="6"/>
      <c r="J1328" s="30"/>
      <c r="K1328" s="6"/>
      <c r="L1328" s="29"/>
      <c r="M1328" s="6"/>
      <c r="N1328" s="6"/>
    </row>
    <row r="1329" customFormat="false" ht="15" hidden="false" customHeight="false" outlineLevel="0" collapsed="false">
      <c r="A1329" s="6"/>
      <c r="B1329" s="21"/>
      <c r="C1329" s="28"/>
      <c r="D1329" s="29"/>
      <c r="E1329" s="21"/>
      <c r="F1329" s="6"/>
      <c r="G1329" s="6"/>
      <c r="H1329" s="6"/>
      <c r="I1329" s="6"/>
      <c r="J1329" s="30"/>
      <c r="K1329" s="6"/>
      <c r="L1329" s="29"/>
      <c r="M1329" s="6"/>
      <c r="N1329" s="6"/>
    </row>
    <row r="1330" customFormat="false" ht="15" hidden="false" customHeight="false" outlineLevel="0" collapsed="false">
      <c r="A1330" s="6"/>
      <c r="B1330" s="21"/>
      <c r="C1330" s="28"/>
      <c r="D1330" s="29"/>
      <c r="E1330" s="21"/>
      <c r="F1330" s="6"/>
      <c r="G1330" s="6"/>
      <c r="H1330" s="6"/>
      <c r="I1330" s="6"/>
      <c r="J1330" s="30"/>
      <c r="K1330" s="6"/>
      <c r="L1330" s="29"/>
      <c r="M1330" s="6"/>
      <c r="N1330" s="6"/>
    </row>
    <row r="1331" customFormat="false" ht="15" hidden="false" customHeight="false" outlineLevel="0" collapsed="false">
      <c r="A1331" s="6"/>
      <c r="B1331" s="21"/>
      <c r="C1331" s="28"/>
      <c r="D1331" s="29"/>
      <c r="E1331" s="21"/>
      <c r="F1331" s="6"/>
      <c r="G1331" s="6"/>
      <c r="H1331" s="6"/>
      <c r="I1331" s="6"/>
      <c r="J1331" s="30"/>
      <c r="K1331" s="6"/>
      <c r="L1331" s="29"/>
      <c r="M1331" s="6"/>
      <c r="N1331" s="6"/>
    </row>
    <row r="1332" customFormat="false" ht="15" hidden="false" customHeight="false" outlineLevel="0" collapsed="false">
      <c r="A1332" s="6"/>
      <c r="B1332" s="21"/>
      <c r="C1332" s="28"/>
      <c r="D1332" s="29"/>
      <c r="E1332" s="21"/>
      <c r="F1332" s="6"/>
      <c r="G1332" s="6"/>
      <c r="H1332" s="6"/>
      <c r="I1332" s="6"/>
      <c r="J1332" s="30"/>
      <c r="K1332" s="6"/>
      <c r="L1332" s="29"/>
      <c r="M1332" s="6"/>
      <c r="N1332" s="6"/>
    </row>
    <row r="1333" customFormat="false" ht="15" hidden="false" customHeight="false" outlineLevel="0" collapsed="false">
      <c r="A1333" s="6"/>
      <c r="B1333" s="21"/>
      <c r="C1333" s="28"/>
      <c r="D1333" s="29"/>
      <c r="E1333" s="21"/>
      <c r="F1333" s="6"/>
      <c r="G1333" s="6"/>
      <c r="H1333" s="6"/>
      <c r="I1333" s="6"/>
      <c r="J1333" s="30"/>
      <c r="K1333" s="6"/>
      <c r="L1333" s="29"/>
      <c r="M1333" s="6"/>
      <c r="N1333" s="6"/>
    </row>
    <row r="1334" customFormat="false" ht="15" hidden="false" customHeight="false" outlineLevel="0" collapsed="false">
      <c r="A1334" s="6"/>
      <c r="B1334" s="21"/>
      <c r="C1334" s="28"/>
      <c r="D1334" s="29"/>
      <c r="E1334" s="21"/>
      <c r="F1334" s="6"/>
      <c r="G1334" s="6"/>
      <c r="H1334" s="6"/>
      <c r="I1334" s="6"/>
      <c r="J1334" s="30"/>
      <c r="K1334" s="6"/>
      <c r="L1334" s="29"/>
      <c r="M1334" s="6"/>
      <c r="N1334" s="6"/>
    </row>
    <row r="1335" customFormat="false" ht="15" hidden="false" customHeight="false" outlineLevel="0" collapsed="false">
      <c r="A1335" s="6"/>
      <c r="B1335" s="21"/>
      <c r="C1335" s="28"/>
      <c r="D1335" s="29"/>
      <c r="E1335" s="21"/>
      <c r="F1335" s="6"/>
      <c r="G1335" s="6"/>
      <c r="H1335" s="6"/>
      <c r="I1335" s="6"/>
      <c r="J1335" s="30"/>
      <c r="K1335" s="6"/>
      <c r="L1335" s="29"/>
      <c r="M1335" s="6"/>
      <c r="N1335" s="6"/>
    </row>
    <row r="1336" customFormat="false" ht="15" hidden="false" customHeight="false" outlineLevel="0" collapsed="false">
      <c r="A1336" s="6"/>
      <c r="B1336" s="21"/>
      <c r="C1336" s="28"/>
      <c r="D1336" s="29"/>
      <c r="E1336" s="21"/>
      <c r="F1336" s="6"/>
      <c r="G1336" s="6"/>
      <c r="H1336" s="6"/>
      <c r="I1336" s="6"/>
      <c r="J1336" s="30"/>
      <c r="K1336" s="6"/>
      <c r="L1336" s="29"/>
      <c r="M1336" s="6"/>
      <c r="N1336" s="6"/>
    </row>
    <row r="1337" customFormat="false" ht="15" hidden="false" customHeight="false" outlineLevel="0" collapsed="false">
      <c r="A1337" s="6"/>
      <c r="B1337" s="21"/>
      <c r="C1337" s="28"/>
      <c r="D1337" s="29"/>
      <c r="E1337" s="21"/>
      <c r="F1337" s="6"/>
      <c r="G1337" s="6"/>
      <c r="H1337" s="6"/>
      <c r="I1337" s="6"/>
      <c r="J1337" s="30"/>
      <c r="K1337" s="6"/>
      <c r="L1337" s="29"/>
      <c r="M1337" s="6"/>
      <c r="N1337" s="6"/>
    </row>
    <row r="1338" customFormat="false" ht="15" hidden="false" customHeight="false" outlineLevel="0" collapsed="false">
      <c r="A1338" s="6"/>
      <c r="B1338" s="21"/>
      <c r="C1338" s="28"/>
      <c r="D1338" s="29"/>
      <c r="E1338" s="21"/>
      <c r="F1338" s="6"/>
      <c r="G1338" s="6"/>
      <c r="H1338" s="6"/>
      <c r="I1338" s="6"/>
      <c r="J1338" s="30"/>
      <c r="K1338" s="6"/>
      <c r="L1338" s="29"/>
      <c r="M1338" s="6"/>
      <c r="N1338" s="6"/>
    </row>
    <row r="1048576" customFormat="false" ht="12.8" hidden="false" customHeight="false" outlineLevel="0" collapsed="false"/>
  </sheetData>
  <autoFilter ref="A1:N1341">
    <sortState ref="A2:N1341">
      <sortCondition ref="A2:A1341" customList=""/>
    </sortState>
  </autoFilter>
  <conditionalFormatting sqref="N2:N385 N399:N407">
    <cfRule type="cellIs" priority="2" operator="equal" aboveAverage="0" equalAverage="0" bottom="0" percent="0" rank="0" text="" dxfId="11">
      <formula>"VERIFICAR URGENTE"</formula>
    </cfRule>
  </conditionalFormatting>
  <conditionalFormatting sqref="K1:K670 L646:L672">
    <cfRule type="cellIs" priority="3" operator="equal" aboveAverage="0" equalAverage="0" bottom="0" percent="0" rank="0" text="" dxfId="11">
      <formula>"MUITO ATRASADO"</formula>
    </cfRule>
  </conditionalFormatting>
  <conditionalFormatting sqref="K1:K670 L646:L672">
    <cfRule type="cellIs" priority="4" operator="equal" aboveAverage="0" equalAverage="0" bottom="0" percent="0" rank="0" text="" dxfId="12">
      <formula>"MUITO ADIANTADO"</formula>
    </cfRule>
  </conditionalFormatting>
  <conditionalFormatting sqref="K1:K670 L646:L672">
    <cfRule type="cellIs" priority="5" operator="equal" aboveAverage="0" equalAverage="0" bottom="0" percent="0" rank="0" text="" dxfId="13">
      <formula>"ATRASADO"</formula>
    </cfRule>
  </conditionalFormatting>
  <conditionalFormatting sqref="K1:K670 L646:L672">
    <cfRule type="cellIs" priority="6" operator="equal" aboveAverage="0" equalAverage="0" bottom="0" percent="0" rank="0" text="" dxfId="14">
      <formula>"EM DIAS"</formula>
    </cfRule>
  </conditionalFormatting>
  <conditionalFormatting sqref="K1:K670 L646:L672">
    <cfRule type="cellIs" priority="7" operator="equal" aboveAverage="0" equalAverage="0" bottom="0" percent="0" rank="0" text="" dxfId="15">
      <formula>"ADIANTADO"</formula>
    </cfRule>
  </conditionalFormatting>
  <conditionalFormatting sqref="N2:N670">
    <cfRule type="cellIs" priority="8" operator="equal" aboveAverage="0" equalAverage="0" bottom="0" percent="0" rank="0" text="" dxfId="16">
      <formula>"VERIFICAR URGENTE"</formula>
    </cfRule>
  </conditionalFormatting>
  <conditionalFormatting sqref="N2:N670">
    <cfRule type="cellIs" priority="9" operator="equal" aboveAverage="0" equalAverage="0" bottom="0" percent="0" rank="0" text="" dxfId="13">
      <formula>"VERIFICAR"</formula>
    </cfRule>
  </conditionalFormatting>
  <conditionalFormatting sqref="N2:N670">
    <cfRule type="cellIs" priority="10" operator="equal" aboveAverage="0" equalAverage="0" bottom="0" percent="0" rank="0" text="" dxfId="14">
      <formula>"VERIFICADO"</formula>
    </cfRule>
  </conditionalFormatting>
  <conditionalFormatting sqref="J646:J672">
    <cfRule type="cellIs" priority="11" operator="greaterThanOrEqual" aboveAverage="0" equalAverage="0" bottom="0" percent="0" rank="0" text="" dxfId="17">
      <formula>"100%"</formula>
    </cfRule>
  </conditionalFormatting>
  <printOptions headings="false" gridLines="false" gridLinesSet="true" horizontalCentered="false" verticalCentered="false"/>
  <pageMargins left="0.7875" right="0.36875" top="0.511805555555556" bottom="0.511805555555556"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U7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0.10546875" defaultRowHeight="15" customHeight="true" zeroHeight="false" outlineLevelRow="0" outlineLevelCol="1"/>
  <cols>
    <col collapsed="false" customWidth="true" hidden="false" outlineLevel="0" max="1" min="1" style="14" width="26.1"/>
    <col collapsed="false" customWidth="true" hidden="false" outlineLevel="0" max="2" min="2" style="14" width="11.3"/>
    <col collapsed="false" customWidth="true" hidden="false" outlineLevel="1" max="4" min="3" style="14" width="8.8"/>
    <col collapsed="false" customWidth="true" hidden="false" outlineLevel="1" max="5" min="5" style="14" width="7.7"/>
    <col collapsed="false" customWidth="true" hidden="false" outlineLevel="1" max="6" min="6" style="14" width="10.5"/>
    <col collapsed="false" customWidth="true" hidden="false" outlineLevel="0" max="7" min="7" style="14" width="8.4"/>
    <col collapsed="false" customWidth="true" hidden="false" outlineLevel="0" max="8" min="8" style="14" width="9.1"/>
    <col collapsed="false" customWidth="true" hidden="true" outlineLevel="1" max="9" min="9" style="14" width="11.5"/>
    <col collapsed="false" customWidth="true" hidden="true" outlineLevel="1" max="10" min="10" style="14" width="12.5"/>
    <col collapsed="false" customWidth="true" hidden="false" outlineLevel="0" max="11" min="11" style="14" width="9.1"/>
    <col collapsed="false" customWidth="true" hidden="false" outlineLevel="0" max="12" min="12" style="14" width="11.5"/>
    <col collapsed="false" customWidth="true" hidden="false" outlineLevel="0" max="13" min="13" style="14" width="9.4"/>
    <col collapsed="false" customWidth="true" hidden="true" outlineLevel="1" max="14" min="14" style="14" width="10.4"/>
    <col collapsed="false" customWidth="true" hidden="false" outlineLevel="0" max="15" min="15" style="14" width="15.11"/>
    <col collapsed="false" customWidth="true" hidden="false" outlineLevel="0" max="16" min="16" style="14" width="4.6"/>
    <col collapsed="false" customWidth="true" hidden="false" outlineLevel="0" max="17" min="17" style="14" width="0.3"/>
    <col collapsed="false" customWidth="true" hidden="false" outlineLevel="0" max="18" min="18" style="14" width="2.9"/>
    <col collapsed="false" customWidth="true" hidden="false" outlineLevel="0" max="19" min="19" style="14" width="2"/>
    <col collapsed="false" customWidth="true" hidden="false" outlineLevel="0" max="20" min="20" style="14" width="4.4"/>
    <col collapsed="false" customWidth="true" hidden="false" outlineLevel="0" max="21" min="21" style="14" width="7.7"/>
  </cols>
  <sheetData>
    <row r="1" customFormat="false" ht="27" hidden="false" customHeight="true" outlineLevel="0" collapsed="false">
      <c r="A1" s="31" t="s">
        <v>514</v>
      </c>
      <c r="B1" s="31"/>
      <c r="C1" s="31"/>
      <c r="D1" s="31"/>
      <c r="E1" s="31"/>
      <c r="F1" s="31"/>
      <c r="G1" s="31"/>
      <c r="H1" s="31"/>
      <c r="I1" s="31"/>
      <c r="J1" s="31"/>
      <c r="K1" s="31"/>
      <c r="L1" s="31"/>
      <c r="M1" s="31"/>
      <c r="N1" s="31"/>
      <c r="O1" s="31"/>
      <c r="P1" s="31"/>
      <c r="Q1" s="31"/>
      <c r="R1" s="31"/>
      <c r="S1" s="31"/>
      <c r="T1" s="31"/>
      <c r="U1" s="31"/>
    </row>
    <row r="2" customFormat="false" ht="27" hidden="false" customHeight="true" outlineLevel="0" collapsed="false">
      <c r="A2" s="32" t="s">
        <v>515</v>
      </c>
      <c r="B2" s="33" t="n">
        <f aca="true">TODAY()</f>
        <v>46171</v>
      </c>
      <c r="C2" s="33" t="n">
        <f aca="true">TODAY()</f>
        <v>46171</v>
      </c>
      <c r="D2" s="34"/>
      <c r="E2" s="35"/>
      <c r="F2" s="35"/>
      <c r="G2" s="36"/>
      <c r="H2" s="36"/>
      <c r="I2" s="37"/>
      <c r="J2" s="37"/>
      <c r="K2" s="38"/>
      <c r="L2" s="36"/>
      <c r="M2" s="39"/>
      <c r="N2" s="40"/>
      <c r="O2" s="41" t="s">
        <v>516</v>
      </c>
      <c r="P2" s="40"/>
      <c r="Q2" s="40"/>
      <c r="R2" s="40"/>
      <c r="S2" s="40"/>
      <c r="T2" s="40"/>
      <c r="U2" s="40"/>
    </row>
    <row r="3" customFormat="false" ht="37.5" hidden="false" customHeight="true" outlineLevel="0" collapsed="false">
      <c r="A3" s="42" t="s">
        <v>517</v>
      </c>
      <c r="B3" s="43" t="s">
        <v>518</v>
      </c>
      <c r="C3" s="44" t="s">
        <v>3</v>
      </c>
      <c r="D3" s="44" t="s">
        <v>4</v>
      </c>
      <c r="E3" s="44" t="s">
        <v>519</v>
      </c>
      <c r="F3" s="44" t="s">
        <v>520</v>
      </c>
      <c r="G3" s="44" t="s">
        <v>521</v>
      </c>
      <c r="H3" s="44" t="s">
        <v>8</v>
      </c>
      <c r="I3" s="44" t="s">
        <v>522</v>
      </c>
      <c r="J3" s="44" t="s">
        <v>523</v>
      </c>
      <c r="K3" s="44" t="s">
        <v>9</v>
      </c>
      <c r="L3" s="42" t="s">
        <v>10</v>
      </c>
      <c r="M3" s="44" t="s">
        <v>524</v>
      </c>
      <c r="N3" s="44" t="s">
        <v>525</v>
      </c>
      <c r="O3" s="44" t="s">
        <v>526</v>
      </c>
      <c r="P3" s="45" t="s">
        <v>527</v>
      </c>
      <c r="Q3" s="45"/>
      <c r="R3" s="45"/>
      <c r="S3" s="45"/>
      <c r="T3" s="46" t="s">
        <v>528</v>
      </c>
      <c r="U3" s="46" t="s">
        <v>529</v>
      </c>
    </row>
    <row r="4" customFormat="false" ht="15.75" hidden="false" customHeight="true" outlineLevel="0" collapsed="false">
      <c r="A4" s="47" t="s">
        <v>530</v>
      </c>
      <c r="B4" s="48" t="n">
        <f aca="false">M4</f>
        <v>45453</v>
      </c>
      <c r="C4" s="49" t="n">
        <v>45215</v>
      </c>
      <c r="D4" s="49" t="n">
        <v>45776</v>
      </c>
      <c r="E4" s="50" t="n">
        <f aca="false">(D4-C4)/7</f>
        <v>80.1428571428571</v>
      </c>
      <c r="F4" s="50" t="n">
        <f aca="false">($B$2-C4)/7</f>
        <v>136.571428571429</v>
      </c>
      <c r="G4" s="51" t="n">
        <v>80</v>
      </c>
      <c r="H4" s="51" t="n">
        <v>26</v>
      </c>
      <c r="I4" s="52"/>
      <c r="J4" s="52"/>
      <c r="K4" s="53" t="n">
        <f aca="false">IFERROR(((F4*G4)/E4)-H4,"")</f>
        <v>110.327985739751</v>
      </c>
      <c r="L4" s="36" t="str">
        <f aca="false">IF(K4&lt;-10,"MUITO ADIANTADO",IF(K4&lt;-6,"ADIANTADO",IF(K4&lt;6,"EM DIAS",IF(K4&lt;12,"ATRASADO","MUITO ATRASADO"))))</f>
        <v>MUITO ATRASADO</v>
      </c>
      <c r="M4" s="54" t="n">
        <v>45453</v>
      </c>
      <c r="N4" s="55" t="n">
        <f aca="false">$B$2-M4</f>
        <v>718</v>
      </c>
      <c r="O4" s="56" t="str">
        <f aca="false">IF(N4&lt;8,"VERIFICADO",IF(N4&lt;15,"VERIFICAR","VERIFICAR URGENTE"))</f>
        <v>VERIFICAR URGENTE</v>
      </c>
      <c r="P4" s="40"/>
      <c r="Q4" s="40"/>
      <c r="R4" s="40"/>
      <c r="S4" s="40"/>
      <c r="T4" s="40"/>
      <c r="U4" s="40"/>
    </row>
    <row r="5" customFormat="false" ht="15.75" hidden="false" customHeight="true" outlineLevel="0" collapsed="false">
      <c r="A5" s="40" t="s">
        <v>531</v>
      </c>
      <c r="B5" s="57" t="n">
        <f aca="false">M5</f>
        <v>45450</v>
      </c>
      <c r="C5" s="34" t="n">
        <v>45331</v>
      </c>
      <c r="D5" s="34" t="n">
        <v>45478</v>
      </c>
      <c r="E5" s="35" t="n">
        <f aca="false">(D5-C5)/7</f>
        <v>21</v>
      </c>
      <c r="F5" s="35" t="n">
        <f aca="false">($B$2-C5)/7</f>
        <v>120</v>
      </c>
      <c r="G5" s="36" t="n">
        <v>16</v>
      </c>
      <c r="H5" s="36" t="n">
        <v>9</v>
      </c>
      <c r="I5" s="37"/>
      <c r="J5" s="37"/>
      <c r="K5" s="38" t="n">
        <f aca="false">IFERROR(((F5*G5)/E5)-H5,"")</f>
        <v>82.4285714285714</v>
      </c>
      <c r="L5" s="36" t="str">
        <f aca="false">IF(K5&lt;-10,"MUITO ADIANTADO",IF(K5&lt;-6,"ADIANTADO",IF(K5&lt;6,"EM DIAS",IF(K5&lt;12,"ATRASADO","MUITO ATRASADO"))))</f>
        <v>MUITO ATRASADO</v>
      </c>
      <c r="M5" s="39" t="n">
        <v>45450</v>
      </c>
      <c r="N5" s="55" t="n">
        <f aca="false">$B$2-M5</f>
        <v>721</v>
      </c>
      <c r="O5" s="56" t="str">
        <f aca="false">IF(N5&lt;8,"VERIFICADO",IF(N5&lt;15,"VERIFICAR","VERIFICAR URGENTE"))</f>
        <v>VERIFICAR URGENTE</v>
      </c>
      <c r="P5" s="40"/>
      <c r="Q5" s="40"/>
      <c r="R5" s="40"/>
      <c r="S5" s="40"/>
      <c r="T5" s="40"/>
      <c r="U5" s="40"/>
    </row>
    <row r="6" customFormat="false" ht="15.75" hidden="false" customHeight="true" outlineLevel="0" collapsed="false">
      <c r="A6" s="40" t="s">
        <v>97</v>
      </c>
      <c r="B6" s="57" t="n">
        <f aca="false">M6</f>
        <v>45449</v>
      </c>
      <c r="C6" s="34" t="n">
        <v>45008</v>
      </c>
      <c r="D6" s="34" t="n">
        <v>45491</v>
      </c>
      <c r="E6" s="35" t="n">
        <f aca="false">(D6-C6)/7</f>
        <v>69</v>
      </c>
      <c r="F6" s="35" t="n">
        <f aca="false">($B$2-C6)/7</f>
        <v>166.142857142857</v>
      </c>
      <c r="G6" s="36" t="n">
        <v>80</v>
      </c>
      <c r="H6" s="36" t="n">
        <v>68</v>
      </c>
      <c r="I6" s="37"/>
      <c r="J6" s="37"/>
      <c r="K6" s="38" t="n">
        <f aca="false">IFERROR(((F6*G6)/E6)-H6,"")</f>
        <v>124.629399585921</v>
      </c>
      <c r="L6" s="36" t="str">
        <f aca="false">IF(K6&lt;-10,"MUITO ADIANTADO",IF(K6&lt;-6,"ADIANTADO",IF(K6&lt;6,"EM DIAS",IF(K6&lt;12,"ATRASADO","MUITO ATRASADO"))))</f>
        <v>MUITO ATRASADO</v>
      </c>
      <c r="M6" s="39" t="n">
        <v>45449</v>
      </c>
      <c r="N6" s="55" t="n">
        <f aca="false">$B$2-M6</f>
        <v>722</v>
      </c>
      <c r="O6" s="56" t="str">
        <f aca="false">IF(N6&lt;8,"VERIFICADO",IF(N6&lt;15,"VERIFICAR","VERIFICAR URGENTE"))</f>
        <v>VERIFICAR URGENTE</v>
      </c>
      <c r="P6" s="40"/>
      <c r="Q6" s="40"/>
      <c r="R6" s="40"/>
      <c r="S6" s="40"/>
      <c r="T6" s="40"/>
      <c r="U6" s="40"/>
    </row>
    <row r="7" customFormat="false" ht="15.75" hidden="false" customHeight="true" outlineLevel="0" collapsed="false">
      <c r="A7" s="40" t="s">
        <v>28</v>
      </c>
      <c r="B7" s="57" t="n">
        <f aca="false">M7</f>
        <v>45454</v>
      </c>
      <c r="C7" s="34" t="n">
        <v>44778</v>
      </c>
      <c r="D7" s="34" t="n">
        <v>46027</v>
      </c>
      <c r="E7" s="35" t="n">
        <f aca="false">(D7-C7)/7</f>
        <v>178.428571428571</v>
      </c>
      <c r="F7" s="35" t="n">
        <f aca="false">($B$2-C7)/7</f>
        <v>199</v>
      </c>
      <c r="G7" s="36" t="n">
        <v>269</v>
      </c>
      <c r="H7" s="36" t="n">
        <v>112</v>
      </c>
      <c r="I7" s="37" t="n">
        <f aca="false">IFERROR(H7/G7,"")</f>
        <v>0.41635687732342</v>
      </c>
      <c r="J7" s="37" t="n">
        <f aca="false">IFERROR(F7/E7,"")</f>
        <v>1.11529223378703</v>
      </c>
      <c r="K7" s="38" t="n">
        <f aca="false">IFERROR(((F7*G7)/E7)-H7,"")</f>
        <v>188.013610888712</v>
      </c>
      <c r="L7" s="36" t="str">
        <f aca="false">IF(K7&lt;-10,"MUITO ADIANTADO",IF(K7&lt;-6,"ADIANTADO",IF(K7&lt;6,"EM DIAS",IF(K7&lt;12,"ATRASADO","MUITO ATRASADO"))))</f>
        <v>MUITO ATRASADO</v>
      </c>
      <c r="M7" s="39" t="n">
        <v>45454</v>
      </c>
      <c r="N7" s="55" t="n">
        <f aca="false">$B$2-M7</f>
        <v>717</v>
      </c>
      <c r="O7" s="56" t="str">
        <f aca="false">IF(N7&lt;8,"VERIFICADO",IF(N7&lt;15,"VERIFICAR","VERIFICAR URGENTE"))</f>
        <v>VERIFICAR URGENTE</v>
      </c>
      <c r="P7" s="40"/>
      <c r="Q7" s="40"/>
      <c r="R7" s="40"/>
      <c r="S7" s="40"/>
      <c r="T7" s="40"/>
      <c r="U7" s="40"/>
    </row>
    <row r="8" customFormat="false" ht="15.75" hidden="false" customHeight="true" outlineLevel="0" collapsed="false">
      <c r="A8" s="40" t="s">
        <v>532</v>
      </c>
      <c r="B8" s="57" t="n">
        <f aca="false">M8</f>
        <v>45451</v>
      </c>
      <c r="C8" s="34" t="n">
        <v>45391</v>
      </c>
      <c r="D8" s="34" t="n">
        <v>45757</v>
      </c>
      <c r="E8" s="35" t="n">
        <f aca="false">(D8-C8)/7</f>
        <v>52.2857142857143</v>
      </c>
      <c r="F8" s="35" t="n">
        <f aca="false">($B$2-C8)/7</f>
        <v>111.428571428571</v>
      </c>
      <c r="G8" s="36" t="n">
        <v>48</v>
      </c>
      <c r="H8" s="36" t="n">
        <v>1</v>
      </c>
      <c r="I8" s="37"/>
      <c r="J8" s="37"/>
      <c r="K8" s="38" t="n">
        <f aca="false">IFERROR(((F8*G8)/E8)-H8,"")</f>
        <v>101.295081967213</v>
      </c>
      <c r="L8" s="36" t="str">
        <f aca="false">IF(K8&lt;-10,"MUITO ADIANTADO",IF(K8&lt;-6,"ADIANTADO",IF(K8&lt;6,"EM DIAS",IF(K8&lt;12,"ATRASADO","MUITO ATRASADO"))))</f>
        <v>MUITO ATRASADO</v>
      </c>
      <c r="M8" s="39" t="n">
        <v>45451</v>
      </c>
      <c r="N8" s="55" t="n">
        <f aca="false">$B$2-M8</f>
        <v>720</v>
      </c>
      <c r="O8" s="56" t="str">
        <f aca="false">IF(N8&lt;8,"VERIFICADO",IF(N8&lt;15,"VERIFICAR","VERIFICAR URGENTE"))</f>
        <v>VERIFICAR URGENTE</v>
      </c>
      <c r="P8" s="40"/>
      <c r="Q8" s="40"/>
      <c r="R8" s="40"/>
      <c r="S8" s="40"/>
      <c r="T8" s="40"/>
      <c r="U8" s="40"/>
    </row>
    <row r="9" customFormat="false" ht="15.75" hidden="false" customHeight="true" outlineLevel="0" collapsed="false">
      <c r="A9" s="58" t="s">
        <v>533</v>
      </c>
      <c r="B9" s="59" t="n">
        <f aca="false">M9</f>
        <v>45451</v>
      </c>
      <c r="C9" s="60" t="n">
        <v>44912</v>
      </c>
      <c r="D9" s="60" t="n">
        <v>45493</v>
      </c>
      <c r="E9" s="61" t="n">
        <f aca="false">(D9-C9)/7</f>
        <v>83</v>
      </c>
      <c r="F9" s="35" t="n">
        <f aca="false">($B$2-C9)/7</f>
        <v>179.857142857143</v>
      </c>
      <c r="G9" s="62" t="n">
        <v>177</v>
      </c>
      <c r="H9" s="62" t="n">
        <v>168</v>
      </c>
      <c r="I9" s="63" t="n">
        <f aca="false">IFERROR(H9/G9,"")</f>
        <v>0.949152542372881</v>
      </c>
      <c r="J9" s="63" t="n">
        <f aca="false">IFERROR(F9/E9,"")</f>
        <v>2.16695352839931</v>
      </c>
      <c r="K9" s="64" t="n">
        <f aca="false">IFERROR(((F9*G9)/E9)-H9,"")</f>
        <v>215.550774526678</v>
      </c>
      <c r="L9" s="36" t="str">
        <f aca="false">IF(K9&lt;-10,"MUITO ADIANTADO",IF(K9&lt;-6,"ADIANTADO",IF(K9&lt;6,"EM DIAS",IF(K9&lt;12,"ATRASADO","MUITO ATRASADO"))))</f>
        <v>MUITO ATRASADO</v>
      </c>
      <c r="M9" s="65" t="n">
        <v>45451</v>
      </c>
      <c r="N9" s="55" t="n">
        <f aca="false">$B$2-M9</f>
        <v>720</v>
      </c>
      <c r="O9" s="56" t="str">
        <f aca="false">IF(N9&lt;8,"VERIFICADO",IF(N9&lt;15,"VERIFICAR","VERIFICAR URGENTE"))</f>
        <v>VERIFICAR URGENTE</v>
      </c>
      <c r="P9" s="40"/>
      <c r="Q9" s="40"/>
      <c r="R9" s="40"/>
      <c r="S9" s="40"/>
      <c r="T9" s="40"/>
      <c r="U9" s="40"/>
    </row>
    <row r="10" customFormat="false" ht="15.75" hidden="false" customHeight="true" outlineLevel="0" collapsed="false">
      <c r="A10" s="40" t="s">
        <v>258</v>
      </c>
      <c r="B10" s="57" t="n">
        <f aca="false">M10</f>
        <v>45450</v>
      </c>
      <c r="C10" s="34" t="n">
        <v>44897</v>
      </c>
      <c r="D10" s="34" t="n">
        <v>46536</v>
      </c>
      <c r="E10" s="35" t="n">
        <f aca="false">(D10-C10)/7</f>
        <v>234.142857142857</v>
      </c>
      <c r="F10" s="35" t="n">
        <f aca="false">($B$2-C10)/7</f>
        <v>182</v>
      </c>
      <c r="G10" s="36" t="n">
        <v>280</v>
      </c>
      <c r="H10" s="36" t="n">
        <v>103</v>
      </c>
      <c r="I10" s="37" t="n">
        <f aca="false">IFERROR(H10/G10,"")</f>
        <v>0.367857142857143</v>
      </c>
      <c r="J10" s="37" t="n">
        <f aca="false">IFERROR(F10/E10,"")</f>
        <v>0.777303233679073</v>
      </c>
      <c r="K10" s="38" t="n">
        <f aca="false">IFERROR(((F10*G10)/E10)-H10,"")</f>
        <v>114.64490543014</v>
      </c>
      <c r="L10" s="36" t="str">
        <f aca="false">IF(K10&lt;-10,"MUITO ADIANTADO",IF(K10&lt;-6,"ADIANTADO",IF(K10&lt;6,"EM DIAS",IF(K10&lt;12,"ATRASADO","MUITO ATRASADO"))))</f>
        <v>MUITO ATRASADO</v>
      </c>
      <c r="M10" s="39" t="n">
        <v>45450</v>
      </c>
      <c r="N10" s="55" t="n">
        <f aca="false">$B$2-M10</f>
        <v>721</v>
      </c>
      <c r="O10" s="56" t="str">
        <f aca="false">IF(N10&lt;8,"VERIFICADO",IF(N10&lt;15,"VERIFICAR","VERIFICAR URGENTE"))</f>
        <v>VERIFICAR URGENTE</v>
      </c>
      <c r="P10" s="40"/>
      <c r="Q10" s="40"/>
      <c r="R10" s="40"/>
      <c r="S10" s="40"/>
      <c r="T10" s="40"/>
      <c r="U10" s="40"/>
    </row>
    <row r="11" customFormat="false" ht="15.75" hidden="false" customHeight="true" outlineLevel="0" collapsed="false">
      <c r="A11" s="40" t="s">
        <v>534</v>
      </c>
      <c r="B11" s="57" t="n">
        <f aca="false">M11</f>
        <v>45448</v>
      </c>
      <c r="C11" s="34" t="n">
        <v>45044</v>
      </c>
      <c r="D11" s="34" t="n">
        <v>45530</v>
      </c>
      <c r="E11" s="35" t="n">
        <f aca="false">(D11-C11)/7</f>
        <v>69.4285714285714</v>
      </c>
      <c r="F11" s="35" t="n">
        <f aca="false">($B$2-C11)/7</f>
        <v>161</v>
      </c>
      <c r="G11" s="36" t="n">
        <v>96</v>
      </c>
      <c r="H11" s="36" t="n">
        <v>86</v>
      </c>
      <c r="I11" s="37" t="n">
        <f aca="false">IFERROR(H11/G11,"")</f>
        <v>0.895833333333333</v>
      </c>
      <c r="J11" s="37" t="n">
        <f aca="false">IFERROR(F11/E11,"")</f>
        <v>2.31893004115226</v>
      </c>
      <c r="K11" s="38" t="n">
        <f aca="false">IFERROR(((F11*G11)/E11)-H11,"")</f>
        <v>136.617283950617</v>
      </c>
      <c r="L11" s="36" t="str">
        <f aca="false">IF(K11&lt;-10,"MUITO ADIANTADO",IF(K11&lt;-6,"ADIANTADO",IF(K11&lt;6,"EM DIAS",IF(K11&lt;12,"ATRASADO","MUITO ATRASADO"))))</f>
        <v>MUITO ATRASADO</v>
      </c>
      <c r="M11" s="39" t="n">
        <v>45448</v>
      </c>
      <c r="N11" s="55" t="n">
        <f aca="false">$B$2-M11</f>
        <v>723</v>
      </c>
      <c r="O11" s="56" t="str">
        <f aca="false">IF(N11&lt;8,"VERIFICADO",IF(N11&lt;15,"VERIFICAR","VERIFICAR URGENTE"))</f>
        <v>VERIFICAR URGENTE</v>
      </c>
      <c r="P11" s="40"/>
      <c r="Q11" s="40"/>
      <c r="R11" s="40"/>
      <c r="S11" s="40"/>
      <c r="T11" s="40"/>
      <c r="U11" s="40"/>
    </row>
    <row r="12" customFormat="false" ht="15.75" hidden="false" customHeight="true" outlineLevel="0" collapsed="false">
      <c r="A12" s="40" t="s">
        <v>535</v>
      </c>
      <c r="B12" s="57" t="n">
        <f aca="false">M12</f>
        <v>45450</v>
      </c>
      <c r="C12" s="34" t="n">
        <v>45134</v>
      </c>
      <c r="D12" s="34" t="n">
        <v>45562</v>
      </c>
      <c r="E12" s="35" t="n">
        <f aca="false">(D12-C12)/7</f>
        <v>61.1428571428571</v>
      </c>
      <c r="F12" s="35" t="n">
        <f aca="false">($B$2-C12)/7</f>
        <v>148.142857142857</v>
      </c>
      <c r="G12" s="36" t="n">
        <v>80</v>
      </c>
      <c r="H12" s="36" t="n">
        <v>62</v>
      </c>
      <c r="I12" s="37" t="n">
        <f aca="false">IFERROR(H12/G12,"")</f>
        <v>0.775</v>
      </c>
      <c r="J12" s="37" t="n">
        <f aca="false">IFERROR(F12/E12,"")</f>
        <v>2.42289719626168</v>
      </c>
      <c r="K12" s="38" t="n">
        <f aca="false">IFERROR(((F12*G12)/E12)-H12,"")</f>
        <v>131.831775700935</v>
      </c>
      <c r="L12" s="36" t="str">
        <f aca="false">IF(K12&lt;-10,"MUITO ADIANTADO",IF(K12&lt;-6,"ADIANTADO",IF(K12&lt;6,"EM DIAS",IF(K12&lt;12,"ATRASADO","MUITO ATRASADO"))))</f>
        <v>MUITO ATRASADO</v>
      </c>
      <c r="M12" s="39" t="n">
        <v>45450</v>
      </c>
      <c r="N12" s="55" t="n">
        <f aca="false">$B$2-M12</f>
        <v>721</v>
      </c>
      <c r="O12" s="56" t="str">
        <f aca="false">IF(N12&lt;8,"VERIFICADO",IF(N12&lt;15,"VERIFICAR","VERIFICAR URGENTE"))</f>
        <v>VERIFICAR URGENTE</v>
      </c>
      <c r="P12" s="40"/>
      <c r="Q12" s="40"/>
      <c r="R12" s="40"/>
      <c r="S12" s="40"/>
      <c r="T12" s="40"/>
      <c r="U12" s="40"/>
    </row>
    <row r="13" customFormat="false" ht="15.75" hidden="false" customHeight="true" outlineLevel="0" collapsed="false">
      <c r="A13" s="40" t="s">
        <v>536</v>
      </c>
      <c r="B13" s="57" t="n">
        <f aca="false">M13</f>
        <v>45453</v>
      </c>
      <c r="C13" s="34" t="n">
        <v>45246</v>
      </c>
      <c r="D13" s="34" t="n">
        <v>45741</v>
      </c>
      <c r="E13" s="35" t="n">
        <f aca="false">(D13-C13)/7</f>
        <v>70.7142857142857</v>
      </c>
      <c r="F13" s="35" t="n">
        <f aca="false">($B$2-C13)/7</f>
        <v>132.142857142857</v>
      </c>
      <c r="G13" s="36" t="n">
        <v>116</v>
      </c>
      <c r="H13" s="36" t="n">
        <v>56</v>
      </c>
      <c r="I13" s="37" t="n">
        <f aca="false">IFERROR(H13/G13,"")</f>
        <v>0.482758620689655</v>
      </c>
      <c r="J13" s="37" t="n">
        <f aca="false">IFERROR(F13/E13,"")</f>
        <v>1.86868686868687</v>
      </c>
      <c r="K13" s="38" t="n">
        <f aca="false">IFERROR(((F13*G13)/E13)-H13,"")</f>
        <v>160.767676767677</v>
      </c>
      <c r="L13" s="36" t="str">
        <f aca="false">IF(K13&lt;-10,"MUITO ADIANTADO",IF(K13&lt;-6,"ADIANTADO",IF(K13&lt;6,"EM DIAS",IF(K13&lt;12,"ATRASADO","MUITO ATRASADO"))))</f>
        <v>MUITO ATRASADO</v>
      </c>
      <c r="M13" s="39" t="n">
        <v>45453</v>
      </c>
      <c r="N13" s="55" t="n">
        <f aca="false">$B$2-M13</f>
        <v>718</v>
      </c>
      <c r="O13" s="56" t="str">
        <f aca="false">IF(N13&lt;8,"VERIFICADO",IF(N13&lt;15,"VERIFICAR","VERIFICAR URGENTE"))</f>
        <v>VERIFICAR URGENTE</v>
      </c>
      <c r="P13" s="40"/>
      <c r="Q13" s="40"/>
      <c r="R13" s="40"/>
      <c r="S13" s="40"/>
      <c r="T13" s="40"/>
      <c r="U13" s="40"/>
    </row>
    <row r="14" customFormat="false" ht="15.75" hidden="false" customHeight="true" outlineLevel="0" collapsed="false">
      <c r="A14" s="40" t="s">
        <v>537</v>
      </c>
      <c r="B14" s="57" t="n">
        <f aca="false">M14</f>
        <v>45449</v>
      </c>
      <c r="C14" s="34" t="n">
        <v>45358</v>
      </c>
      <c r="D14" s="34" t="n">
        <v>46167</v>
      </c>
      <c r="E14" s="35" t="n">
        <f aca="false">(D14-C14)/7</f>
        <v>115.571428571429</v>
      </c>
      <c r="F14" s="35" t="n">
        <f aca="false">($B$2-C14)/7</f>
        <v>116.142857142857</v>
      </c>
      <c r="G14" s="36" t="n">
        <v>112</v>
      </c>
      <c r="H14" s="36" t="n">
        <v>13</v>
      </c>
      <c r="I14" s="37"/>
      <c r="J14" s="37"/>
      <c r="K14" s="38" t="n">
        <f aca="false">IFERROR(((F14*G14)/E14)-H14,"")</f>
        <v>99.5537700865262</v>
      </c>
      <c r="L14" s="36" t="str">
        <f aca="false">IF(K14&lt;-10,"MUITO ADIANTADO",IF(K14&lt;-6,"ADIANTADO",IF(K14&lt;6,"EM DIAS",IF(K14&lt;12,"ATRASADO","MUITO ATRASADO"))))</f>
        <v>MUITO ATRASADO</v>
      </c>
      <c r="M14" s="39" t="n">
        <v>45449</v>
      </c>
      <c r="N14" s="55" t="n">
        <f aca="false">$B$2-M14</f>
        <v>722</v>
      </c>
      <c r="O14" s="56" t="str">
        <f aca="false">IF(N14&lt;8,"VERIFICADO",IF(N14&lt;15,"VERIFICAR","VERIFICAR URGENTE"))</f>
        <v>VERIFICAR URGENTE</v>
      </c>
      <c r="P14" s="40"/>
      <c r="Q14" s="40"/>
      <c r="R14" s="40"/>
      <c r="S14" s="40"/>
      <c r="T14" s="40"/>
      <c r="U14" s="40"/>
    </row>
    <row r="15" customFormat="false" ht="17.25" hidden="false" customHeight="true" outlineLevel="0" collapsed="false">
      <c r="A15" s="40" t="s">
        <v>538</v>
      </c>
      <c r="B15" s="57" t="n">
        <f aca="false">M15</f>
        <v>45448</v>
      </c>
      <c r="C15" s="34" t="n">
        <v>45155</v>
      </c>
      <c r="D15" s="34" t="n">
        <v>46769</v>
      </c>
      <c r="E15" s="35" t="n">
        <f aca="false">(D15-C15)/7</f>
        <v>230.571428571429</v>
      </c>
      <c r="F15" s="35" t="n">
        <f aca="false">($B$2-C15)/7</f>
        <v>145.142857142857</v>
      </c>
      <c r="G15" s="36" t="n">
        <v>256</v>
      </c>
      <c r="H15" s="36" t="n">
        <v>44</v>
      </c>
      <c r="I15" s="37"/>
      <c r="J15" s="37"/>
      <c r="K15" s="38" t="n">
        <f aca="false">IFERROR(((F15*G15)/E15)-H15,"")</f>
        <v>117.149938042131</v>
      </c>
      <c r="L15" s="36" t="str">
        <f aca="false">IF(K15&lt;-10,"MUITO ADIANTADO",IF(K15&lt;-6,"ADIANTADO",IF(K15&lt;6,"EM DIAS",IF(K15&lt;12,"ATRASADO","MUITO ATRASADO"))))</f>
        <v>MUITO ATRASADO</v>
      </c>
      <c r="M15" s="39" t="n">
        <v>45448</v>
      </c>
      <c r="N15" s="55" t="n">
        <f aca="false">$B$2-M15</f>
        <v>723</v>
      </c>
      <c r="O15" s="56" t="str">
        <f aca="false">IF(N15&lt;8,"VERIFICADO",IF(N15&lt;15,"VERIFICAR","VERIFICAR URGENTE"))</f>
        <v>VERIFICAR URGENTE</v>
      </c>
      <c r="P15" s="40"/>
      <c r="Q15" s="40"/>
      <c r="R15" s="40"/>
      <c r="S15" s="40"/>
      <c r="T15" s="40"/>
      <c r="U15" s="40"/>
    </row>
    <row r="16" customFormat="false" ht="15.75" hidden="false" customHeight="true" outlineLevel="0" collapsed="false">
      <c r="A16" s="40" t="s">
        <v>539</v>
      </c>
      <c r="B16" s="57" t="n">
        <f aca="false">M16</f>
        <v>45451</v>
      </c>
      <c r="C16" s="34" t="n">
        <v>44852</v>
      </c>
      <c r="D16" s="34" t="n">
        <v>46132</v>
      </c>
      <c r="E16" s="35" t="n">
        <f aca="false">(D16-C16)/7</f>
        <v>182.857142857143</v>
      </c>
      <c r="F16" s="35" t="n">
        <f aca="false">($B$2-C16)/7</f>
        <v>188.428571428571</v>
      </c>
      <c r="G16" s="36" t="n">
        <v>253</v>
      </c>
      <c r="H16" s="36" t="n">
        <v>32</v>
      </c>
      <c r="I16" s="37" t="n">
        <f aca="false">IFERROR(H16/G16,"")</f>
        <v>0.126482213438735</v>
      </c>
      <c r="J16" s="37" t="n">
        <f aca="false">IFERROR(F16/E16,"")</f>
        <v>1.03046875</v>
      </c>
      <c r="K16" s="38" t="n">
        <f aca="false">IFERROR(((F16*G16)/E16)-H16,"")</f>
        <v>228.70859375</v>
      </c>
      <c r="L16" s="36" t="str">
        <f aca="false">IF(K16&lt;-10,"MUITO ADIANTADO",IF(K16&lt;-6,"ADIANTADO",IF(K16&lt;6,"EM DIAS",IF(K16&lt;12,"ATRASADO","MUITO ATRASADO"))))</f>
        <v>MUITO ATRASADO</v>
      </c>
      <c r="M16" s="39" t="n">
        <v>45451</v>
      </c>
      <c r="N16" s="55" t="n">
        <f aca="false">$B$2-M16</f>
        <v>720</v>
      </c>
      <c r="O16" s="56" t="str">
        <f aca="false">IF(N16&lt;8,"VERIFICADO",IF(N16&lt;15,"VERIFICAR","VERIFICAR URGENTE"))</f>
        <v>VERIFICAR URGENTE</v>
      </c>
      <c r="P16" s="40"/>
      <c r="Q16" s="40"/>
      <c r="R16" s="40"/>
      <c r="S16" s="40"/>
      <c r="T16" s="40"/>
      <c r="U16" s="40"/>
    </row>
    <row r="17" customFormat="false" ht="15.75" hidden="false" customHeight="true" outlineLevel="0" collapsed="false">
      <c r="A17" s="40" t="s">
        <v>540</v>
      </c>
      <c r="B17" s="57" t="n">
        <f aca="false">M17</f>
        <v>45448</v>
      </c>
      <c r="C17" s="34" t="n">
        <v>45358</v>
      </c>
      <c r="D17" s="34" t="n">
        <v>45480</v>
      </c>
      <c r="E17" s="35" t="n">
        <f aca="false">(D17-C17)/7</f>
        <v>17.4285714285714</v>
      </c>
      <c r="F17" s="35" t="n">
        <f aca="false">($B$2-C17)/7</f>
        <v>116.142857142857</v>
      </c>
      <c r="G17" s="36" t="n">
        <v>16</v>
      </c>
      <c r="H17" s="36" t="n">
        <v>9</v>
      </c>
      <c r="I17" s="37"/>
      <c r="J17" s="37"/>
      <c r="K17" s="38" t="n">
        <f aca="false">IFERROR(((F17*G17)/E17)-H17,"")</f>
        <v>97.6229508196723</v>
      </c>
      <c r="L17" s="36" t="str">
        <f aca="false">IF(K17&lt;-10,"MUITO ADIANTADO",IF(K17&lt;-6,"ADIANTADO",IF(K17&lt;6,"EM DIAS",IF(K17&lt;12,"ATRASADO","MUITO ATRASADO"))))</f>
        <v>MUITO ATRASADO</v>
      </c>
      <c r="M17" s="39" t="n">
        <v>45448</v>
      </c>
      <c r="N17" s="55" t="n">
        <f aca="false">$B$2-M17</f>
        <v>723</v>
      </c>
      <c r="O17" s="56" t="str">
        <f aca="false">IF(N17&lt;8,"VERIFICADO",IF(N17&lt;15,"VERIFICAR","VERIFICAR URGENTE"))</f>
        <v>VERIFICAR URGENTE</v>
      </c>
      <c r="P17" s="40"/>
      <c r="Q17" s="40"/>
      <c r="R17" s="40"/>
      <c r="S17" s="40"/>
      <c r="T17" s="40"/>
      <c r="U17" s="40"/>
    </row>
    <row r="18" customFormat="false" ht="15.75" hidden="false" customHeight="true" outlineLevel="0" collapsed="false">
      <c r="A18" s="40" t="s">
        <v>541</v>
      </c>
      <c r="B18" s="57" t="n">
        <f aca="false">M18</f>
        <v>45451</v>
      </c>
      <c r="C18" s="34" t="n">
        <v>44681</v>
      </c>
      <c r="D18" s="34" t="n">
        <v>45333</v>
      </c>
      <c r="E18" s="35" t="n">
        <f aca="false">(D18-C18)/7</f>
        <v>93.1428571428571</v>
      </c>
      <c r="F18" s="35" t="n">
        <f aca="false">($B$2-C18)/7</f>
        <v>212.857142857143</v>
      </c>
      <c r="G18" s="36" t="n">
        <v>92</v>
      </c>
      <c r="H18" s="36" t="n">
        <v>86</v>
      </c>
      <c r="I18" s="37" t="n">
        <f aca="false">IFERROR(H18/G18,"")</f>
        <v>0.934782608695652</v>
      </c>
      <c r="J18" s="37" t="n">
        <f aca="false">IFERROR(F18/E18,"")</f>
        <v>2.28527607361963</v>
      </c>
      <c r="K18" s="38" t="n">
        <f aca="false">IFERROR(((F18*G18)/E18)-H18,"")</f>
        <v>124.245398773006</v>
      </c>
      <c r="L18" s="36" t="str">
        <f aca="false">IF(K18&lt;-10,"MUITO ADIANTADO",IF(K18&lt;-6,"ADIANTADO",IF(K18&lt;6,"EM DIAS",IF(K18&lt;12,"ATRASADO","MUITO ATRASADO"))))</f>
        <v>MUITO ATRASADO</v>
      </c>
      <c r="M18" s="39" t="n">
        <v>45451</v>
      </c>
      <c r="N18" s="55" t="n">
        <f aca="false">$B$2-M18</f>
        <v>720</v>
      </c>
      <c r="O18" s="56" t="str">
        <f aca="false">IF(N18&lt;8,"VERIFICADO",IF(N18&lt;15,"VERIFICAR","VERIFICAR URGENTE"))</f>
        <v>VERIFICAR URGENTE</v>
      </c>
      <c r="P18" s="40"/>
      <c r="Q18" s="40"/>
      <c r="R18" s="40"/>
      <c r="S18" s="40"/>
      <c r="T18" s="40"/>
      <c r="U18" s="40"/>
    </row>
    <row r="19" customFormat="false" ht="15.75" hidden="false" customHeight="true" outlineLevel="0" collapsed="false">
      <c r="A19" s="40" t="s">
        <v>542</v>
      </c>
      <c r="B19" s="57" t="n">
        <f aca="false">M19</f>
        <v>45449</v>
      </c>
      <c r="C19" s="34" t="n">
        <v>45358</v>
      </c>
      <c r="D19" s="34" t="n">
        <v>45907</v>
      </c>
      <c r="E19" s="35" t="n">
        <f aca="false">(D19-C19)/7</f>
        <v>78.4285714285714</v>
      </c>
      <c r="F19" s="35" t="n">
        <f aca="false">($B$2-C19)/7</f>
        <v>116.142857142857</v>
      </c>
      <c r="G19" s="36" t="n">
        <v>64</v>
      </c>
      <c r="H19" s="36" t="n">
        <v>15</v>
      </c>
      <c r="I19" s="37"/>
      <c r="J19" s="37"/>
      <c r="K19" s="38" t="n">
        <f aca="false">IFERROR(((F19*G19)/E19)-H19,"")</f>
        <v>79.775956284153</v>
      </c>
      <c r="L19" s="36" t="str">
        <f aca="false">IF(K19&lt;-10,"MUITO ADIANTADO",IF(K19&lt;-6,"ADIANTADO",IF(K19&lt;6,"EM DIAS",IF(K19&lt;12,"ATRASADO","MUITO ATRASADO"))))</f>
        <v>MUITO ATRASADO</v>
      </c>
      <c r="M19" s="39" t="n">
        <v>45449</v>
      </c>
      <c r="N19" s="55" t="n">
        <f aca="false">$B$2-M19</f>
        <v>722</v>
      </c>
      <c r="O19" s="56" t="str">
        <f aca="false">IF(N19&lt;8,"VERIFICADO",IF(N19&lt;15,"VERIFICAR","VERIFICAR URGENTE"))</f>
        <v>VERIFICAR URGENTE</v>
      </c>
      <c r="P19" s="40"/>
      <c r="Q19" s="40"/>
      <c r="R19" s="40"/>
      <c r="S19" s="40"/>
      <c r="T19" s="40"/>
      <c r="U19" s="40"/>
    </row>
    <row r="20" customFormat="false" ht="15.75" hidden="false" customHeight="true" outlineLevel="0" collapsed="false">
      <c r="A20" s="40" t="s">
        <v>214</v>
      </c>
      <c r="B20" s="57" t="n">
        <f aca="false">M20</f>
        <v>45449</v>
      </c>
      <c r="C20" s="34" t="n">
        <v>45113</v>
      </c>
      <c r="D20" s="34" t="n">
        <v>46730</v>
      </c>
      <c r="E20" s="35" t="n">
        <f aca="false">(D20-C20)/7</f>
        <v>231</v>
      </c>
      <c r="F20" s="35" t="n">
        <f aca="false">($B$2-C20)/7</f>
        <v>151.142857142857</v>
      </c>
      <c r="G20" s="36" t="n">
        <v>304</v>
      </c>
      <c r="H20" s="36" t="n">
        <v>89</v>
      </c>
      <c r="I20" s="37" t="n">
        <f aca="false">IFERROR(H20/G20,"")</f>
        <v>0.292763157894737</v>
      </c>
      <c r="J20" s="37" t="n">
        <f aca="false">IFERROR(F20/E20,"")</f>
        <v>0.654298082869511</v>
      </c>
      <c r="K20" s="38" t="n">
        <f aca="false">IFERROR(((F20*G20)/E20)-H20,"")</f>
        <v>109.906617192331</v>
      </c>
      <c r="L20" s="36" t="str">
        <f aca="false">IF(K20&lt;-10,"MUITO ADIANTADO",IF(K20&lt;-6,"ADIANTADO",IF(K20&lt;6,"EM DIAS",IF(K20&lt;12,"ATRASADO","MUITO ATRASADO"))))</f>
        <v>MUITO ATRASADO</v>
      </c>
      <c r="M20" s="39" t="n">
        <v>45449</v>
      </c>
      <c r="N20" s="55" t="n">
        <f aca="false">$B$2-M20</f>
        <v>722</v>
      </c>
      <c r="O20" s="56" t="str">
        <f aca="false">IF(N20&lt;8,"VERIFICADO",IF(N20&lt;15,"VERIFICAR","VERIFICAR URGENTE"))</f>
        <v>VERIFICAR URGENTE</v>
      </c>
      <c r="P20" s="40"/>
      <c r="Q20" s="40"/>
      <c r="R20" s="40"/>
      <c r="S20" s="40"/>
      <c r="T20" s="40"/>
      <c r="U20" s="40"/>
    </row>
    <row r="21" customFormat="false" ht="15.75" hidden="false" customHeight="true" outlineLevel="0" collapsed="false">
      <c r="A21" s="40" t="s">
        <v>543</v>
      </c>
      <c r="B21" s="57" t="n">
        <f aca="false">M21</f>
        <v>45450</v>
      </c>
      <c r="C21" s="34" t="n">
        <v>44893</v>
      </c>
      <c r="D21" s="34" t="n">
        <v>46217</v>
      </c>
      <c r="E21" s="35" t="n">
        <f aca="false">(D21-C21)/7</f>
        <v>189.142857142857</v>
      </c>
      <c r="F21" s="35" t="n">
        <f aca="false">($B$2-C21)/7</f>
        <v>182.571428571429</v>
      </c>
      <c r="G21" s="36" t="n">
        <v>253</v>
      </c>
      <c r="H21" s="36" t="n">
        <v>64</v>
      </c>
      <c r="I21" s="37"/>
      <c r="J21" s="37"/>
      <c r="K21" s="38" t="n">
        <f aca="false">IFERROR(((F21*G21)/E21)-H21,"")</f>
        <v>180.20996978852</v>
      </c>
      <c r="L21" s="36" t="str">
        <f aca="false">IF(K21&lt;-10,"MUITO ADIANTADO",IF(K21&lt;-6,"ADIANTADO",IF(K21&lt;6,"EM DIAS",IF(K21&lt;12,"ATRASADO","MUITO ATRASADO"))))</f>
        <v>MUITO ATRASADO</v>
      </c>
      <c r="M21" s="39" t="n">
        <v>45450</v>
      </c>
      <c r="N21" s="55" t="n">
        <f aca="false">$B$2-M21</f>
        <v>721</v>
      </c>
      <c r="O21" s="56" t="str">
        <f aca="false">IF(N21&lt;8,"VERIFICADO",IF(N21&lt;15,"VERIFICAR","VERIFICAR URGENTE"))</f>
        <v>VERIFICAR URGENTE</v>
      </c>
      <c r="P21" s="40"/>
      <c r="Q21" s="40"/>
      <c r="R21" s="40"/>
      <c r="S21" s="40"/>
      <c r="T21" s="40"/>
      <c r="U21" s="40"/>
    </row>
    <row r="22" customFormat="false" ht="15.75" hidden="false" customHeight="true" outlineLevel="0" collapsed="false">
      <c r="A22" s="40" t="s">
        <v>544</v>
      </c>
      <c r="B22" s="57" t="n">
        <f aca="false">M22</f>
        <v>45448</v>
      </c>
      <c r="C22" s="34" t="n">
        <v>45357</v>
      </c>
      <c r="D22" s="34" t="n">
        <v>45875</v>
      </c>
      <c r="E22" s="35" t="n">
        <f aca="false">(D22-C22)/7</f>
        <v>74</v>
      </c>
      <c r="F22" s="35" t="n">
        <f aca="false">($B$2-C22)/7</f>
        <v>116.285714285714</v>
      </c>
      <c r="G22" s="36" t="n">
        <v>80</v>
      </c>
      <c r="H22" s="36" t="n">
        <v>10</v>
      </c>
      <c r="I22" s="37"/>
      <c r="J22" s="37"/>
      <c r="K22" s="38" t="n">
        <f aca="false">IFERROR(((F22*G22)/E22)-H22,"")</f>
        <v>115.714285714286</v>
      </c>
      <c r="L22" s="36" t="str">
        <f aca="false">IF(K22&lt;-10,"MUITO ADIANTADO",IF(K22&lt;-6,"ADIANTADO",IF(K22&lt;6,"EM DIAS",IF(K22&lt;12,"ATRASADO","MUITO ATRASADO"))))</f>
        <v>MUITO ATRASADO</v>
      </c>
      <c r="M22" s="39" t="n">
        <v>45448</v>
      </c>
      <c r="N22" s="55" t="n">
        <f aca="false">$B$2-M22</f>
        <v>723</v>
      </c>
      <c r="O22" s="56" t="str">
        <f aca="false">IF(N22&lt;8,"VERIFICADO",IF(N22&lt;15,"VERIFICAR","VERIFICAR URGENTE"))</f>
        <v>VERIFICAR URGENTE</v>
      </c>
      <c r="P22" s="40"/>
      <c r="Q22" s="40"/>
      <c r="R22" s="40"/>
      <c r="S22" s="40"/>
      <c r="T22" s="40"/>
      <c r="U22" s="40"/>
    </row>
    <row r="23" customFormat="false" ht="15.75" hidden="false" customHeight="true" outlineLevel="0" collapsed="false">
      <c r="A23" s="40" t="s">
        <v>545</v>
      </c>
      <c r="B23" s="57" t="n">
        <f aca="false">M23</f>
        <v>45450</v>
      </c>
      <c r="C23" s="34" t="n">
        <v>44810</v>
      </c>
      <c r="D23" s="34" t="n">
        <v>45646</v>
      </c>
      <c r="E23" s="35" t="n">
        <f aca="false">(D23-C23)/7</f>
        <v>119.428571428571</v>
      </c>
      <c r="F23" s="35" t="n">
        <f aca="false">($B$2-C23)/7</f>
        <v>194.428571428571</v>
      </c>
      <c r="G23" s="36" t="n">
        <v>186</v>
      </c>
      <c r="H23" s="36" t="n">
        <v>92</v>
      </c>
      <c r="I23" s="37" t="n">
        <f aca="false">IFERROR(H23/G23,"")</f>
        <v>0.494623655913979</v>
      </c>
      <c r="J23" s="37" t="n">
        <f aca="false">IFERROR(F23/E23,"")</f>
        <v>1.62799043062202</v>
      </c>
      <c r="K23" s="38" t="n">
        <f aca="false">IFERROR(((F23*G23)/E23)-H23,"")</f>
        <v>210.806220095695</v>
      </c>
      <c r="L23" s="36" t="str">
        <f aca="false">IF(K23&lt;-10,"MUITO ADIANTADO",IF(K23&lt;-6,"ADIANTADO",IF(K23&lt;6,"EM DIAS",IF(K23&lt;12,"ATRASADO","MUITO ATRASADO"))))</f>
        <v>MUITO ATRASADO</v>
      </c>
      <c r="M23" s="39" t="n">
        <v>45450</v>
      </c>
      <c r="N23" s="55" t="n">
        <f aca="false">$B$2-M23</f>
        <v>721</v>
      </c>
      <c r="O23" s="56" t="str">
        <f aca="false">IF(N23&lt;8,"VERIFICADO",IF(N23&lt;15,"VERIFICAR","VERIFICAR URGENTE"))</f>
        <v>VERIFICAR URGENTE</v>
      </c>
      <c r="P23" s="40"/>
      <c r="Q23" s="40"/>
      <c r="R23" s="40"/>
      <c r="S23" s="40"/>
      <c r="T23" s="40"/>
      <c r="U23" s="40"/>
    </row>
    <row r="24" customFormat="false" ht="15.75" hidden="false" customHeight="true" outlineLevel="0" collapsed="false">
      <c r="A24" s="40" t="s">
        <v>219</v>
      </c>
      <c r="B24" s="57" t="n">
        <f aca="false">M24</f>
        <v>45449</v>
      </c>
      <c r="C24" s="34" t="n">
        <v>45056</v>
      </c>
      <c r="D24" s="34" t="n">
        <v>46701</v>
      </c>
      <c r="E24" s="35" t="n">
        <f aca="false">(D24-C24)/7</f>
        <v>235</v>
      </c>
      <c r="F24" s="35" t="n">
        <f aca="false">($B$2-C24)/7</f>
        <v>159.285714285714</v>
      </c>
      <c r="G24" s="36" t="n">
        <v>257</v>
      </c>
      <c r="H24" s="36" t="n">
        <v>58</v>
      </c>
      <c r="I24" s="37" t="n">
        <f aca="false">IFERROR(H24/G24,"")</f>
        <v>0.22568093385214</v>
      </c>
      <c r="J24" s="37" t="n">
        <f aca="false">IFERROR(F24/E24,"")</f>
        <v>0.677811550151976</v>
      </c>
      <c r="K24" s="38" t="n">
        <f aca="false">IFERROR(((F24*G24)/E24)-H24,"")</f>
        <v>116.197568389058</v>
      </c>
      <c r="L24" s="36" t="str">
        <f aca="false">IF(K24&lt;-10,"MUITO ADIANTADO",IF(K24&lt;-6,"ADIANTADO",IF(K24&lt;6,"EM DIAS",IF(K24&lt;12,"ATRASADO","MUITO ATRASADO"))))</f>
        <v>MUITO ATRASADO</v>
      </c>
      <c r="M24" s="39" t="n">
        <v>45449</v>
      </c>
      <c r="N24" s="55" t="n">
        <f aca="false">$B$2-M24</f>
        <v>722</v>
      </c>
      <c r="O24" s="56" t="str">
        <f aca="false">IF(N24&lt;8,"VERIFICADO",IF(N24&lt;15,"VERIFICAR","VERIFICAR URGENTE"))</f>
        <v>VERIFICAR URGENTE</v>
      </c>
      <c r="P24" s="40"/>
      <c r="Q24" s="40"/>
      <c r="R24" s="40"/>
      <c r="S24" s="40"/>
      <c r="T24" s="40"/>
      <c r="U24" s="40"/>
    </row>
    <row r="25" customFormat="false" ht="15.75" hidden="false" customHeight="true" outlineLevel="0" collapsed="false">
      <c r="A25" s="66" t="s">
        <v>546</v>
      </c>
      <c r="B25" s="57" t="n">
        <f aca="false">M25</f>
        <v>45446</v>
      </c>
      <c r="C25" s="34" t="n">
        <v>45356</v>
      </c>
      <c r="D25" s="34" t="n">
        <v>45411</v>
      </c>
      <c r="E25" s="35" t="n">
        <f aca="false">(D25-C25)/7</f>
        <v>7.85714285714286</v>
      </c>
      <c r="F25" s="35" t="n">
        <f aca="false">($B$2-C25)/7</f>
        <v>116.428571428571</v>
      </c>
      <c r="G25" s="36" t="n">
        <v>16</v>
      </c>
      <c r="H25" s="36" t="n">
        <v>5</v>
      </c>
      <c r="I25" s="37"/>
      <c r="J25" s="37"/>
      <c r="K25" s="38" t="n">
        <f aca="false">IFERROR(((F25*G25)/E25)-H25,"")</f>
        <v>232.090909090909</v>
      </c>
      <c r="L25" s="36" t="str">
        <f aca="false">IF(K25&lt;-10,"MUITO ADIANTADO",IF(K25&lt;-6,"ADIANTADO",IF(K25&lt;6,"EM DIAS",IF(K25&lt;12,"ATRASADO","MUITO ATRASADO"))))</f>
        <v>MUITO ATRASADO</v>
      </c>
      <c r="M25" s="39" t="n">
        <v>45446</v>
      </c>
      <c r="N25" s="55" t="n">
        <f aca="false">$B$2-M25</f>
        <v>725</v>
      </c>
      <c r="O25" s="56" t="str">
        <f aca="false">IF(N25&lt;8,"VERIFICADO",IF(N25&lt;15,"VERIFICAR","VERIFICAR URGENTE"))</f>
        <v>VERIFICAR URGENTE</v>
      </c>
      <c r="P25" s="40"/>
      <c r="Q25" s="40"/>
      <c r="R25" s="40"/>
      <c r="S25" s="40"/>
      <c r="T25" s="40"/>
      <c r="U25" s="40"/>
    </row>
    <row r="26" customFormat="false" ht="15.75" hidden="false" customHeight="true" outlineLevel="0" collapsed="false">
      <c r="A26" s="40" t="s">
        <v>547</v>
      </c>
      <c r="B26" s="57" t="n">
        <f aca="false">M26</f>
        <v>45447</v>
      </c>
      <c r="C26" s="34" t="n">
        <v>45081</v>
      </c>
      <c r="D26" s="34" t="n">
        <v>46701</v>
      </c>
      <c r="E26" s="35" t="n">
        <f aca="false">(D26-C26)/7</f>
        <v>231.428571428571</v>
      </c>
      <c r="F26" s="35" t="n">
        <f aca="false">($B$2-C26)/7</f>
        <v>155.714285714286</v>
      </c>
      <c r="G26" s="36" t="n">
        <v>272</v>
      </c>
      <c r="H26" s="36" t="n">
        <v>45</v>
      </c>
      <c r="I26" s="37" t="n">
        <f aca="false">IFERROR(H26/G26,"")</f>
        <v>0.165441176470588</v>
      </c>
      <c r="J26" s="37" t="n">
        <f aca="false">IFERROR(F26/E26,"")</f>
        <v>0.672839506172841</v>
      </c>
      <c r="K26" s="38" t="n">
        <f aca="false">IFERROR(((F26*G26)/E26)-H26,"")</f>
        <v>138.012345679013</v>
      </c>
      <c r="L26" s="36" t="str">
        <f aca="false">IF(K26&lt;-10,"MUITO ADIANTADO",IF(K26&lt;-6,"ADIANTADO",IF(K26&lt;6,"EM DIAS",IF(K26&lt;12,"ATRASADO","MUITO ATRASADO"))))</f>
        <v>MUITO ATRASADO</v>
      </c>
      <c r="M26" s="39" t="n">
        <v>45447</v>
      </c>
      <c r="N26" s="55" t="n">
        <f aca="false">$B$2-M26</f>
        <v>724</v>
      </c>
      <c r="O26" s="56" t="str">
        <f aca="false">IF(N26&lt;8,"VERIFICADO",IF(N26&lt;15,"VERIFICAR","VERIFICAR URGENTE"))</f>
        <v>VERIFICAR URGENTE</v>
      </c>
      <c r="P26" s="40"/>
      <c r="Q26" s="40"/>
      <c r="R26" s="40"/>
      <c r="S26" s="40"/>
      <c r="T26" s="40"/>
      <c r="U26" s="40"/>
    </row>
    <row r="27" customFormat="false" ht="15.75" hidden="false" customHeight="true" outlineLevel="0" collapsed="false">
      <c r="A27" s="40" t="s">
        <v>548</v>
      </c>
      <c r="B27" s="57" t="n">
        <f aca="false">M27</f>
        <v>45453</v>
      </c>
      <c r="C27" s="34" t="n">
        <v>45411</v>
      </c>
      <c r="D27" s="34" t="n">
        <v>46096</v>
      </c>
      <c r="E27" s="35" t="n">
        <f aca="false">(D27-C27)/7</f>
        <v>97.8571428571429</v>
      </c>
      <c r="F27" s="35" t="n">
        <f aca="false">($B$2-C27)/7</f>
        <v>108.571428571429</v>
      </c>
      <c r="G27" s="36" t="n">
        <v>192</v>
      </c>
      <c r="H27" s="36" t="n">
        <v>16</v>
      </c>
      <c r="I27" s="37" t="n">
        <f aca="false">IFERROR(H27/G27,"")</f>
        <v>0.0833333333333333</v>
      </c>
      <c r="J27" s="37" t="n">
        <f aca="false">IFERROR(F27/E27,"")</f>
        <v>1.10948905109489</v>
      </c>
      <c r="K27" s="38" t="n">
        <f aca="false">IFERROR(((F27*G27)/E27)-H27,"")</f>
        <v>197.021897810219</v>
      </c>
      <c r="L27" s="36" t="str">
        <f aca="false">IF(K27&lt;-10,"MUITO ADIANTADO",IF(K27&lt;-6,"ADIANTADO",IF(K27&lt;6,"EM DIAS",IF(K27&lt;12,"ATRASADO","MUITO ATRASADO"))))</f>
        <v>MUITO ATRASADO</v>
      </c>
      <c r="M27" s="39" t="n">
        <v>45453</v>
      </c>
      <c r="N27" s="55" t="n">
        <f aca="false">$B$2-M27</f>
        <v>718</v>
      </c>
      <c r="O27" s="56" t="str">
        <f aca="false">IF(N27&lt;8,"VERIFICADO",IF(N27&lt;15,"VERIFICAR","VERIFICAR URGENTE"))</f>
        <v>VERIFICAR URGENTE</v>
      </c>
      <c r="P27" s="40"/>
      <c r="Q27" s="40"/>
      <c r="R27" s="40"/>
      <c r="S27" s="40"/>
      <c r="T27" s="40"/>
      <c r="U27" s="40"/>
    </row>
    <row r="28" customFormat="false" ht="15.75" hidden="false" customHeight="true" outlineLevel="0" collapsed="false">
      <c r="A28" s="40" t="s">
        <v>549</v>
      </c>
      <c r="B28" s="57" t="n">
        <f aca="false">M28</f>
        <v>45453</v>
      </c>
      <c r="C28" s="34" t="n">
        <v>45243</v>
      </c>
      <c r="D28" s="34" t="n">
        <v>45760</v>
      </c>
      <c r="E28" s="35" t="n">
        <f aca="false">(D28-C28)/7</f>
        <v>73.8571428571429</v>
      </c>
      <c r="F28" s="35" t="n">
        <f aca="false">($B$2-C28)/7</f>
        <v>132.571428571429</v>
      </c>
      <c r="G28" s="36" t="n">
        <v>80</v>
      </c>
      <c r="H28" s="36" t="n">
        <v>30</v>
      </c>
      <c r="I28" s="37"/>
      <c r="J28" s="37"/>
      <c r="K28" s="38" t="n">
        <f aca="false">IFERROR(((F28*G28)/E28)-H28,"")</f>
        <v>113.597678916828</v>
      </c>
      <c r="L28" s="36" t="str">
        <f aca="false">IF(K28&lt;-10,"MUITO ADIANTADO",IF(K28&lt;-6,"ADIANTADO",IF(K28&lt;6,"EM DIAS",IF(K28&lt;12,"ATRASADO","MUITO ATRASADO"))))</f>
        <v>MUITO ATRASADO</v>
      </c>
      <c r="M28" s="39" t="n">
        <v>45453</v>
      </c>
      <c r="N28" s="55" t="n">
        <f aca="false">$B$2-M28</f>
        <v>718</v>
      </c>
      <c r="O28" s="56" t="str">
        <f aca="false">IF(N28&lt;8,"VERIFICADO",IF(N28&lt;15,"VERIFICAR","VERIFICAR URGENTE"))</f>
        <v>VERIFICAR URGENTE</v>
      </c>
      <c r="P28" s="40"/>
      <c r="Q28" s="40"/>
      <c r="R28" s="40"/>
      <c r="S28" s="40"/>
      <c r="T28" s="40"/>
      <c r="U28" s="40"/>
    </row>
    <row r="29" customFormat="false" ht="15.75" hidden="false" customHeight="true" outlineLevel="0" collapsed="false">
      <c r="A29" s="40" t="s">
        <v>56</v>
      </c>
      <c r="B29" s="57" t="n">
        <f aca="false">M29</f>
        <v>45453</v>
      </c>
      <c r="C29" s="34" t="n">
        <v>44791</v>
      </c>
      <c r="D29" s="34" t="n">
        <v>45519</v>
      </c>
      <c r="E29" s="35" t="n">
        <f aca="false">(D29-C29)/7</f>
        <v>104</v>
      </c>
      <c r="F29" s="35" t="n">
        <f aca="false">($B$2-C29)/7</f>
        <v>197.142857142857</v>
      </c>
      <c r="G29" s="36" t="n">
        <v>74</v>
      </c>
      <c r="H29" s="36" t="n">
        <v>65</v>
      </c>
      <c r="I29" s="37" t="n">
        <f aca="false">IFERROR(H29/G29,"")</f>
        <v>0.878378378378378</v>
      </c>
      <c r="J29" s="37" t="n">
        <f aca="false">IFERROR(F29/E29,"")</f>
        <v>1.8956043956044</v>
      </c>
      <c r="K29" s="38" t="n">
        <f aca="false">IFERROR(((F29*G29)/E29)-H29,"")</f>
        <v>75.2747252747253</v>
      </c>
      <c r="L29" s="36" t="str">
        <f aca="false">IF(K29&lt;-10,"MUITO ADIANTADO",IF(K29&lt;-6,"ADIANTADO",IF(K29&lt;6,"EM DIAS",IF(K29&lt;12,"ATRASADO","MUITO ATRASADO"))))</f>
        <v>MUITO ATRASADO</v>
      </c>
      <c r="M29" s="39" t="n">
        <v>45453</v>
      </c>
      <c r="N29" s="55" t="n">
        <f aca="false">$B$2-M29</f>
        <v>718</v>
      </c>
      <c r="O29" s="56" t="str">
        <f aca="false">IF(N29&lt;8,"VERIFICADO",IF(N29&lt;15,"VERIFICAR","VERIFICAR URGENTE"))</f>
        <v>VERIFICAR URGENTE</v>
      </c>
      <c r="P29" s="40"/>
      <c r="Q29" s="40"/>
      <c r="R29" s="40"/>
      <c r="S29" s="40"/>
      <c r="T29" s="40"/>
      <c r="U29" s="40"/>
    </row>
    <row r="30" customFormat="false" ht="15.75" hidden="false" customHeight="true" outlineLevel="0" collapsed="false">
      <c r="A30" s="40" t="s">
        <v>60</v>
      </c>
      <c r="B30" s="57" t="n">
        <f aca="false">M30</f>
        <v>45453</v>
      </c>
      <c r="C30" s="34" t="n">
        <v>45355</v>
      </c>
      <c r="D30" s="34" t="n">
        <v>45873</v>
      </c>
      <c r="E30" s="35" t="n">
        <f aca="false">(D30-C30)/7</f>
        <v>74</v>
      </c>
      <c r="F30" s="35" t="n">
        <f aca="false">($B$2-C30)/7</f>
        <v>116.571428571429</v>
      </c>
      <c r="G30" s="36" t="n">
        <v>80</v>
      </c>
      <c r="H30" s="36" t="n">
        <v>9</v>
      </c>
      <c r="I30" s="37"/>
      <c r="J30" s="37"/>
      <c r="K30" s="38" t="n">
        <f aca="false">IFERROR(((F30*G30)/E30)-H30,"")</f>
        <v>117.023166023166</v>
      </c>
      <c r="L30" s="36" t="str">
        <f aca="false">IF(K30&lt;-10,"MUITO ADIANTADO",IF(K30&lt;-6,"ADIANTADO",IF(K30&lt;6,"EM DIAS",IF(K30&lt;12,"ATRASADO","MUITO ATRASADO"))))</f>
        <v>MUITO ATRASADO</v>
      </c>
      <c r="M30" s="39" t="n">
        <v>45453</v>
      </c>
      <c r="N30" s="55" t="n">
        <f aca="false">$B$2-M30</f>
        <v>718</v>
      </c>
      <c r="O30" s="56" t="str">
        <f aca="false">IF(N30&lt;8,"VERIFICADO",IF(N30&lt;15,"VERIFICAR","VERIFICAR URGENTE"))</f>
        <v>VERIFICAR URGENTE</v>
      </c>
      <c r="P30" s="40"/>
      <c r="Q30" s="40"/>
      <c r="R30" s="40"/>
      <c r="S30" s="40"/>
      <c r="T30" s="40"/>
      <c r="U30" s="40"/>
    </row>
    <row r="31" customFormat="false" ht="15.75" hidden="false" customHeight="true" outlineLevel="0" collapsed="false">
      <c r="A31" s="40" t="s">
        <v>550</v>
      </c>
      <c r="B31" s="57" t="n">
        <f aca="false">M31</f>
        <v>45453</v>
      </c>
      <c r="C31" s="34" t="n">
        <v>45323</v>
      </c>
      <c r="D31" s="34" t="n">
        <v>45474</v>
      </c>
      <c r="E31" s="35" t="n">
        <f aca="false">(D31-C31)/7</f>
        <v>21.5714285714286</v>
      </c>
      <c r="F31" s="35" t="n">
        <f aca="false">($B$2-C31)/7</f>
        <v>121.142857142857</v>
      </c>
      <c r="G31" s="36" t="n">
        <v>16</v>
      </c>
      <c r="H31" s="36" t="n">
        <v>8</v>
      </c>
      <c r="I31" s="37"/>
      <c r="J31" s="37"/>
      <c r="K31" s="38" t="n">
        <f aca="false">IFERROR(((F31*G31)/E31)-H31,"")</f>
        <v>81.8543046357615</v>
      </c>
      <c r="L31" s="36" t="str">
        <f aca="false">IF(K31&lt;-10,"MUITO ADIANTADO",IF(K31&lt;-6,"ADIANTADO",IF(K31&lt;6,"EM DIAS",IF(K31&lt;12,"ATRASADO","MUITO ATRASADO"))))</f>
        <v>MUITO ATRASADO</v>
      </c>
      <c r="M31" s="39" t="n">
        <v>45453</v>
      </c>
      <c r="N31" s="55" t="n">
        <f aca="false">$B$2-M31</f>
        <v>718</v>
      </c>
      <c r="O31" s="41" t="str">
        <f aca="false">IF(N31&lt;8,"VERIFICADO",IF(N31&lt;15,"VERIFICAR","VERIFICAR URGENTE"))</f>
        <v>VERIFICAR URGENTE</v>
      </c>
      <c r="P31" s="40"/>
      <c r="Q31" s="40"/>
      <c r="R31" s="40"/>
      <c r="S31" s="40"/>
      <c r="T31" s="40"/>
      <c r="U31" s="40"/>
    </row>
    <row r="32" customFormat="false" ht="15.75" hidden="false" customHeight="true" outlineLevel="0" collapsed="false">
      <c r="A32" s="40" t="s">
        <v>551</v>
      </c>
      <c r="B32" s="57" t="n">
        <f aca="false">M32</f>
        <v>45453</v>
      </c>
      <c r="C32" s="34" t="n">
        <v>45075</v>
      </c>
      <c r="D32" s="34" t="n">
        <v>46689</v>
      </c>
      <c r="E32" s="35" t="n">
        <f aca="false">(D32-C32)/7</f>
        <v>230.571428571429</v>
      </c>
      <c r="F32" s="35" t="n">
        <f aca="false">($B$2-C32)/7</f>
        <v>156.571428571429</v>
      </c>
      <c r="G32" s="36" t="n">
        <v>272</v>
      </c>
      <c r="H32" s="36" t="n">
        <v>64</v>
      </c>
      <c r="I32" s="37" t="n">
        <f aca="false">IFERROR(H32/G32,"")</f>
        <v>0.235294117647059</v>
      </c>
      <c r="J32" s="37" t="n">
        <f aca="false">IFERROR(F32/E32,"")</f>
        <v>0.679058240396529</v>
      </c>
      <c r="K32" s="38" t="n">
        <f aca="false">IFERROR(((F32*G32)/E32)-H32,"")</f>
        <v>120.703841387856</v>
      </c>
      <c r="L32" s="36" t="str">
        <f aca="false">IF(K32&lt;-10,"MUITO ADIANTADO",IF(K32&lt;-6,"ADIANTADO",IF(K32&lt;6,"EM DIAS",IF(K32&lt;12,"ATRASADO","MUITO ATRASADO"))))</f>
        <v>MUITO ATRASADO</v>
      </c>
      <c r="M32" s="39" t="n">
        <v>45453</v>
      </c>
      <c r="N32" s="55" t="n">
        <f aca="false">$B$2-M32</f>
        <v>718</v>
      </c>
      <c r="O32" s="56" t="str">
        <f aca="false">IF(N32&lt;8,"VERIFICADO",IF(N32&lt;15,"VERIFICAR","VERIFICAR URGENTE"))</f>
        <v>VERIFICAR URGENTE</v>
      </c>
      <c r="P32" s="40"/>
      <c r="Q32" s="40"/>
      <c r="R32" s="40"/>
      <c r="S32" s="40"/>
      <c r="T32" s="40"/>
      <c r="U32" s="40"/>
    </row>
    <row r="33" customFormat="false" ht="15.75" hidden="false" customHeight="true" outlineLevel="0" collapsed="false">
      <c r="A33" s="40" t="s">
        <v>552</v>
      </c>
      <c r="B33" s="57" t="n">
        <f aca="false">M33</f>
        <v>45453</v>
      </c>
      <c r="C33" s="34" t="n">
        <v>45137</v>
      </c>
      <c r="D33" s="34" t="n">
        <v>45794</v>
      </c>
      <c r="E33" s="35" t="n">
        <f aca="false">(D33-C33)/7</f>
        <v>93.8571428571429</v>
      </c>
      <c r="F33" s="35" t="n">
        <f aca="false">($B$2-C33)/7</f>
        <v>147.714285714286</v>
      </c>
      <c r="G33" s="36" t="n">
        <v>132</v>
      </c>
      <c r="H33" s="36" t="n">
        <v>57</v>
      </c>
      <c r="I33" s="37" t="n">
        <f aca="false">IFERROR(H33/G33,"")</f>
        <v>0.431818181818182</v>
      </c>
      <c r="J33" s="37" t="n">
        <f aca="false">IFERROR(F33/E33,"")</f>
        <v>1.5738203957382</v>
      </c>
      <c r="K33" s="38" t="n">
        <f aca="false">IFERROR(((F33*G33)/E33)-H33,"")</f>
        <v>150.744292237443</v>
      </c>
      <c r="L33" s="36" t="str">
        <f aca="false">IF(K33&lt;-10,"MUITO ADIANTADO",IF(K33&lt;-6,"ADIANTADO",IF(K33&lt;6,"EM DIAS",IF(K33&lt;12,"ATRASADO","MUITO ATRASADO"))))</f>
        <v>MUITO ATRASADO</v>
      </c>
      <c r="M33" s="39" t="n">
        <v>45453</v>
      </c>
      <c r="N33" s="55" t="n">
        <f aca="false">$B$2-M33</f>
        <v>718</v>
      </c>
      <c r="O33" s="56" t="str">
        <f aca="false">IF(N33&lt;8,"VERIFICADO",IF(N33&lt;15,"VERIFICAR","VERIFICAR URGENTE"))</f>
        <v>VERIFICAR URGENTE</v>
      </c>
      <c r="P33" s="40"/>
      <c r="Q33" s="40"/>
      <c r="R33" s="40"/>
      <c r="S33" s="40"/>
      <c r="T33" s="40"/>
      <c r="U33" s="40"/>
    </row>
    <row r="34" customFormat="false" ht="15.75" hidden="false" customHeight="true" outlineLevel="0" collapsed="false">
      <c r="A34" s="40" t="s">
        <v>369</v>
      </c>
      <c r="B34" s="57" t="n">
        <f aca="false">M34</f>
        <v>45453</v>
      </c>
      <c r="C34" s="34" t="n">
        <v>44935</v>
      </c>
      <c r="D34" s="34" t="n">
        <v>46218</v>
      </c>
      <c r="E34" s="35" t="n">
        <f aca="false">(D34-C34)/7</f>
        <v>183.285714285714</v>
      </c>
      <c r="F34" s="35" t="n">
        <f aca="false">($B$2-C34)/7</f>
        <v>176.571428571429</v>
      </c>
      <c r="G34" s="36" t="n">
        <v>253</v>
      </c>
      <c r="H34" s="36" t="n">
        <v>83</v>
      </c>
      <c r="I34" s="37" t="n">
        <f aca="false">IFERROR(H34/G34,"")</f>
        <v>0.328063241106719</v>
      </c>
      <c r="J34" s="37" t="n">
        <f aca="false">IFERROR(F34/E34,"")</f>
        <v>0.96336710833983</v>
      </c>
      <c r="K34" s="38" t="n">
        <f aca="false">IFERROR(((F34*G34)/E34)-H34,"")</f>
        <v>160.731878409977</v>
      </c>
      <c r="L34" s="36" t="str">
        <f aca="false">IF(K34&lt;-10,"MUITO ADIANTADO",IF(K34&lt;-6,"ADIANTADO",IF(K34&lt;6,"EM DIAS",IF(K34&lt;12,"ATRASADO","MUITO ATRASADO"))))</f>
        <v>MUITO ATRASADO</v>
      </c>
      <c r="M34" s="39" t="n">
        <v>45453</v>
      </c>
      <c r="N34" s="55" t="n">
        <f aca="false">$B$2-M34</f>
        <v>718</v>
      </c>
      <c r="O34" s="56" t="str">
        <f aca="false">IF(N34&lt;8,"VERIFICADO",IF(N34&lt;15,"VERIFICAR","VERIFICAR URGENTE"))</f>
        <v>VERIFICAR URGENTE</v>
      </c>
      <c r="P34" s="40"/>
      <c r="Q34" s="40"/>
      <c r="R34" s="40"/>
      <c r="S34" s="40"/>
      <c r="T34" s="40"/>
      <c r="U34" s="40"/>
    </row>
    <row r="35" customFormat="false" ht="15.75" hidden="false" customHeight="true" outlineLevel="0" collapsed="false">
      <c r="A35" s="40" t="s">
        <v>553</v>
      </c>
      <c r="B35" s="57" t="n">
        <f aca="false">M35</f>
        <v>45453</v>
      </c>
      <c r="C35" s="34" t="n">
        <v>45173</v>
      </c>
      <c r="D35" s="34" t="n">
        <v>45862</v>
      </c>
      <c r="E35" s="35" t="n">
        <f aca="false">(D35-C35)/7</f>
        <v>98.4285714285714</v>
      </c>
      <c r="F35" s="35" t="n">
        <f aca="false">($B$2-C35)/7</f>
        <v>142.571428571429</v>
      </c>
      <c r="G35" s="36" t="n">
        <v>112</v>
      </c>
      <c r="H35" s="36" t="n">
        <v>45</v>
      </c>
      <c r="I35" s="37" t="n">
        <f aca="false">IFERROR(H35/G35,"")</f>
        <v>0.401785714285714</v>
      </c>
      <c r="J35" s="37" t="n">
        <f aca="false">IFERROR(F35/E35,"")</f>
        <v>1.44847605224964</v>
      </c>
      <c r="K35" s="38" t="n">
        <f aca="false">IFERROR(((F35*G35)/E35)-H35,"")</f>
        <v>117.229317851959</v>
      </c>
      <c r="L35" s="36" t="str">
        <f aca="false">IF(K35&lt;-10,"MUITO ADIANTADO",IF(K35&lt;-6,"ADIANTADO",IF(K35&lt;6,"EM DIAS",IF(K35&lt;12,"ATRASADO","MUITO ATRASADO"))))</f>
        <v>MUITO ATRASADO</v>
      </c>
      <c r="M35" s="39" t="n">
        <v>45453</v>
      </c>
      <c r="N35" s="55" t="n">
        <f aca="false">$B$2-M35</f>
        <v>718</v>
      </c>
      <c r="O35" s="56" t="str">
        <f aca="false">IF(N35&lt;8,"VERIFICADO",IF(N35&lt;15,"VERIFICAR","VERIFICAR URGENTE"))</f>
        <v>VERIFICAR URGENTE</v>
      </c>
      <c r="P35" s="40"/>
      <c r="Q35" s="40"/>
      <c r="R35" s="40"/>
      <c r="S35" s="40"/>
      <c r="T35" s="40"/>
      <c r="U35" s="40"/>
    </row>
    <row r="36" customFormat="false" ht="15.75" hidden="false" customHeight="true" outlineLevel="0" collapsed="false">
      <c r="A36" s="40" t="s">
        <v>104</v>
      </c>
      <c r="B36" s="57" t="n">
        <f aca="false">M36</f>
        <v>45453</v>
      </c>
      <c r="C36" s="34" t="n">
        <v>45066</v>
      </c>
      <c r="D36" s="34" t="n">
        <v>46681</v>
      </c>
      <c r="E36" s="35" t="n">
        <f aca="false">(D36-C36)/7</f>
        <v>230.714285714286</v>
      </c>
      <c r="F36" s="35" t="n">
        <f aca="false">($B$2-C36)/7</f>
        <v>157.857142857143</v>
      </c>
      <c r="G36" s="36" t="n">
        <v>272</v>
      </c>
      <c r="H36" s="36" t="n">
        <v>60</v>
      </c>
      <c r="I36" s="37" t="n">
        <f aca="false">IFERROR(H36/G36,"")</f>
        <v>0.220588235294118</v>
      </c>
      <c r="J36" s="37" t="n">
        <f aca="false">IFERROR(F36/E36,"")</f>
        <v>0.684210526315789</v>
      </c>
      <c r="K36" s="38" t="n">
        <f aca="false">IFERROR(((F36*G36)/E36)-H36,"")</f>
        <v>126.105263157894</v>
      </c>
      <c r="L36" s="36" t="str">
        <f aca="false">IF(K36&lt;-10,"MUITO ADIANTADO",IF(K36&lt;-6,"ADIANTADO",IF(K36&lt;6,"EM DIAS",IF(K36&lt;12,"ATRASADO","MUITO ATRASADO"))))</f>
        <v>MUITO ATRASADO</v>
      </c>
      <c r="M36" s="39" t="n">
        <v>45453</v>
      </c>
      <c r="N36" s="55" t="n">
        <f aca="false">$B$2-M36</f>
        <v>718</v>
      </c>
      <c r="O36" s="56" t="str">
        <f aca="false">IF(N36&lt;8,"VERIFICADO",IF(N36&lt;15,"VERIFICAR","VERIFICAR URGENTE"))</f>
        <v>VERIFICAR URGENTE</v>
      </c>
      <c r="P36" s="40"/>
      <c r="Q36" s="40"/>
      <c r="R36" s="40"/>
      <c r="S36" s="40"/>
      <c r="T36" s="40"/>
      <c r="U36" s="40"/>
    </row>
    <row r="37" customFormat="false" ht="15.75" hidden="false" customHeight="true" outlineLevel="0" collapsed="false">
      <c r="A37" s="40" t="s">
        <v>554</v>
      </c>
      <c r="B37" s="57" t="n">
        <f aca="false">M37</f>
        <v>45450</v>
      </c>
      <c r="C37" s="34" t="n">
        <v>44915</v>
      </c>
      <c r="D37" s="34" t="n">
        <v>46193</v>
      </c>
      <c r="E37" s="35" t="n">
        <f aca="false">(D37-C37)/7</f>
        <v>182.571428571429</v>
      </c>
      <c r="F37" s="35" t="n">
        <f aca="false">($B$2-C37)/7</f>
        <v>179.428571428571</v>
      </c>
      <c r="G37" s="36" t="n">
        <v>253</v>
      </c>
      <c r="H37" s="36" t="n">
        <v>56</v>
      </c>
      <c r="I37" s="37" t="n">
        <f aca="false">IFERROR(H37/G37,"")</f>
        <v>0.221343873517787</v>
      </c>
      <c r="J37" s="37" t="n">
        <f aca="false">IFERROR(F37/E37,"")</f>
        <v>0.98278560250391</v>
      </c>
      <c r="K37" s="38" t="n">
        <f aca="false">IFERROR(((F37*G37)/E37)-H37,"")</f>
        <v>192.644757433489</v>
      </c>
      <c r="L37" s="36" t="str">
        <f aca="false">IF(K37&lt;-10,"MUITO ADIANTADO",IF(K37&lt;-6,"ADIANTADO",IF(K37&lt;6,"EM DIAS",IF(K37&lt;12,"ATRASADO","MUITO ATRASADO"))))</f>
        <v>MUITO ATRASADO</v>
      </c>
      <c r="M37" s="39" t="n">
        <v>45450</v>
      </c>
      <c r="N37" s="55" t="n">
        <f aca="false">$B$2-M37</f>
        <v>721</v>
      </c>
      <c r="O37" s="56" t="str">
        <f aca="false">IF(N37&lt;8,"VERIFICADO",IF(N37&lt;15,"VERIFICAR","VERIFICAR URGENTE"))</f>
        <v>VERIFICAR URGENTE</v>
      </c>
      <c r="P37" s="40"/>
      <c r="Q37" s="40"/>
      <c r="R37" s="40"/>
      <c r="S37" s="40"/>
      <c r="T37" s="40"/>
      <c r="U37" s="40"/>
    </row>
    <row r="38" customFormat="false" ht="15.75" hidden="false" customHeight="true" outlineLevel="0" collapsed="false">
      <c r="A38" s="40" t="s">
        <v>555</v>
      </c>
      <c r="B38" s="57" t="n">
        <f aca="false">M38</f>
        <v>45453</v>
      </c>
      <c r="C38" s="34" t="n">
        <v>44900</v>
      </c>
      <c r="D38" s="34" t="n">
        <v>45356</v>
      </c>
      <c r="E38" s="35" t="n">
        <f aca="false">(D38-C38)/7</f>
        <v>65.1428571428571</v>
      </c>
      <c r="F38" s="35" t="n">
        <f aca="false">($B$2-C38)/7</f>
        <v>181.571428571429</v>
      </c>
      <c r="G38" s="36" t="n">
        <v>76</v>
      </c>
      <c r="H38" s="36" t="n">
        <v>70</v>
      </c>
      <c r="I38" s="37" t="n">
        <f aca="false">IFERROR(H38/G38,"")</f>
        <v>0.921052631578947</v>
      </c>
      <c r="J38" s="37" t="n">
        <f aca="false">IFERROR(F38/E38,"")</f>
        <v>2.78728070175439</v>
      </c>
      <c r="K38" s="38" t="n">
        <f aca="false">IFERROR(((F38*G38)/E38)-H38,"")</f>
        <v>141.833333333334</v>
      </c>
      <c r="L38" s="36" t="str">
        <f aca="false">IF(K38&lt;-10,"MUITO ADIANTADO",IF(K38&lt;-6,"ADIANTADO",IF(K38&lt;6,"EM DIAS",IF(K38&lt;12,"ATRASADO","MUITO ATRASADO"))))</f>
        <v>MUITO ATRASADO</v>
      </c>
      <c r="M38" s="39" t="n">
        <v>45453</v>
      </c>
      <c r="N38" s="55" t="n">
        <f aca="false">$B$2-M38</f>
        <v>718</v>
      </c>
      <c r="O38" s="56" t="str">
        <f aca="false">IF(N38&lt;8,"VERIFICADO",IF(N38&lt;15,"VERIFICAR","VERIFICAR URGENTE"))</f>
        <v>VERIFICAR URGENTE</v>
      </c>
      <c r="P38" s="40"/>
      <c r="Q38" s="40"/>
      <c r="R38" s="40"/>
      <c r="S38" s="40"/>
      <c r="T38" s="40"/>
      <c r="U38" s="40"/>
    </row>
    <row r="39" customFormat="false" ht="15.75" hidden="false" customHeight="true" outlineLevel="0" collapsed="false">
      <c r="A39" s="40" t="s">
        <v>556</v>
      </c>
      <c r="B39" s="57" t="n">
        <f aca="false">M39</f>
        <v>45454</v>
      </c>
      <c r="C39" s="34" t="n">
        <v>45187</v>
      </c>
      <c r="D39" s="34" t="n">
        <v>45708</v>
      </c>
      <c r="E39" s="35" t="n">
        <f aca="false">(D39-C39)/7</f>
        <v>74.4285714285714</v>
      </c>
      <c r="F39" s="35" t="n">
        <f aca="false">($B$2-C39)/7</f>
        <v>140.571428571429</v>
      </c>
      <c r="G39" s="36" t="n">
        <v>80</v>
      </c>
      <c r="H39" s="36" t="n">
        <v>30</v>
      </c>
      <c r="I39" s="37"/>
      <c r="J39" s="37"/>
      <c r="K39" s="38" t="n">
        <f aca="false">IFERROR(((F39*G39)/E39)-H39,"")</f>
        <v>121.094049904031</v>
      </c>
      <c r="L39" s="36" t="str">
        <f aca="false">IF(K39&lt;-10,"MUITO ADIANTADO",IF(K39&lt;-6,"ADIANTADO",IF(K39&lt;6,"EM DIAS",IF(K39&lt;12,"ATRASADO","MUITO ATRASADO"))))</f>
        <v>MUITO ATRASADO</v>
      </c>
      <c r="M39" s="39" t="n">
        <v>45454</v>
      </c>
      <c r="N39" s="55" t="n">
        <f aca="false">$B$2-M39</f>
        <v>717</v>
      </c>
      <c r="O39" s="56" t="str">
        <f aca="false">IF(N39&lt;8,"VERIFICADO",IF(N39&lt;15,"VERIFICAR","VERIFICAR URGENTE"))</f>
        <v>VERIFICAR URGENTE</v>
      </c>
      <c r="P39" s="40"/>
      <c r="Q39" s="40"/>
      <c r="R39" s="40"/>
      <c r="S39" s="40"/>
      <c r="T39" s="40"/>
      <c r="U39" s="40"/>
    </row>
    <row r="40" customFormat="false" ht="15.75" hidden="false" customHeight="true" outlineLevel="0" collapsed="false">
      <c r="A40" s="41" t="s">
        <v>172</v>
      </c>
      <c r="B40" s="57" t="n">
        <f aca="false">M40</f>
        <v>45453</v>
      </c>
      <c r="C40" s="34" t="n">
        <v>45341</v>
      </c>
      <c r="D40" s="34" t="n">
        <v>45857</v>
      </c>
      <c r="E40" s="35" t="n">
        <f aca="false">(D40-C40)/7</f>
        <v>73.7142857142857</v>
      </c>
      <c r="F40" s="35" t="n">
        <f aca="false">($B$2-C40)/7</f>
        <v>118.571428571429</v>
      </c>
      <c r="G40" s="36" t="n">
        <v>80</v>
      </c>
      <c r="H40" s="36" t="n">
        <v>19</v>
      </c>
      <c r="I40" s="37"/>
      <c r="J40" s="37"/>
      <c r="K40" s="38" t="n">
        <f aca="false">IFERROR(((F40*G40)/E40)-H40,"")</f>
        <v>109.682170542636</v>
      </c>
      <c r="L40" s="36" t="str">
        <f aca="false">IF(K40&lt;-10,"MUITO ADIANTADO",IF(K40&lt;-6,"ADIANTADO",IF(K40&lt;6,"EM DIAS",IF(K40&lt;12,"ATRASADO","MUITO ATRASADO"))))</f>
        <v>MUITO ATRASADO</v>
      </c>
      <c r="M40" s="39" t="n">
        <v>45453</v>
      </c>
      <c r="N40" s="55" t="n">
        <f aca="false">$B$2-M40</f>
        <v>718</v>
      </c>
      <c r="O40" s="56" t="str">
        <f aca="false">IF(N40&lt;8,"VERIFICADO",IF(N40&lt;15,"VERIFICAR","VERIFICAR URGENTE"))</f>
        <v>VERIFICAR URGENTE</v>
      </c>
      <c r="P40" s="40"/>
      <c r="Q40" s="40"/>
      <c r="R40" s="40"/>
      <c r="S40" s="40"/>
      <c r="T40" s="40"/>
      <c r="U40" s="40"/>
    </row>
    <row r="41" customFormat="false" ht="15.75" hidden="false" customHeight="true" outlineLevel="0" collapsed="false">
      <c r="A41" s="40" t="s">
        <v>96</v>
      </c>
      <c r="B41" s="57" t="n">
        <f aca="false">M41</f>
        <v>45454</v>
      </c>
      <c r="C41" s="34" t="n">
        <v>45197</v>
      </c>
      <c r="D41" s="34" t="n">
        <v>46376</v>
      </c>
      <c r="E41" s="35" t="n">
        <f aca="false">(D41-C41)/7</f>
        <v>168.428571428571</v>
      </c>
      <c r="F41" s="35" t="n">
        <f aca="false">($B$2-C41)/7</f>
        <v>139.142857142857</v>
      </c>
      <c r="G41" s="36" t="n">
        <v>212</v>
      </c>
      <c r="H41" s="36" t="n">
        <v>21</v>
      </c>
      <c r="I41" s="37"/>
      <c r="J41" s="37"/>
      <c r="K41" s="38" t="n">
        <f aca="false">IFERROR(((F41*G41)/E41)-H41,"")</f>
        <v>154.138252756574</v>
      </c>
      <c r="L41" s="36" t="str">
        <f aca="false">IF(K41&lt;-10,"MUITO ADIANTADO",IF(K41&lt;-6,"ADIANTADO",IF(K41&lt;6,"EM DIAS",IF(K41&lt;12,"ATRASADO","MUITO ATRASADO"))))</f>
        <v>MUITO ATRASADO</v>
      </c>
      <c r="M41" s="39" t="n">
        <v>45454</v>
      </c>
      <c r="N41" s="55" t="n">
        <f aca="false">$B$2-M41</f>
        <v>717</v>
      </c>
      <c r="O41" s="56" t="str">
        <f aca="false">IF(N41&lt;8,"VERIFICADO",IF(N41&lt;15,"VERIFICAR","VERIFICAR URGENTE"))</f>
        <v>VERIFICAR URGENTE</v>
      </c>
      <c r="P41" s="40"/>
      <c r="Q41" s="40"/>
      <c r="R41" s="40"/>
      <c r="S41" s="40"/>
      <c r="T41" s="40"/>
      <c r="U41" s="40"/>
    </row>
    <row r="42" customFormat="false" ht="15.75" hidden="false" customHeight="true" outlineLevel="0" collapsed="false">
      <c r="A42" s="40" t="s">
        <v>557</v>
      </c>
      <c r="B42" s="57" t="n">
        <f aca="false">M42</f>
        <v>45453</v>
      </c>
      <c r="C42" s="34" t="n">
        <v>45322</v>
      </c>
      <c r="D42" s="34" t="n">
        <v>45556</v>
      </c>
      <c r="E42" s="35" t="n">
        <f aca="false">(D42-C42)/7</f>
        <v>33.4285714285714</v>
      </c>
      <c r="F42" s="35" t="n">
        <f aca="false">($B$2-C42)/7</f>
        <v>121.285714285714</v>
      </c>
      <c r="G42" s="36" t="n">
        <v>145</v>
      </c>
      <c r="H42" s="36" t="n">
        <v>78</v>
      </c>
      <c r="I42" s="37"/>
      <c r="J42" s="37"/>
      <c r="K42" s="38" t="n">
        <f aca="false">IFERROR(((F42*G42)/E42)-H42,"")</f>
        <v>448.089743589744</v>
      </c>
      <c r="L42" s="36" t="str">
        <f aca="false">IF(K42&lt;-10,"MUITO ADIANTADO",IF(K42&lt;-6,"ADIANTADO",IF(K42&lt;6,"EM DIAS",IF(K42&lt;12,"ATRASADO","MUITO ATRASADO"))))</f>
        <v>MUITO ATRASADO</v>
      </c>
      <c r="M42" s="39" t="n">
        <v>45453</v>
      </c>
      <c r="N42" s="55" t="n">
        <f aca="false">$B$2-M42</f>
        <v>718</v>
      </c>
      <c r="O42" s="56" t="str">
        <f aca="false">IF(N42&lt;8,"VERIFICADO",IF(N42&lt;15,"VERIFICAR","VERIFICAR URGENTE"))</f>
        <v>VERIFICAR URGENTE</v>
      </c>
      <c r="P42" s="40"/>
      <c r="Q42" s="40"/>
      <c r="R42" s="40"/>
      <c r="S42" s="40"/>
      <c r="T42" s="40"/>
      <c r="U42" s="40"/>
    </row>
    <row r="43" customFormat="false" ht="15.75" hidden="false" customHeight="true" outlineLevel="0" collapsed="false">
      <c r="A43" s="40" t="s">
        <v>558</v>
      </c>
      <c r="B43" s="57" t="n">
        <f aca="false">M43</f>
        <v>45453</v>
      </c>
      <c r="C43" s="34" t="n">
        <v>45054</v>
      </c>
      <c r="D43" s="34" t="n">
        <v>45545</v>
      </c>
      <c r="E43" s="35" t="n">
        <f aca="false">(D43-C43)/7</f>
        <v>70.1428571428571</v>
      </c>
      <c r="F43" s="35" t="n">
        <f aca="false">($B$2-C43)/7</f>
        <v>159.571428571429</v>
      </c>
      <c r="G43" s="36" t="n">
        <v>80</v>
      </c>
      <c r="H43" s="36" t="n">
        <v>66</v>
      </c>
      <c r="I43" s="37" t="n">
        <f aca="false">IFERROR(H43/G43,"")</f>
        <v>0.825</v>
      </c>
      <c r="J43" s="37" t="n">
        <f aca="false">IFERROR(F43/E43,"")</f>
        <v>2.27494908350306</v>
      </c>
      <c r="K43" s="38" t="n">
        <f aca="false">IFERROR(((F43*G43)/E43)-H43,"")</f>
        <v>115.995926680245</v>
      </c>
      <c r="L43" s="36" t="str">
        <f aca="false">IF(K43&lt;-10,"MUITO ADIANTADO",IF(K43&lt;-6,"ADIANTADO",IF(K43&lt;6,"EM DIAS",IF(K43&lt;12,"ATRASADO","MUITO ATRASADO"))))</f>
        <v>MUITO ATRASADO</v>
      </c>
      <c r="M43" s="39" t="n">
        <v>45453</v>
      </c>
      <c r="N43" s="55" t="n">
        <f aca="false">$B$2-M43</f>
        <v>718</v>
      </c>
      <c r="O43" s="56" t="str">
        <f aca="false">IF(N43&lt;8,"VERIFICADO",IF(N43&lt;15,"VERIFICAR","VERIFICAR URGENTE"))</f>
        <v>VERIFICAR URGENTE</v>
      </c>
      <c r="P43" s="40"/>
      <c r="Q43" s="40"/>
      <c r="R43" s="40"/>
      <c r="S43" s="40"/>
      <c r="T43" s="40"/>
      <c r="U43" s="40"/>
    </row>
    <row r="44" customFormat="false" ht="15.75" hidden="false" customHeight="true" outlineLevel="0" collapsed="false">
      <c r="A44" s="40" t="s">
        <v>559</v>
      </c>
      <c r="B44" s="57" t="n">
        <f aca="false">M44</f>
        <v>45454</v>
      </c>
      <c r="C44" s="34" t="n">
        <v>45164</v>
      </c>
      <c r="D44" s="34" t="n">
        <v>45497</v>
      </c>
      <c r="E44" s="35" t="n">
        <f aca="false">(D44-C44)/7</f>
        <v>47.5714285714286</v>
      </c>
      <c r="F44" s="35" t="n">
        <f aca="false">($B$2-C44)/7</f>
        <v>143.857142857143</v>
      </c>
      <c r="G44" s="36" t="n">
        <v>80</v>
      </c>
      <c r="H44" s="36" t="n">
        <v>80</v>
      </c>
      <c r="I44" s="37"/>
      <c r="J44" s="37"/>
      <c r="K44" s="38" t="n">
        <f aca="false">IFERROR(((F44*G44)/E44)-H44,"")</f>
        <v>161.921921921922</v>
      </c>
      <c r="L44" s="36" t="str">
        <f aca="false">IF(K44&lt;-10,"MUITO ADIANTADO",IF(K44&lt;-6,"ADIANTADO",IF(K44&lt;6,"EM DIAS",IF(K44&lt;12,"ATRASADO","MUITO ATRASADO"))))</f>
        <v>MUITO ATRASADO</v>
      </c>
      <c r="M44" s="39" t="n">
        <v>45454</v>
      </c>
      <c r="N44" s="55" t="n">
        <f aca="false">$B$2-M44</f>
        <v>717</v>
      </c>
      <c r="O44" s="56" t="str">
        <f aca="false">IF(N44&lt;8,"VERIFICADO",IF(N44&lt;15,"VERIFICAR","VERIFICAR URGENTE"))</f>
        <v>VERIFICAR URGENTE</v>
      </c>
      <c r="P44" s="40"/>
      <c r="Q44" s="40"/>
      <c r="R44" s="40"/>
      <c r="S44" s="40"/>
      <c r="T44" s="40"/>
      <c r="U44" s="40"/>
    </row>
    <row r="45" customFormat="false" ht="15.75" hidden="false" customHeight="true" outlineLevel="0" collapsed="false">
      <c r="A45" s="40" t="s">
        <v>560</v>
      </c>
      <c r="B45" s="57" t="n">
        <f aca="false">M45</f>
        <v>45448</v>
      </c>
      <c r="C45" s="34" t="n">
        <v>45080</v>
      </c>
      <c r="D45" s="34" t="n">
        <v>45671</v>
      </c>
      <c r="E45" s="35" t="n">
        <f aca="false">(D45-C45)/7</f>
        <v>84.4285714285714</v>
      </c>
      <c r="F45" s="35" t="n">
        <f aca="false">($B$2-C45)/7</f>
        <v>155.857142857143</v>
      </c>
      <c r="G45" s="36" t="n">
        <v>180</v>
      </c>
      <c r="H45" s="36" t="n">
        <v>104</v>
      </c>
      <c r="I45" s="37" t="n">
        <f aca="false">IFERROR(H45/G45,"")</f>
        <v>0.577777777777778</v>
      </c>
      <c r="J45" s="37" t="n">
        <f aca="false">IFERROR(F45/E45,"")</f>
        <v>1.84602368866328</v>
      </c>
      <c r="K45" s="38" t="n">
        <f aca="false">IFERROR(((F45*G45)/E45)-H45,"")</f>
        <v>228.284263959391</v>
      </c>
      <c r="L45" s="36" t="str">
        <f aca="false">IF(K45&lt;-10,"MUITO ADIANTADO",IF(K45&lt;-6,"ADIANTADO",IF(K45&lt;6,"EM DIAS",IF(K45&lt;12,"ATRASADO","MUITO ATRASADO"))))</f>
        <v>MUITO ATRASADO</v>
      </c>
      <c r="M45" s="39" t="n">
        <v>45448</v>
      </c>
      <c r="N45" s="55" t="n">
        <f aca="false">$B$2-M45</f>
        <v>723</v>
      </c>
      <c r="O45" s="56" t="str">
        <f aca="false">IF(N45&lt;8,"VERIFICADO",IF(N45&lt;15,"VERIFICAR","VERIFICAR URGENTE"))</f>
        <v>VERIFICAR URGENTE</v>
      </c>
      <c r="P45" s="40"/>
      <c r="Q45" s="40"/>
      <c r="R45" s="40"/>
      <c r="S45" s="40"/>
      <c r="T45" s="40"/>
      <c r="U45" s="40"/>
    </row>
    <row r="46" customFormat="false" ht="15.75" hidden="false" customHeight="true" outlineLevel="0" collapsed="false">
      <c r="A46" s="40" t="s">
        <v>561</v>
      </c>
      <c r="B46" s="57" t="n">
        <f aca="false">M46</f>
        <v>45453</v>
      </c>
      <c r="C46" s="34" t="n">
        <v>44818</v>
      </c>
      <c r="D46" s="34" t="n">
        <v>45845</v>
      </c>
      <c r="E46" s="35" t="n">
        <f aca="false">(D46-C46)/7</f>
        <v>146.714285714286</v>
      </c>
      <c r="F46" s="35" t="n">
        <f aca="false">($B$2-C46)/7</f>
        <v>193.285714285714</v>
      </c>
      <c r="G46" s="36" t="n">
        <v>188</v>
      </c>
      <c r="H46" s="36" t="n">
        <v>72</v>
      </c>
      <c r="I46" s="37" t="n">
        <f aca="false">IFERROR(H46/G46,"")</f>
        <v>0.382978723404255</v>
      </c>
      <c r="J46" s="37" t="n">
        <f aca="false">IFERROR(F46/E46,"")</f>
        <v>1.317429406037</v>
      </c>
      <c r="K46" s="38" t="n">
        <f aca="false">IFERROR(((F46*G46)/E46)-H46,"")</f>
        <v>175.676728334956</v>
      </c>
      <c r="L46" s="36" t="str">
        <f aca="false">IF(K46&lt;-10,"MUITO ADIANTADO",IF(K46&lt;-6,"ADIANTADO",IF(K46&lt;6,"EM DIAS",IF(K46&lt;12,"ATRASADO","MUITO ATRASADO"))))</f>
        <v>MUITO ATRASADO</v>
      </c>
      <c r="M46" s="39" t="n">
        <v>45453</v>
      </c>
      <c r="N46" s="55" t="n">
        <f aca="false">$B$2-M46</f>
        <v>718</v>
      </c>
      <c r="O46" s="56" t="str">
        <f aca="false">IF(N46&lt;8,"VERIFICADO",IF(N46&lt;15,"VERIFICAR","VERIFICAR URGENTE"))</f>
        <v>VERIFICAR URGENTE</v>
      </c>
      <c r="P46" s="40"/>
      <c r="Q46" s="40"/>
      <c r="R46" s="40"/>
      <c r="S46" s="40"/>
      <c r="T46" s="40"/>
      <c r="U46" s="40"/>
    </row>
    <row r="47" customFormat="false" ht="15.75" hidden="false" customHeight="true" outlineLevel="0" collapsed="false">
      <c r="A47" s="40" t="s">
        <v>562</v>
      </c>
      <c r="B47" s="57" t="n">
        <f aca="false">M47</f>
        <v>45446</v>
      </c>
      <c r="C47" s="34" t="n">
        <v>45147</v>
      </c>
      <c r="D47" s="34" t="n">
        <v>45716</v>
      </c>
      <c r="E47" s="35" t="n">
        <f aca="false">(D47-C47)/7</f>
        <v>81.2857142857143</v>
      </c>
      <c r="F47" s="35" t="n">
        <f aca="false">($B$2-C47)/7</f>
        <v>146.285714285714</v>
      </c>
      <c r="G47" s="36" t="n">
        <v>96</v>
      </c>
      <c r="H47" s="36" t="n">
        <v>57</v>
      </c>
      <c r="I47" s="37" t="n">
        <f aca="false">IFERROR(H47/G47,"")</f>
        <v>0.59375</v>
      </c>
      <c r="J47" s="37" t="n">
        <f aca="false">IFERROR(F47/E47,"")</f>
        <v>1.79964850615114</v>
      </c>
      <c r="K47" s="38" t="n">
        <f aca="false">IFERROR(((F47*G47)/E47)-H47,"")</f>
        <v>115.76625659051</v>
      </c>
      <c r="L47" s="36" t="str">
        <f aca="false">IF(K47&lt;-10,"MUITO ADIANTADO",IF(K47&lt;-6,"ADIANTADO",IF(K47&lt;6,"EM DIAS",IF(K47&lt;12,"ATRASADO","MUITO ATRASADO"))))</f>
        <v>MUITO ATRASADO</v>
      </c>
      <c r="M47" s="39" t="n">
        <v>45446</v>
      </c>
      <c r="N47" s="55" t="n">
        <f aca="false">$B$2-M47</f>
        <v>725</v>
      </c>
      <c r="O47" s="56" t="str">
        <f aca="false">IF(N47&lt;8,"VERIFICADO",IF(N47&lt;15,"VERIFICAR","VERIFICAR URGENTE"))</f>
        <v>VERIFICAR URGENTE</v>
      </c>
      <c r="P47" s="40"/>
      <c r="Q47" s="40"/>
      <c r="R47" s="40"/>
      <c r="S47" s="40"/>
      <c r="T47" s="40"/>
      <c r="U47" s="40"/>
    </row>
    <row r="48" customFormat="false" ht="15.75" hidden="false" customHeight="true" outlineLevel="0" collapsed="false">
      <c r="A48" s="40" t="s">
        <v>563</v>
      </c>
      <c r="B48" s="57" t="n">
        <f aca="false">M47</f>
        <v>45446</v>
      </c>
      <c r="C48" s="34" t="n">
        <v>45145</v>
      </c>
      <c r="D48" s="34" t="n">
        <v>45511</v>
      </c>
      <c r="E48" s="35" t="n">
        <f aca="false">(D48-C48)/7</f>
        <v>52.2857142857143</v>
      </c>
      <c r="F48" s="35" t="n">
        <f aca="false">($B$2-C48)/7</f>
        <v>146.571428571429</v>
      </c>
      <c r="G48" s="36" t="n">
        <v>80</v>
      </c>
      <c r="H48" s="36" t="n">
        <v>65</v>
      </c>
      <c r="I48" s="37"/>
      <c r="J48" s="37"/>
      <c r="K48" s="38" t="n">
        <f aca="false">IFERROR(((F48*G48)/E48)-H48,"")</f>
        <v>159.262295081967</v>
      </c>
      <c r="L48" s="36" t="str">
        <f aca="false">IF(K48&lt;-10,"MUITO ADIANTADO",IF(K48&lt;-6,"ADIANTADO",IF(K48&lt;6,"EM DIAS",IF(K48&lt;12,"ATRASADO","MUITO ATRASADO"))))</f>
        <v>MUITO ATRASADO</v>
      </c>
      <c r="M48" s="39" t="n">
        <v>45448</v>
      </c>
      <c r="N48" s="55" t="n">
        <f aca="false">$B$2-M48</f>
        <v>723</v>
      </c>
      <c r="O48" s="56" t="str">
        <f aca="false">IF(N48&lt;8,"VERIFICADO",IF(N48&lt;15,"VERIFICAR","VERIFICAR URGENTE"))</f>
        <v>VERIFICAR URGENTE</v>
      </c>
      <c r="P48" s="40"/>
      <c r="Q48" s="40"/>
      <c r="R48" s="40"/>
      <c r="S48" s="40"/>
      <c r="T48" s="40"/>
      <c r="U48" s="40"/>
    </row>
    <row r="49" customFormat="false" ht="15.75" hidden="false" customHeight="true" outlineLevel="0" collapsed="false">
      <c r="A49" s="40" t="s">
        <v>196</v>
      </c>
      <c r="B49" s="57" t="n">
        <f aca="false">M49</f>
        <v>45453</v>
      </c>
      <c r="C49" s="34" t="n">
        <v>45159</v>
      </c>
      <c r="D49" s="34" t="n">
        <v>46803</v>
      </c>
      <c r="E49" s="35" t="n">
        <f aca="false">(D49-C49)/7</f>
        <v>234.857142857143</v>
      </c>
      <c r="F49" s="35" t="n">
        <f aca="false">($B$2-C49)/7</f>
        <v>144.571428571429</v>
      </c>
      <c r="G49" s="36" t="n">
        <v>272</v>
      </c>
      <c r="H49" s="36" t="n">
        <v>41</v>
      </c>
      <c r="I49" s="37"/>
      <c r="J49" s="37"/>
      <c r="K49" s="38" t="n">
        <f aca="false">IFERROR(((F49*G49)/E49)-H49,"")</f>
        <v>126.435523114355</v>
      </c>
      <c r="L49" s="36" t="str">
        <f aca="false">IF(K49&lt;-10,"MUITO ADIANTADO",IF(K49&lt;-6,"ADIANTADO",IF(K49&lt;6,"EM DIAS",IF(K49&lt;12,"ATRASADO","MUITO ATRASADO"))))</f>
        <v>MUITO ATRASADO</v>
      </c>
      <c r="M49" s="39" t="n">
        <v>45453</v>
      </c>
      <c r="N49" s="55" t="n">
        <f aca="false">$B$2-M49</f>
        <v>718</v>
      </c>
      <c r="O49" s="56" t="str">
        <f aca="false">IF(N49&lt;8,"VERIFICADO",IF(N49&lt;15,"VERIFICAR","VERIFICAR URGENTE"))</f>
        <v>VERIFICAR URGENTE</v>
      </c>
      <c r="P49" s="40"/>
      <c r="Q49" s="40"/>
      <c r="R49" s="40"/>
      <c r="S49" s="40"/>
      <c r="T49" s="40"/>
      <c r="U49" s="40"/>
    </row>
    <row r="50" customFormat="false" ht="15.75" hidden="false" customHeight="true" outlineLevel="0" collapsed="false">
      <c r="A50" s="40" t="s">
        <v>564</v>
      </c>
      <c r="B50" s="57" t="n">
        <f aca="false">M50</f>
        <v>45453</v>
      </c>
      <c r="C50" s="34" t="n">
        <v>44656</v>
      </c>
      <c r="D50" s="34" t="n">
        <v>45813</v>
      </c>
      <c r="E50" s="35" t="n">
        <f aca="false">(D50-C50)/7</f>
        <v>165.285714285714</v>
      </c>
      <c r="F50" s="35" t="n">
        <f aca="false">($B$2-C50)/7</f>
        <v>216.428571428571</v>
      </c>
      <c r="G50" s="36" t="n">
        <v>251</v>
      </c>
      <c r="H50" s="36" t="n">
        <v>108</v>
      </c>
      <c r="I50" s="37" t="n">
        <f aca="false">IFERROR(H50/G50,"")</f>
        <v>0.430278884462151</v>
      </c>
      <c r="J50" s="37" t="n">
        <f aca="false">IFERROR(F50/E50,"")</f>
        <v>1.30942091616249</v>
      </c>
      <c r="K50" s="38" t="n">
        <f aca="false">IFERROR(((F50*G50)/E50)-H50,"")</f>
        <v>220.664649956785</v>
      </c>
      <c r="L50" s="36" t="str">
        <f aca="false">IF(K50&lt;-10,"MUITO ADIANTADO",IF(K50&lt;-6,"ADIANTADO",IF(K50&lt;6,"EM DIAS",IF(K50&lt;12,"ATRASADO","MUITO ATRASADO"))))</f>
        <v>MUITO ATRASADO</v>
      </c>
      <c r="M50" s="39" t="n">
        <v>45453</v>
      </c>
      <c r="N50" s="55" t="n">
        <f aca="false">$B$2-M50</f>
        <v>718</v>
      </c>
      <c r="O50" s="56" t="str">
        <f aca="false">IF(N50&lt;8,"VERIFICADO",IF(N50&lt;15,"VERIFICAR","VERIFICAR URGENTE"))</f>
        <v>VERIFICAR URGENTE</v>
      </c>
      <c r="P50" s="40"/>
      <c r="Q50" s="40"/>
      <c r="R50" s="40"/>
      <c r="S50" s="40"/>
      <c r="T50" s="40"/>
      <c r="U50" s="40"/>
    </row>
    <row r="51" customFormat="false" ht="15.75" hidden="false" customHeight="true" outlineLevel="0" collapsed="false">
      <c r="A51" s="40" t="s">
        <v>565</v>
      </c>
      <c r="B51" s="57" t="n">
        <f aca="false">M51</f>
        <v>45453</v>
      </c>
      <c r="C51" s="34" t="n">
        <v>45051</v>
      </c>
      <c r="D51" s="34" t="n">
        <v>45473</v>
      </c>
      <c r="E51" s="35" t="n">
        <f aca="false">(D51-C51)/7</f>
        <v>60.2857142857143</v>
      </c>
      <c r="F51" s="35" t="n">
        <f aca="false">($B$2-C51)/7</f>
        <v>160</v>
      </c>
      <c r="G51" s="36" t="n">
        <v>64</v>
      </c>
      <c r="H51" s="36" t="n">
        <v>59</v>
      </c>
      <c r="I51" s="37" t="n">
        <f aca="false">IFERROR(H51/G51,"")</f>
        <v>0.921875</v>
      </c>
      <c r="J51" s="37" t="n">
        <f aca="false">IFERROR(F51/E51,"")</f>
        <v>2.65402843601896</v>
      </c>
      <c r="K51" s="38" t="n">
        <f aca="false">IFERROR(((F51*G51)/E51)-H51,"")</f>
        <v>110.857819905213</v>
      </c>
      <c r="L51" s="36" t="str">
        <f aca="false">IF(K51&lt;-10,"MUITO ADIANTADO",IF(K51&lt;-6,"ADIANTADO",IF(K51&lt;6,"EM DIAS",IF(K51&lt;12,"ATRASADO","MUITO ATRASADO"))))</f>
        <v>MUITO ATRASADO</v>
      </c>
      <c r="M51" s="39" t="n">
        <v>45453</v>
      </c>
      <c r="N51" s="55" t="n">
        <f aca="false">$B$2-M51</f>
        <v>718</v>
      </c>
      <c r="O51" s="56" t="str">
        <f aca="false">IF(N51&lt;8,"VERIFICADO",IF(N51&lt;15,"VERIFICAR","VERIFICAR URGENTE"))</f>
        <v>VERIFICAR URGENTE</v>
      </c>
      <c r="P51" s="40"/>
      <c r="Q51" s="40"/>
      <c r="R51" s="40"/>
      <c r="S51" s="40"/>
      <c r="T51" s="40"/>
      <c r="U51" s="40"/>
    </row>
    <row r="52" customFormat="false" ht="15.75" hidden="false" customHeight="true" outlineLevel="0" collapsed="false">
      <c r="A52" s="40" t="s">
        <v>566</v>
      </c>
      <c r="B52" s="57" t="n">
        <f aca="false">M52</f>
        <v>45453</v>
      </c>
      <c r="C52" s="34" t="n">
        <v>45178</v>
      </c>
      <c r="D52" s="34" t="n">
        <v>45708</v>
      </c>
      <c r="E52" s="35" t="n">
        <f aca="false">(D52-C52)/7</f>
        <v>75.7142857142857</v>
      </c>
      <c r="F52" s="35" t="n">
        <f aca="false">($B$2-C52)/7</f>
        <v>141.857142857143</v>
      </c>
      <c r="G52" s="36" t="n">
        <v>80</v>
      </c>
      <c r="H52" s="36" t="n">
        <v>40</v>
      </c>
      <c r="I52" s="37"/>
      <c r="J52" s="37"/>
      <c r="K52" s="38" t="n">
        <f aca="false">IFERROR(((F52*G52)/E52)-H52,"")</f>
        <v>109.88679245283</v>
      </c>
      <c r="L52" s="36" t="str">
        <f aca="false">IF(K52&lt;-10,"MUITO ADIANTADO",IF(K52&lt;-6,"ADIANTADO",IF(K52&lt;6,"EM DIAS",IF(K52&lt;12,"ATRASADO","MUITO ATRASADO"))))</f>
        <v>MUITO ATRASADO</v>
      </c>
      <c r="M52" s="39" t="n">
        <v>45453</v>
      </c>
      <c r="N52" s="55" t="n">
        <f aca="false">$B$2-M52</f>
        <v>718</v>
      </c>
      <c r="O52" s="56" t="str">
        <f aca="false">IF(N52&lt;8,"VERIFICADO",IF(N52&lt;15,"VERIFICAR","VERIFICAR URGENTE"))</f>
        <v>VERIFICAR URGENTE</v>
      </c>
      <c r="P52" s="40"/>
      <c r="Q52" s="40"/>
      <c r="R52" s="40"/>
      <c r="S52" s="40"/>
      <c r="T52" s="40"/>
      <c r="U52" s="40"/>
    </row>
    <row r="53" customFormat="false" ht="15.75" hidden="false" customHeight="true" outlineLevel="0" collapsed="false">
      <c r="A53" s="40" t="s">
        <v>567</v>
      </c>
      <c r="B53" s="57" t="n">
        <f aca="false">M53</f>
        <v>45454</v>
      </c>
      <c r="C53" s="34" t="n">
        <v>44722</v>
      </c>
      <c r="D53" s="34" t="n">
        <v>45606</v>
      </c>
      <c r="E53" s="35" t="n">
        <f aca="false">(D53-C53)/7</f>
        <v>126.285714285714</v>
      </c>
      <c r="F53" s="35" t="n">
        <f aca="false">($B$2-C53)/7</f>
        <v>207</v>
      </c>
      <c r="G53" s="36" t="n">
        <v>202</v>
      </c>
      <c r="H53" s="36" t="n">
        <v>145</v>
      </c>
      <c r="I53" s="37" t="n">
        <f aca="false">IFERROR(H53/G53,"")</f>
        <v>0.717821782178218</v>
      </c>
      <c r="J53" s="37" t="n">
        <f aca="false">IFERROR(F53/E53,"")</f>
        <v>1.63914027149322</v>
      </c>
      <c r="K53" s="38" t="n">
        <f aca="false">IFERROR(((F53*G53)/E53)-H53,"")</f>
        <v>186.10633484163</v>
      </c>
      <c r="L53" s="36" t="str">
        <f aca="false">IF(K53&lt;-10,"MUITO ADIANTADO",IF(K53&lt;-6,"ADIANTADO",IF(K53&lt;6,"EM DIAS",IF(K53&lt;12,"ATRASADO","MUITO ATRASADO"))))</f>
        <v>MUITO ATRASADO</v>
      </c>
      <c r="M53" s="39" t="n">
        <v>45454</v>
      </c>
      <c r="N53" s="55" t="n">
        <f aca="false">$B$2-M53</f>
        <v>717</v>
      </c>
      <c r="O53" s="56" t="str">
        <f aca="false">IF(N53&lt;8,"VERIFICADO",IF(N53&lt;15,"VERIFICAR","VERIFICAR URGENTE"))</f>
        <v>VERIFICAR URGENTE</v>
      </c>
      <c r="P53" s="40"/>
      <c r="Q53" s="40"/>
      <c r="R53" s="40"/>
      <c r="S53" s="40"/>
      <c r="T53" s="40"/>
      <c r="U53" s="40"/>
    </row>
    <row r="54" customFormat="false" ht="15.75" hidden="false" customHeight="true" outlineLevel="0" collapsed="false">
      <c r="A54" s="40" t="s">
        <v>401</v>
      </c>
      <c r="B54" s="57" t="n">
        <f aca="false">M54</f>
        <v>45450</v>
      </c>
      <c r="C54" s="34" t="n">
        <v>45208</v>
      </c>
      <c r="D54" s="34" t="n">
        <v>46051</v>
      </c>
      <c r="E54" s="35" t="n">
        <f aca="false">(D54-C54)/7</f>
        <v>120.428571428571</v>
      </c>
      <c r="F54" s="35" t="n">
        <f aca="false">($B$2-C54)/7</f>
        <v>137.571428571429</v>
      </c>
      <c r="G54" s="36" t="n">
        <v>144</v>
      </c>
      <c r="H54" s="36" t="n">
        <v>52</v>
      </c>
      <c r="I54" s="37"/>
      <c r="J54" s="37"/>
      <c r="K54" s="38" t="n">
        <f aca="false">IFERROR(((F54*G54)/E54)-H54,"")</f>
        <v>112.49822064057</v>
      </c>
      <c r="L54" s="36" t="str">
        <f aca="false">IF(K54&lt;-10,"MUITO ADIANTADO",IF(K54&lt;-6,"ADIANTADO",IF(K54&lt;6,"EM DIAS",IF(K54&lt;12,"ATRASADO","MUITO ATRASADO"))))</f>
        <v>MUITO ATRASADO</v>
      </c>
      <c r="M54" s="39" t="n">
        <v>45450</v>
      </c>
      <c r="N54" s="55" t="n">
        <f aca="false">$B$2-M54</f>
        <v>721</v>
      </c>
      <c r="O54" s="56" t="str">
        <f aca="false">IF(N54&lt;8,"VERIFICADO",IF(N54&lt;15,"VERIFICAR","VERIFICAR URGENTE"))</f>
        <v>VERIFICAR URGENTE</v>
      </c>
      <c r="P54" s="40"/>
      <c r="Q54" s="40"/>
      <c r="R54" s="40"/>
      <c r="S54" s="40"/>
      <c r="T54" s="40"/>
      <c r="U54" s="40"/>
    </row>
    <row r="55" customFormat="false" ht="15.75" hidden="false" customHeight="true" outlineLevel="0" collapsed="false">
      <c r="A55" s="40" t="s">
        <v>568</v>
      </c>
      <c r="B55" s="57" t="n">
        <f aca="false">M55</f>
        <v>45453</v>
      </c>
      <c r="C55" s="34" t="n">
        <v>44886</v>
      </c>
      <c r="D55" s="34" t="n">
        <v>46180</v>
      </c>
      <c r="E55" s="35" t="n">
        <f aca="false">(D55-C55)/7</f>
        <v>184.857142857143</v>
      </c>
      <c r="F55" s="35" t="n">
        <f aca="false">($B$2-C55)/7</f>
        <v>183.571428571429</v>
      </c>
      <c r="G55" s="36" t="n">
        <v>253</v>
      </c>
      <c r="H55" s="36" t="n">
        <v>75</v>
      </c>
      <c r="I55" s="37" t="n">
        <f aca="false">IFERROR(H55/G55,"")</f>
        <v>0.296442687747036</v>
      </c>
      <c r="J55" s="37" t="n">
        <f aca="false">IFERROR(F55/E55,"")</f>
        <v>0.993044822256568</v>
      </c>
      <c r="K55" s="38" t="n">
        <f aca="false">IFERROR(((F55*G55)/E55)-H55,"")</f>
        <v>176.240340030912</v>
      </c>
      <c r="L55" s="36" t="str">
        <f aca="false">IF(K55&lt;-10,"MUITO ADIANTADO",IF(K55&lt;-6,"ADIANTADO",IF(K55&lt;6,"EM DIAS",IF(K55&lt;12,"ATRASADO","MUITO ATRASADO"))))</f>
        <v>MUITO ATRASADO</v>
      </c>
      <c r="M55" s="39" t="n">
        <v>45453</v>
      </c>
      <c r="N55" s="55" t="n">
        <f aca="false">$B$2-M55</f>
        <v>718</v>
      </c>
      <c r="O55" s="56" t="str">
        <f aca="false">IF(N55&lt;8,"VERIFICADO",IF(N55&lt;15,"VERIFICAR","VERIFICAR URGENTE"))</f>
        <v>VERIFICAR URGENTE</v>
      </c>
      <c r="P55" s="40"/>
      <c r="Q55" s="40"/>
      <c r="R55" s="40"/>
      <c r="S55" s="40"/>
      <c r="T55" s="40"/>
      <c r="U55" s="40"/>
    </row>
    <row r="56" customFormat="false" ht="15.75" hidden="false" customHeight="true" outlineLevel="0" collapsed="false">
      <c r="A56" s="40" t="s">
        <v>569</v>
      </c>
      <c r="B56" s="57" t="n">
        <f aca="false">M56</f>
        <v>45453</v>
      </c>
      <c r="C56" s="34" t="n">
        <v>45439</v>
      </c>
      <c r="D56" s="67" t="n">
        <v>46351</v>
      </c>
      <c r="E56" s="35" t="n">
        <f aca="false">(D56-C56)/7</f>
        <v>130.285714285714</v>
      </c>
      <c r="F56" s="35" t="n">
        <f aca="false">($B$2-C56)/7</f>
        <v>104.571428571429</v>
      </c>
      <c r="G56" s="36" t="n">
        <v>112</v>
      </c>
      <c r="H56" s="36" t="n">
        <v>2</v>
      </c>
      <c r="I56" s="37" t="n">
        <f aca="false">IFERROR(H56/G56,"")</f>
        <v>0.0178571428571429</v>
      </c>
      <c r="J56" s="37" t="n">
        <f aca="false">IFERROR(F56/E56,"")</f>
        <v>0.80263157894737</v>
      </c>
      <c r="K56" s="38" t="n">
        <f aca="false">IFERROR(((F56*G56)/E56)-H56,"")</f>
        <v>87.8947368421055</v>
      </c>
      <c r="L56" s="36" t="str">
        <f aca="false">IF(K56&lt;-10,"MUITO ADIANTADO",IF(K56&lt;-6,"ADIANTADO",IF(K56&lt;6,"EM DIAS",IF(K56&lt;12,"ATRASADO","MUITO ATRASADO"))))</f>
        <v>MUITO ATRASADO</v>
      </c>
      <c r="M56" s="39" t="n">
        <v>45453</v>
      </c>
      <c r="N56" s="55" t="n">
        <f aca="false">$B$2-M56</f>
        <v>718</v>
      </c>
      <c r="O56" s="56" t="str">
        <f aca="false">IF(N56&lt;8,"VERIFICADO",IF(N56&lt;15,"VERIFICAR","VERIFICAR URGENTE"))</f>
        <v>VERIFICAR URGENTE</v>
      </c>
      <c r="P56" s="40"/>
      <c r="Q56" s="40"/>
      <c r="R56" s="40"/>
      <c r="S56" s="40"/>
      <c r="T56" s="40"/>
      <c r="U56" s="40"/>
    </row>
    <row r="57" customFormat="false" ht="15.75" hidden="false" customHeight="true" outlineLevel="0" collapsed="false">
      <c r="A57" s="40" t="s">
        <v>353</v>
      </c>
      <c r="B57" s="57" t="n">
        <f aca="false">M57</f>
        <v>45448</v>
      </c>
      <c r="C57" s="34" t="n">
        <v>45194</v>
      </c>
      <c r="D57" s="34" t="n">
        <v>45741</v>
      </c>
      <c r="E57" s="35" t="n">
        <f aca="false">(D57-C57)/7</f>
        <v>78.1428571428571</v>
      </c>
      <c r="F57" s="35" t="n">
        <f aca="false">($B$2-C57)/7</f>
        <v>139.571428571429</v>
      </c>
      <c r="G57" s="36" t="n">
        <v>96</v>
      </c>
      <c r="H57" s="36" t="n">
        <v>50</v>
      </c>
      <c r="I57" s="37"/>
      <c r="J57" s="37"/>
      <c r="K57" s="38" t="n">
        <f aca="false">IFERROR(((F57*G57)/E57)-H57,"")</f>
        <v>121.466179159049</v>
      </c>
      <c r="L57" s="36" t="str">
        <f aca="false">IF(K57&lt;-10,"MUITO ADIANTADO",IF(K57&lt;-6,"ADIANTADO",IF(K57&lt;6,"EM DIAS",IF(K57&lt;12,"ATRASADO","MUITO ATRASADO"))))</f>
        <v>MUITO ATRASADO</v>
      </c>
      <c r="M57" s="39" t="n">
        <v>45448</v>
      </c>
      <c r="N57" s="55" t="n">
        <f aca="false">$B$2-M57</f>
        <v>723</v>
      </c>
      <c r="O57" s="56" t="str">
        <f aca="false">IF(N57&lt;8,"VERIFICADO",IF(N57&lt;15,"VERIFICAR","VERIFICAR URGENTE"))</f>
        <v>VERIFICAR URGENTE</v>
      </c>
      <c r="P57" s="40"/>
      <c r="Q57" s="40"/>
      <c r="R57" s="40"/>
      <c r="S57" s="40"/>
      <c r="T57" s="40"/>
      <c r="U57" s="40"/>
    </row>
    <row r="58" customFormat="false" ht="15.75" hidden="false" customHeight="true" outlineLevel="0" collapsed="false">
      <c r="A58" s="40" t="s">
        <v>570</v>
      </c>
      <c r="B58" s="57" t="n">
        <f aca="false">M58</f>
        <v>45448</v>
      </c>
      <c r="C58" s="34" t="n">
        <v>45131</v>
      </c>
      <c r="D58" s="34" t="n">
        <v>46041</v>
      </c>
      <c r="E58" s="35" t="n">
        <f aca="false">(D58-C58)/7</f>
        <v>130</v>
      </c>
      <c r="F58" s="35" t="n">
        <f aca="false">($B$2-C58)/7</f>
        <v>148.571428571429</v>
      </c>
      <c r="G58" s="36" t="n">
        <v>160</v>
      </c>
      <c r="H58" s="36" t="n">
        <v>50</v>
      </c>
      <c r="I58" s="37" t="n">
        <f aca="false">IFERROR(H58/G58,"")</f>
        <v>0.3125</v>
      </c>
      <c r="J58" s="37" t="n">
        <f aca="false">IFERROR(F58/E58,"")</f>
        <v>1.14285714285714</v>
      </c>
      <c r="K58" s="38" t="n">
        <f aca="false">IFERROR(((F58*G58)/E58)-H58,"")</f>
        <v>132.857142857143</v>
      </c>
      <c r="L58" s="36" t="str">
        <f aca="false">IF(K58&lt;-10,"MUITO ADIANTADO",IF(K58&lt;-6,"ADIANTADO",IF(K58&lt;6,"EM DIAS",IF(K58&lt;12,"ATRASADO","MUITO ATRASADO"))))</f>
        <v>MUITO ATRASADO</v>
      </c>
      <c r="M58" s="39" t="n">
        <v>45448</v>
      </c>
      <c r="N58" s="55" t="n">
        <f aca="false">$B$2-M58</f>
        <v>723</v>
      </c>
      <c r="O58" s="56" t="str">
        <f aca="false">IF(N58&lt;8,"VERIFICADO",IF(N58&lt;15,"VERIFICAR","VERIFICAR URGENTE"))</f>
        <v>VERIFICAR URGENTE</v>
      </c>
      <c r="P58" s="40"/>
      <c r="Q58" s="40"/>
      <c r="R58" s="40"/>
      <c r="S58" s="40"/>
      <c r="T58" s="40"/>
      <c r="U58" s="40"/>
    </row>
    <row r="59" customFormat="false" ht="15.75" hidden="false" customHeight="true" outlineLevel="0" collapsed="false">
      <c r="A59" s="40" t="s">
        <v>118</v>
      </c>
      <c r="B59" s="57" t="n">
        <f aca="false">M59</f>
        <v>45453</v>
      </c>
      <c r="C59" s="34" t="n">
        <v>45271</v>
      </c>
      <c r="D59" s="34" t="n">
        <v>46193</v>
      </c>
      <c r="E59" s="35" t="n">
        <f aca="false">(D59-C59)/7</f>
        <v>131.714285714286</v>
      </c>
      <c r="F59" s="35" t="n">
        <f aca="false">($B$2-C59)/7</f>
        <v>128.571428571429</v>
      </c>
      <c r="G59" s="36" t="n">
        <v>128</v>
      </c>
      <c r="H59" s="36" t="n">
        <v>27</v>
      </c>
      <c r="I59" s="37"/>
      <c r="J59" s="37"/>
      <c r="K59" s="38" t="n">
        <f aca="false">IFERROR(((F59*G59)/E59)-H59,"")</f>
        <v>97.9457700650757</v>
      </c>
      <c r="L59" s="36" t="str">
        <f aca="false">IF(K59&lt;-10,"MUITO ADIANTADO",IF(K59&lt;-6,"ADIANTADO",IF(K59&lt;6,"EM DIAS",IF(K59&lt;12,"ATRASADO","MUITO ATRASADO"))))</f>
        <v>MUITO ATRASADO</v>
      </c>
      <c r="M59" s="39" t="n">
        <v>45453</v>
      </c>
      <c r="N59" s="55" t="n">
        <f aca="false">$B$2-M59</f>
        <v>718</v>
      </c>
      <c r="O59" s="56" t="str">
        <f aca="false">IF(N59&lt;8,"VERIFICADO",IF(N59&lt;15,"VERIFICAR","VERIFICAR URGENTE"))</f>
        <v>VERIFICAR URGENTE</v>
      </c>
      <c r="P59" s="40"/>
      <c r="Q59" s="40"/>
      <c r="R59" s="40"/>
      <c r="S59" s="40"/>
      <c r="T59" s="40"/>
      <c r="U59" s="40"/>
    </row>
    <row r="60" customFormat="false" ht="15.75" hidden="false" customHeight="true" outlineLevel="0" collapsed="false">
      <c r="A60" s="40" t="s">
        <v>571</v>
      </c>
      <c r="B60" s="57" t="n">
        <f aca="false">M60</f>
        <v>45453</v>
      </c>
      <c r="C60" s="34" t="n">
        <v>44706</v>
      </c>
      <c r="D60" s="34" t="n">
        <v>45863</v>
      </c>
      <c r="E60" s="35" t="n">
        <f aca="false">(D60-C60)/7</f>
        <v>165.285714285714</v>
      </c>
      <c r="F60" s="35" t="n">
        <f aca="false">($B$2-C60)/7</f>
        <v>209.285714285714</v>
      </c>
      <c r="G60" s="36" t="n">
        <v>267</v>
      </c>
      <c r="H60" s="36" t="n">
        <v>152</v>
      </c>
      <c r="I60" s="37" t="n">
        <f aca="false">IFERROR(H60/G60,"")</f>
        <v>0.569288389513109</v>
      </c>
      <c r="J60" s="37" t="n">
        <f aca="false">IFERROR(F60/E60,"")</f>
        <v>1.26620570440795</v>
      </c>
      <c r="K60" s="38" t="n">
        <f aca="false">IFERROR(((F60*G60)/E60)-H60,"")</f>
        <v>186.076923076924</v>
      </c>
      <c r="L60" s="36" t="str">
        <f aca="false">IF(K60&lt;-10,"MUITO ADIANTADO",IF(K60&lt;-6,"ADIANTADO",IF(K60&lt;6,"EM DIAS",IF(K60&lt;12,"ATRASADO","MUITO ATRASADO"))))</f>
        <v>MUITO ATRASADO</v>
      </c>
      <c r="M60" s="39" t="n">
        <v>45453</v>
      </c>
      <c r="N60" s="55" t="n">
        <f aca="false">$B$2-M60</f>
        <v>718</v>
      </c>
      <c r="O60" s="56" t="str">
        <f aca="false">IF(N60&lt;8,"VERIFICADO",IF(N60&lt;15,"VERIFICAR","VERIFICAR URGENTE"))</f>
        <v>VERIFICAR URGENTE</v>
      </c>
      <c r="P60" s="40"/>
      <c r="Q60" s="40"/>
      <c r="R60" s="40"/>
      <c r="S60" s="40"/>
      <c r="T60" s="40"/>
      <c r="U60" s="40"/>
    </row>
    <row r="61" customFormat="false" ht="15.75" hidden="false" customHeight="true" outlineLevel="0" collapsed="false">
      <c r="A61" s="40" t="s">
        <v>382</v>
      </c>
      <c r="B61" s="57" t="n">
        <f aca="false">M61</f>
        <v>45453</v>
      </c>
      <c r="C61" s="34" t="n">
        <v>45124</v>
      </c>
      <c r="D61" s="34" t="n">
        <v>46244</v>
      </c>
      <c r="E61" s="35" t="n">
        <f aca="false">(D61-C61)/7</f>
        <v>160</v>
      </c>
      <c r="F61" s="35" t="n">
        <f aca="false">($B$2-C61)/7</f>
        <v>149.571428571429</v>
      </c>
      <c r="G61" s="36" t="n">
        <v>192</v>
      </c>
      <c r="H61" s="36" t="n">
        <v>56</v>
      </c>
      <c r="I61" s="37" t="n">
        <f aca="false">IFERROR(H61/G61,"")</f>
        <v>0.291666666666667</v>
      </c>
      <c r="J61" s="37" t="n">
        <f aca="false">IFERROR(F61/E61,"")</f>
        <v>0.934821428571429</v>
      </c>
      <c r="K61" s="38" t="n">
        <f aca="false">IFERROR(((F61*G61)/E61)-H61,"")</f>
        <v>123.485714285714</v>
      </c>
      <c r="L61" s="36" t="str">
        <f aca="false">IF(K61&lt;-10,"MUITO ADIANTADO",IF(K61&lt;-6,"ADIANTADO",IF(K61&lt;6,"EM DIAS",IF(K61&lt;12,"ATRASADO","MUITO ATRASADO"))))</f>
        <v>MUITO ATRASADO</v>
      </c>
      <c r="M61" s="39" t="n">
        <v>45453</v>
      </c>
      <c r="N61" s="55" t="n">
        <f aca="false">$B$2-M61</f>
        <v>718</v>
      </c>
      <c r="O61" s="56" t="str">
        <f aca="false">IF(N61&lt;8,"VERIFICADO",IF(N61&lt;15,"VERIFICAR","VERIFICAR URGENTE"))</f>
        <v>VERIFICAR URGENTE</v>
      </c>
      <c r="P61" s="40"/>
      <c r="Q61" s="40"/>
      <c r="R61" s="40"/>
      <c r="S61" s="40"/>
      <c r="T61" s="40"/>
      <c r="U61" s="40"/>
    </row>
    <row r="62" customFormat="false" ht="15.75" hidden="false" customHeight="true" outlineLevel="0" collapsed="false">
      <c r="A62" s="40" t="s">
        <v>572</v>
      </c>
      <c r="B62" s="57" t="n">
        <f aca="false">M62</f>
        <v>45453</v>
      </c>
      <c r="C62" s="34" t="n">
        <v>44706</v>
      </c>
      <c r="D62" s="34" t="n">
        <v>45665</v>
      </c>
      <c r="E62" s="35" t="n">
        <f aca="false">(D62-C62)/7</f>
        <v>137</v>
      </c>
      <c r="F62" s="35" t="n">
        <f aca="false">($B$2-C62)/7</f>
        <v>209.285714285714</v>
      </c>
      <c r="G62" s="36" t="n">
        <v>188</v>
      </c>
      <c r="H62" s="36" t="n">
        <v>99</v>
      </c>
      <c r="I62" s="37" t="n">
        <f aca="false">IFERROR(H62/G62,"")</f>
        <v>0.526595744680851</v>
      </c>
      <c r="J62" s="37" t="n">
        <f aca="false">IFERROR(F62/E62,"")</f>
        <v>1.52763295099062</v>
      </c>
      <c r="K62" s="38" t="n">
        <f aca="false">IFERROR(((F62*G62)/E62)-H62,"")</f>
        <v>188.194994786236</v>
      </c>
      <c r="L62" s="36" t="str">
        <f aca="false">IF(K62&lt;-10,"MUITO ADIANTADO",IF(K62&lt;-6,"ADIANTADO",IF(K62&lt;6,"EM DIAS",IF(K62&lt;12,"ATRASADO","MUITO ATRASADO"))))</f>
        <v>MUITO ATRASADO</v>
      </c>
      <c r="M62" s="39" t="n">
        <v>45453</v>
      </c>
      <c r="N62" s="55" t="n">
        <f aca="false">$B$2-M62</f>
        <v>718</v>
      </c>
      <c r="O62" s="56" t="str">
        <f aca="false">IF(N62&lt;8,"VERIFICADO",IF(N62&lt;15,"VERIFICAR","VERIFICAR URGENTE"))</f>
        <v>VERIFICAR URGENTE</v>
      </c>
      <c r="P62" s="40"/>
      <c r="Q62" s="40"/>
      <c r="R62" s="40"/>
      <c r="S62" s="40"/>
      <c r="T62" s="40"/>
      <c r="U62" s="40"/>
    </row>
    <row r="63" customFormat="false" ht="15.75" hidden="false" customHeight="true" outlineLevel="0" collapsed="false">
      <c r="A63" s="40" t="s">
        <v>573</v>
      </c>
      <c r="B63" s="57" t="n">
        <f aca="false">M63</f>
        <v>45453</v>
      </c>
      <c r="C63" s="34" t="n">
        <v>45008</v>
      </c>
      <c r="D63" s="34" t="n">
        <v>45644</v>
      </c>
      <c r="E63" s="35" t="n">
        <f aca="false">(D63-C63)/7</f>
        <v>90.8571428571429</v>
      </c>
      <c r="F63" s="35" t="n">
        <f aca="false">($B$2-C63)/7</f>
        <v>166.142857142857</v>
      </c>
      <c r="G63" s="36" t="n">
        <v>80</v>
      </c>
      <c r="H63" s="36" t="n">
        <v>42</v>
      </c>
      <c r="I63" s="37"/>
      <c r="J63" s="37"/>
      <c r="K63" s="38" t="n">
        <f aca="false">IFERROR(((F63*G63)/E63)-H63,"")</f>
        <v>104.289308176101</v>
      </c>
      <c r="L63" s="36" t="str">
        <f aca="false">IF(K63&lt;-10,"MUITO ADIANTADO",IF(K63&lt;-6,"ADIANTADO",IF(K63&lt;6,"EM DIAS",IF(K63&lt;12,"ATRASADO","MUITO ATRASADO"))))</f>
        <v>MUITO ATRASADO</v>
      </c>
      <c r="M63" s="39" t="n">
        <v>45453</v>
      </c>
      <c r="N63" s="55" t="n">
        <f aca="false">$B$2-M63</f>
        <v>718</v>
      </c>
      <c r="O63" s="56" t="str">
        <f aca="false">IF(N63&lt;8,"VERIFICADO",IF(N63&lt;15,"VERIFICAR","VERIFICAR URGENTE"))</f>
        <v>VERIFICAR URGENTE</v>
      </c>
      <c r="P63" s="40"/>
      <c r="Q63" s="40"/>
      <c r="R63" s="40"/>
      <c r="S63" s="40"/>
      <c r="T63" s="40"/>
      <c r="U63" s="40"/>
    </row>
    <row r="64" customFormat="false" ht="15.75" hidden="false" customHeight="true" outlineLevel="0" collapsed="false">
      <c r="A64" s="40" t="s">
        <v>404</v>
      </c>
      <c r="B64" s="57" t="n">
        <f aca="false">M64</f>
        <v>45453</v>
      </c>
      <c r="C64" s="34" t="n">
        <v>44893</v>
      </c>
      <c r="D64" s="34" t="n">
        <v>46224</v>
      </c>
      <c r="E64" s="35" t="n">
        <f aca="false">(D64-C64)/7</f>
        <v>190.142857142857</v>
      </c>
      <c r="F64" s="35" t="n">
        <f aca="false">($B$2-C64)/7</f>
        <v>182.571428571429</v>
      </c>
      <c r="G64" s="36" t="n">
        <v>253</v>
      </c>
      <c r="H64" s="36" t="n">
        <v>79</v>
      </c>
      <c r="I64" s="37" t="n">
        <f aca="false">IFERROR(H64/G64,"")</f>
        <v>0.312252964426877</v>
      </c>
      <c r="J64" s="37" t="n">
        <f aca="false">IFERROR(F64/E64,"")</f>
        <v>0.960180315552217</v>
      </c>
      <c r="K64" s="38" t="n">
        <f aca="false">IFERROR(((F64*G64)/E64)-H64,"")</f>
        <v>163.925619834711</v>
      </c>
      <c r="L64" s="36" t="str">
        <f aca="false">IF(K64&lt;-10,"MUITO ADIANTADO",IF(K64&lt;-6,"ADIANTADO",IF(K64&lt;6,"EM DIAS",IF(K64&lt;12,"ATRASADO","MUITO ATRASADO"))))</f>
        <v>MUITO ATRASADO</v>
      </c>
      <c r="M64" s="39" t="n">
        <v>45453</v>
      </c>
      <c r="N64" s="55" t="n">
        <f aca="false">$B$2-M64</f>
        <v>718</v>
      </c>
      <c r="O64" s="56" t="str">
        <f aca="false">IF(N64&lt;8,"VERIFICADO",IF(N64&lt;15,"VERIFICAR","VERIFICAR URGENTE"))</f>
        <v>VERIFICAR URGENTE</v>
      </c>
      <c r="P64" s="40"/>
      <c r="Q64" s="40"/>
      <c r="R64" s="40"/>
      <c r="S64" s="40"/>
      <c r="T64" s="40"/>
      <c r="U64" s="40"/>
    </row>
    <row r="65" customFormat="false" ht="15.75" hidden="false" customHeight="true" outlineLevel="0" collapsed="false">
      <c r="A65" s="40" t="s">
        <v>574</v>
      </c>
      <c r="B65" s="57" t="n">
        <f aca="false">M65</f>
        <v>45453</v>
      </c>
      <c r="C65" s="34" t="n">
        <v>45054</v>
      </c>
      <c r="D65" s="34" t="n">
        <v>45615</v>
      </c>
      <c r="E65" s="35" t="n">
        <f aca="false">(D65-C65)/7</f>
        <v>80.1428571428571</v>
      </c>
      <c r="F65" s="35" t="n">
        <f aca="false">($B$2-C65)/7</f>
        <v>159.571428571429</v>
      </c>
      <c r="G65" s="36" t="n">
        <v>80</v>
      </c>
      <c r="H65" s="36" t="n">
        <v>57</v>
      </c>
      <c r="I65" s="37" t="n">
        <f aca="false">IFERROR(H65/G65,"")</f>
        <v>0.7125</v>
      </c>
      <c r="J65" s="37" t="n">
        <f aca="false">IFERROR(F65/E65,"")</f>
        <v>1.99108734402852</v>
      </c>
      <c r="K65" s="38" t="n">
        <f aca="false">IFERROR(((F65*G65)/E65)-H65,"")</f>
        <v>102.286987522282</v>
      </c>
      <c r="L65" s="36" t="str">
        <f aca="false">IF(K65&lt;-10,"MUITO ADIANTADO",IF(K65&lt;-6,"ADIANTADO",IF(K65&lt;6,"EM DIAS",IF(K65&lt;12,"ATRASADO","MUITO ATRASADO"))))</f>
        <v>MUITO ATRASADO</v>
      </c>
      <c r="M65" s="39" t="n">
        <v>45453</v>
      </c>
      <c r="N65" s="55" t="n">
        <f aca="false">$B$2-M65</f>
        <v>718</v>
      </c>
      <c r="O65" s="56" t="str">
        <f aca="false">IF(N65&lt;8,"VERIFICADO",IF(N65&lt;15,"VERIFICAR","VERIFICAR URGENTE"))</f>
        <v>VERIFICAR URGENTE</v>
      </c>
      <c r="P65" s="40"/>
      <c r="Q65" s="40"/>
      <c r="R65" s="40"/>
      <c r="S65" s="40"/>
      <c r="T65" s="40"/>
      <c r="U65" s="40"/>
    </row>
    <row r="66" customFormat="false" ht="15.75" hidden="false" customHeight="true" outlineLevel="0" collapsed="false">
      <c r="A66" s="40" t="s">
        <v>575</v>
      </c>
      <c r="B66" s="57" t="n">
        <f aca="false">M66</f>
        <v>45454</v>
      </c>
      <c r="C66" s="34" t="n">
        <v>44833</v>
      </c>
      <c r="D66" s="34" t="n">
        <v>45669</v>
      </c>
      <c r="E66" s="35" t="n">
        <f aca="false">(D66-C66)/7</f>
        <v>119.428571428571</v>
      </c>
      <c r="F66" s="35" t="n">
        <f aca="false">($B$2-C66)/7</f>
        <v>191.142857142857</v>
      </c>
      <c r="G66" s="36" t="n">
        <v>177</v>
      </c>
      <c r="H66" s="36" t="n">
        <v>74</v>
      </c>
      <c r="I66" s="37" t="n">
        <f aca="false">IFERROR(H66/G66,"")</f>
        <v>0.418079096045198</v>
      </c>
      <c r="J66" s="37" t="n">
        <f aca="false">IFERROR(F66/E66,"")</f>
        <v>1.60047846889953</v>
      </c>
      <c r="K66" s="38" t="n">
        <f aca="false">IFERROR(((F66*G66)/E66)-H66,"")</f>
        <v>209.284688995216</v>
      </c>
      <c r="L66" s="36" t="str">
        <f aca="false">IF(K66&lt;-10,"MUITO ADIANTADO",IF(K66&lt;-6,"ADIANTADO",IF(K66&lt;6,"EM DIAS",IF(K66&lt;12,"ATRASADO","MUITO ATRASADO"))))</f>
        <v>MUITO ATRASADO</v>
      </c>
      <c r="M66" s="39" t="n">
        <v>45454</v>
      </c>
      <c r="N66" s="55" t="n">
        <f aca="false">$B$2-M66</f>
        <v>717</v>
      </c>
      <c r="O66" s="56" t="str">
        <f aca="false">IF(N66&lt;8,"VERIFICADO",IF(N66&lt;15,"VERIFICAR","VERIFICAR URGENTE"))</f>
        <v>VERIFICAR URGENTE</v>
      </c>
      <c r="P66" s="40"/>
      <c r="Q66" s="40"/>
      <c r="R66" s="40"/>
      <c r="S66" s="40"/>
      <c r="T66" s="40"/>
      <c r="U66" s="40"/>
    </row>
    <row r="67" customFormat="false" ht="15.75" hidden="false" customHeight="true" outlineLevel="0" collapsed="false">
      <c r="A67" s="40" t="s">
        <v>465</v>
      </c>
      <c r="B67" s="57" t="n">
        <f aca="false">M67</f>
        <v>45453</v>
      </c>
      <c r="C67" s="34" t="n">
        <v>44844</v>
      </c>
      <c r="D67" s="34" t="n">
        <v>46122</v>
      </c>
      <c r="E67" s="35" t="n">
        <f aca="false">(D67-C67)/7</f>
        <v>182.571428571429</v>
      </c>
      <c r="F67" s="35" t="n">
        <f aca="false">($B$2-C67)/7</f>
        <v>189.571428571429</v>
      </c>
      <c r="G67" s="36" t="n">
        <v>251</v>
      </c>
      <c r="H67" s="36" t="n">
        <v>98</v>
      </c>
      <c r="I67" s="36" t="n">
        <v>34</v>
      </c>
      <c r="J67" s="36" t="n">
        <v>34</v>
      </c>
      <c r="K67" s="38" t="n">
        <f aca="false">IFERROR(((F67*G67)/E67)-H67,"")</f>
        <v>162.623630672926</v>
      </c>
      <c r="L67" s="36" t="str">
        <f aca="false">IF(K67&lt;-10,"MUITO ADIANTADO",IF(K67&lt;-6,"ADIANTADO",IF(K67&lt;6,"EM DIAS",IF(K67&lt;12,"ATRASADO","MUITO ATRASADO"))))</f>
        <v>MUITO ATRASADO</v>
      </c>
      <c r="M67" s="39" t="n">
        <v>45453</v>
      </c>
      <c r="N67" s="55" t="n">
        <f aca="false">$B$2-M67</f>
        <v>718</v>
      </c>
      <c r="O67" s="56" t="str">
        <f aca="false">IF(N67&lt;8,"VERIFICADO",IF(N67&lt;15,"VERIFICAR","VERIFICAR URGENTE"))</f>
        <v>VERIFICAR URGENTE</v>
      </c>
      <c r="P67" s="40"/>
      <c r="Q67" s="40"/>
      <c r="R67" s="40"/>
      <c r="S67" s="40"/>
      <c r="T67" s="40"/>
      <c r="U67" s="40"/>
    </row>
    <row r="68" customFormat="false" ht="15.75" hidden="false" customHeight="true" outlineLevel="0" collapsed="false">
      <c r="A68" s="40" t="s">
        <v>576</v>
      </c>
      <c r="B68" s="57" t="n">
        <f aca="false">M68</f>
        <v>45453</v>
      </c>
      <c r="C68" s="34" t="n">
        <v>45327</v>
      </c>
      <c r="D68" s="34" t="n">
        <v>45570</v>
      </c>
      <c r="E68" s="35" t="n">
        <f aca="false">(D68-C68)/7</f>
        <v>34.7142857142857</v>
      </c>
      <c r="F68" s="35" t="n">
        <f aca="false">($B$2-C68)/7</f>
        <v>120.571428571429</v>
      </c>
      <c r="G68" s="36" t="n">
        <v>48</v>
      </c>
      <c r="H68" s="36" t="n">
        <v>30</v>
      </c>
      <c r="I68" s="37"/>
      <c r="J68" s="37"/>
      <c r="K68" s="38" t="n">
        <f aca="false">IFERROR(((F68*G68)/E68)-H68,"")</f>
        <v>136.716049382716</v>
      </c>
      <c r="L68" s="36" t="str">
        <f aca="false">IF(K68&lt;-10,"MUITO ADIANTADO",IF(K68&lt;-6,"ADIANTADO",IF(K68&lt;6,"EM DIAS",IF(K68&lt;12,"ATRASADO","MUITO ATRASADO"))))</f>
        <v>MUITO ATRASADO</v>
      </c>
      <c r="M68" s="39" t="n">
        <v>45453</v>
      </c>
      <c r="N68" s="55" t="n">
        <f aca="false">$B$2-M68</f>
        <v>718</v>
      </c>
      <c r="O68" s="41" t="str">
        <f aca="false">IF(N68&lt;8,"VERIFICADO",IF(N68&lt;15,"VERIFICAR","VERIFICAR URGENTE"))</f>
        <v>VERIFICAR URGENTE</v>
      </c>
      <c r="P68" s="40"/>
      <c r="Q68" s="40"/>
      <c r="R68" s="40"/>
      <c r="S68" s="40"/>
      <c r="T68" s="40"/>
      <c r="U68" s="40"/>
    </row>
    <row r="69" customFormat="false" ht="15.75" hidden="false" customHeight="true" outlineLevel="0" collapsed="false">
      <c r="A69" s="40" t="s">
        <v>440</v>
      </c>
      <c r="B69" s="57" t="n">
        <f aca="false">M69</f>
        <v>45453</v>
      </c>
      <c r="C69" s="34" t="n">
        <v>44802</v>
      </c>
      <c r="D69" s="34" t="n">
        <v>45940</v>
      </c>
      <c r="E69" s="35" t="n">
        <f aca="false">(D69-C69)/7</f>
        <v>162.571428571429</v>
      </c>
      <c r="F69" s="35" t="n">
        <f aca="false">($B$2-C69)/7</f>
        <v>195.571428571429</v>
      </c>
      <c r="G69" s="36" t="n">
        <v>251</v>
      </c>
      <c r="H69" s="36" t="n">
        <v>116</v>
      </c>
      <c r="I69" s="37" t="n">
        <f aca="false">IFERROR(H69/G69,"")</f>
        <v>0.462151394422311</v>
      </c>
      <c r="J69" s="37" t="n">
        <f aca="false">IFERROR(F69/E69,"")</f>
        <v>1.20298769771529</v>
      </c>
      <c r="K69" s="38" t="n">
        <f aca="false">IFERROR(((F69*G69)/E69)-H69,"")</f>
        <v>185.949912126537</v>
      </c>
      <c r="L69" s="36" t="str">
        <f aca="false">IF(K69&lt;-10,"MUITO ADIANTADO",IF(K69&lt;-6,"ADIANTADO",IF(K69&lt;6,"EM DIAS",IF(K69&lt;12,"ATRASADO","MUITO ATRASADO"))))</f>
        <v>MUITO ATRASADO</v>
      </c>
      <c r="M69" s="39" t="n">
        <v>45453</v>
      </c>
      <c r="N69" s="55" t="n">
        <f aca="false">$B$2-M69</f>
        <v>718</v>
      </c>
      <c r="O69" s="56" t="str">
        <f aca="false">IF(N69&lt;8,"VERIFICADO",IF(N69&lt;15,"VERIFICAR","VERIFICAR URGENTE"))</f>
        <v>VERIFICAR URGENTE</v>
      </c>
      <c r="P69" s="40"/>
      <c r="Q69" s="40"/>
      <c r="R69" s="40"/>
      <c r="S69" s="40"/>
      <c r="T69" s="40"/>
      <c r="U69" s="40"/>
    </row>
    <row r="70" customFormat="false" ht="15.75" hidden="false" customHeight="true" outlineLevel="0" collapsed="false">
      <c r="A70" s="40" t="s">
        <v>473</v>
      </c>
      <c r="B70" s="57" t="n">
        <f aca="false">M70</f>
        <v>45453</v>
      </c>
      <c r="C70" s="34" t="n">
        <v>45034</v>
      </c>
      <c r="D70" s="34" t="n">
        <v>46650</v>
      </c>
      <c r="E70" s="35" t="n">
        <f aca="false">(D70-C70)/7</f>
        <v>230.857142857143</v>
      </c>
      <c r="F70" s="35" t="n">
        <f aca="false">($B$2-C70)/7</f>
        <v>162.428571428571</v>
      </c>
      <c r="G70" s="36" t="n">
        <v>257</v>
      </c>
      <c r="H70" s="36" t="n">
        <v>64</v>
      </c>
      <c r="I70" s="37" t="n">
        <f aca="false">IFERROR(H70/G70,"")</f>
        <v>0.249027237354086</v>
      </c>
      <c r="J70" s="37" t="n">
        <f aca="false">IFERROR(F70/E70,"")</f>
        <v>0.703589108910891</v>
      </c>
      <c r="K70" s="38" t="n">
        <f aca="false">IFERROR(((F70*G70)/E70)-H70,"")</f>
        <v>116.822400990099</v>
      </c>
      <c r="L70" s="36" t="str">
        <f aca="false">IF(K70&lt;-10,"MUITO ADIANTADO",IF(K70&lt;-6,"ADIANTADO",IF(K70&lt;6,"EM DIAS",IF(K70&lt;12,"ATRASADO","MUITO ATRASADO"))))</f>
        <v>MUITO ATRASADO</v>
      </c>
      <c r="M70" s="39" t="n">
        <v>45453</v>
      </c>
      <c r="N70" s="55" t="n">
        <f aca="false">$B$2-M70</f>
        <v>718</v>
      </c>
      <c r="O70" s="56" t="str">
        <f aca="false">IF(N70&lt;8,"VERIFICADO",IF(N70&lt;15,"VERIFICAR","VERIFICAR URGENTE"))</f>
        <v>VERIFICAR URGENTE</v>
      </c>
      <c r="P70" s="40"/>
      <c r="Q70" s="40"/>
      <c r="R70" s="40"/>
      <c r="S70" s="40"/>
      <c r="T70" s="40"/>
      <c r="U70" s="40"/>
    </row>
    <row r="71" customFormat="false" ht="15.75" hidden="false" customHeight="true" outlineLevel="0" collapsed="false">
      <c r="A71" s="40" t="s">
        <v>577</v>
      </c>
      <c r="B71" s="57" t="n">
        <f aca="false">M71</f>
        <v>45454</v>
      </c>
      <c r="C71" s="34" t="n">
        <v>45044</v>
      </c>
      <c r="D71" s="34" t="n">
        <v>45777</v>
      </c>
      <c r="E71" s="35" t="n">
        <f aca="false">(D71-C71)/7</f>
        <v>104.714285714286</v>
      </c>
      <c r="F71" s="35" t="n">
        <f aca="false">($B$2-C71)/7</f>
        <v>161</v>
      </c>
      <c r="G71" s="36" t="n">
        <v>104</v>
      </c>
      <c r="H71" s="36" t="n">
        <v>58</v>
      </c>
      <c r="I71" s="37" t="n">
        <f aca="false">IFERROR(H71/G71,"")</f>
        <v>0.557692307692308</v>
      </c>
      <c r="J71" s="37" t="n">
        <f aca="false">IFERROR(F71/E71,"")</f>
        <v>1.537517053206</v>
      </c>
      <c r="K71" s="38" t="n">
        <f aca="false">IFERROR(((F71*G71)/E71)-H71,"")</f>
        <v>101.901773533424</v>
      </c>
      <c r="L71" s="36" t="str">
        <f aca="false">IF(K71&lt;-10,"MUITO ADIANTADO",IF(K71&lt;-6,"ADIANTADO",IF(K71&lt;6,"EM DIAS",IF(K71&lt;12,"ATRASADO","MUITO ATRASADO"))))</f>
        <v>MUITO ATRASADO</v>
      </c>
      <c r="M71" s="39" t="n">
        <v>45454</v>
      </c>
      <c r="N71" s="55" t="n">
        <f aca="false">$B$2-M71</f>
        <v>717</v>
      </c>
      <c r="O71" s="56" t="str">
        <f aca="false">IF(N71&lt;8,"VERIFICADO",IF(N71&lt;15,"VERIFICAR","VERIFICAR URGENTE"))</f>
        <v>VERIFICAR URGENTE</v>
      </c>
      <c r="P71" s="40"/>
      <c r="Q71" s="40"/>
      <c r="R71" s="40"/>
      <c r="S71" s="40"/>
      <c r="T71" s="40"/>
      <c r="U71" s="40"/>
    </row>
    <row r="72" customFormat="false" ht="15.75" hidden="false" customHeight="true" outlineLevel="0" collapsed="false">
      <c r="A72" s="40" t="s">
        <v>578</v>
      </c>
      <c r="B72" s="57" t="n">
        <f aca="false">M72</f>
        <v>45453</v>
      </c>
      <c r="C72" s="34" t="n">
        <v>45092</v>
      </c>
      <c r="D72" s="34" t="n">
        <v>45611</v>
      </c>
      <c r="E72" s="35" t="n">
        <f aca="false">(D72-C72)/7</f>
        <v>74.1428571428571</v>
      </c>
      <c r="F72" s="35" t="n">
        <f aca="false">($B$2-C72)/7</f>
        <v>154.142857142857</v>
      </c>
      <c r="G72" s="36" t="n">
        <v>80</v>
      </c>
      <c r="H72" s="36" t="n">
        <v>40</v>
      </c>
      <c r="I72" s="37" t="n">
        <f aca="false">IFERROR(H72/G72,"")</f>
        <v>0.5</v>
      </c>
      <c r="J72" s="37" t="n">
        <f aca="false">IFERROR(F72/E72,"")</f>
        <v>2.07899807321773</v>
      </c>
      <c r="K72" s="38" t="n">
        <f aca="false">IFERROR(((F72*G72)/E72)-H72,"")</f>
        <v>126.319845857418</v>
      </c>
      <c r="L72" s="36" t="str">
        <f aca="false">IF(K72&lt;-10,"MUITO ADIANTADO",IF(K72&lt;-6,"ADIANTADO",IF(K72&lt;6,"EM DIAS",IF(K72&lt;12,"ATRASADO","MUITO ATRASADO"))))</f>
        <v>MUITO ATRASADO</v>
      </c>
      <c r="M72" s="39" t="n">
        <v>45453</v>
      </c>
      <c r="N72" s="55" t="n">
        <f aca="false">$B$2-M72</f>
        <v>718</v>
      </c>
      <c r="O72" s="56" t="str">
        <f aca="false">IF(N72&lt;8,"VERIFICADO",IF(N72&lt;15,"VERIFICAR","VERIFICAR URGENTE"))</f>
        <v>VERIFICAR URGENTE</v>
      </c>
      <c r="P72" s="40"/>
      <c r="Q72" s="40"/>
      <c r="R72" s="40"/>
      <c r="S72" s="40"/>
      <c r="T72" s="40"/>
      <c r="U72" s="40"/>
    </row>
    <row r="73" customFormat="false" ht="15.75" hidden="false" customHeight="true" outlineLevel="0" collapsed="false">
      <c r="A73" s="40" t="s">
        <v>489</v>
      </c>
      <c r="B73" s="57" t="n">
        <f aca="false">M73</f>
        <v>45447</v>
      </c>
      <c r="C73" s="34" t="n">
        <v>45054</v>
      </c>
      <c r="D73" s="34" t="n">
        <v>45575</v>
      </c>
      <c r="E73" s="35" t="n">
        <f aca="false">(D73-C73)/7</f>
        <v>74.4285714285714</v>
      </c>
      <c r="F73" s="35" t="n">
        <f aca="false">($B$2-C73)/7</f>
        <v>159.571428571429</v>
      </c>
      <c r="G73" s="36" t="n">
        <v>80</v>
      </c>
      <c r="H73" s="36" t="n">
        <v>61</v>
      </c>
      <c r="I73" s="37" t="n">
        <f aca="false">IFERROR(H73/G73,"")</f>
        <v>0.7625</v>
      </c>
      <c r="J73" s="37" t="n">
        <f aca="false">IFERROR(F73/E73,"")</f>
        <v>2.14395393474088</v>
      </c>
      <c r="K73" s="38" t="n">
        <f aca="false">IFERROR(((F73*G73)/E73)-H73,"")</f>
        <v>110.516314779271</v>
      </c>
      <c r="L73" s="36" t="str">
        <f aca="false">IF(K73&lt;-10,"MUITO ADIANTADO",IF(K73&lt;-6,"ADIANTADO",IF(K73&lt;6,"EM DIAS",IF(K73&lt;12,"ATRASADO","MUITO ATRASADO"))))</f>
        <v>MUITO ATRASADO</v>
      </c>
      <c r="M73" s="39" t="n">
        <v>45447</v>
      </c>
      <c r="N73" s="55" t="n">
        <f aca="false">$B$2-M73</f>
        <v>724</v>
      </c>
      <c r="O73" s="56" t="str">
        <f aca="false">IF(N73&lt;8,"VERIFICADO",IF(N73&lt;15,"VERIFICAR","VERIFICAR URGENTE"))</f>
        <v>VERIFICAR URGENTE</v>
      </c>
      <c r="P73" s="40"/>
      <c r="Q73" s="40"/>
      <c r="R73" s="40"/>
      <c r="S73" s="40"/>
      <c r="T73" s="40"/>
      <c r="U73" s="40"/>
    </row>
    <row r="74" customFormat="false" ht="15.75" hidden="false" customHeight="true" outlineLevel="0" collapsed="false">
      <c r="A74" s="40" t="s">
        <v>579</v>
      </c>
      <c r="B74" s="57" t="n">
        <f aca="false">M74</f>
        <v>45450</v>
      </c>
      <c r="C74" s="34" t="n">
        <v>45318</v>
      </c>
      <c r="D74" s="34" t="n">
        <v>45896</v>
      </c>
      <c r="E74" s="35" t="n">
        <f aca="false">(D74-C74)/7</f>
        <v>82.5714285714286</v>
      </c>
      <c r="F74" s="35" t="n">
        <f aca="false">($B$2-C74)/7</f>
        <v>121.857142857143</v>
      </c>
      <c r="G74" s="36" t="n">
        <v>80</v>
      </c>
      <c r="H74" s="36" t="n">
        <v>25</v>
      </c>
      <c r="I74" s="37"/>
      <c r="J74" s="37"/>
      <c r="K74" s="38" t="n">
        <f aca="false">IFERROR(((F74*G74)/E74)-H74,"")</f>
        <v>93.0622837370242</v>
      </c>
      <c r="L74" s="36" t="str">
        <f aca="false">IF(K74&lt;-10,"MUITO ADIANTADO",IF(K74&lt;-6,"ADIANTADO",IF(K74&lt;6,"EM DIAS",IF(K74&lt;12,"ATRASADO","MUITO ATRASADO"))))</f>
        <v>MUITO ATRASADO</v>
      </c>
      <c r="M74" s="39" t="n">
        <v>45450</v>
      </c>
      <c r="N74" s="55" t="n">
        <f aca="false">$B$2-M74</f>
        <v>721</v>
      </c>
      <c r="O74" s="56" t="str">
        <f aca="false">IF(N74&lt;8,"VERIFICADO",IF(N74&lt;15,"VERIFICAR","VERIFICAR URGENTE"))</f>
        <v>VERIFICAR URGENTE</v>
      </c>
      <c r="P74" s="40"/>
      <c r="Q74" s="40"/>
      <c r="R74" s="40"/>
      <c r="S74" s="40"/>
      <c r="T74" s="40"/>
      <c r="U74" s="40"/>
    </row>
    <row r="75" customFormat="false" ht="15.75" hidden="false" customHeight="true" outlineLevel="0" collapsed="false">
      <c r="A75" s="40" t="s">
        <v>580</v>
      </c>
      <c r="B75" s="57" t="n">
        <f aca="false">M75</f>
        <v>45453</v>
      </c>
      <c r="C75" s="34" t="n">
        <v>45152</v>
      </c>
      <c r="D75" s="34" t="n">
        <v>45730</v>
      </c>
      <c r="E75" s="35" t="n">
        <f aca="false">(D75-C75)/7</f>
        <v>82.5714285714286</v>
      </c>
      <c r="F75" s="35" t="n">
        <f aca="false">($B$2-C75)/7</f>
        <v>145.571428571429</v>
      </c>
      <c r="G75" s="36" t="n">
        <v>80</v>
      </c>
      <c r="H75" s="36" t="n">
        <v>39</v>
      </c>
      <c r="I75" s="37"/>
      <c r="J75" s="37"/>
      <c r="K75" s="38" t="n">
        <f aca="false">IFERROR(((F75*G75)/E75)-H75,"")</f>
        <v>102.038062283737</v>
      </c>
      <c r="L75" s="36" t="str">
        <f aca="false">IF(K75&lt;-10,"MUITO ADIANTADO",IF(K75&lt;-6,"ADIANTADO",IF(K75&lt;6,"EM DIAS",IF(K75&lt;12,"ATRASADO","MUITO ATRASADO"))))</f>
        <v>MUITO ATRASADO</v>
      </c>
      <c r="M75" s="39" t="n">
        <v>45453</v>
      </c>
      <c r="N75" s="55" t="n">
        <f aca="false">$B$2-M75</f>
        <v>718</v>
      </c>
      <c r="O75" s="56" t="str">
        <f aca="false">IF(N75&lt;8,"VERIFICADO",IF(N75&lt;15,"VERIFICAR","VERIFICAR URGENTE"))</f>
        <v>VERIFICAR URGENTE</v>
      </c>
      <c r="P75" s="40"/>
      <c r="Q75" s="40"/>
      <c r="R75" s="40"/>
      <c r="S75" s="40"/>
      <c r="T75" s="40"/>
      <c r="U75" s="40"/>
    </row>
    <row r="76" customFormat="false" ht="15.75" hidden="false" customHeight="true" outlineLevel="0" collapsed="false">
      <c r="A76" s="41" t="s">
        <v>266</v>
      </c>
      <c r="B76" s="57" t="n">
        <f aca="false">M76</f>
        <v>45450</v>
      </c>
      <c r="C76" s="34" t="n">
        <v>44911</v>
      </c>
      <c r="D76" s="34" t="n">
        <v>46287</v>
      </c>
      <c r="E76" s="35" t="n">
        <f aca="false">(D76-C76)/7</f>
        <v>196.571428571429</v>
      </c>
      <c r="F76" s="35" t="n">
        <f aca="false">($B$2-C76)/7</f>
        <v>180</v>
      </c>
      <c r="G76" s="36" t="n">
        <v>253</v>
      </c>
      <c r="H76" s="36" t="n">
        <v>97</v>
      </c>
      <c r="I76" s="37"/>
      <c r="J76" s="37"/>
      <c r="K76" s="38" t="n">
        <f aca="false">IFERROR(((F76*G76)/E76)-H76,"")</f>
        <v>134.671511627906</v>
      </c>
      <c r="L76" s="36" t="str">
        <f aca="false">IF(K76&lt;-10,"MUITO ADIANTADO",IF(K76&lt;-6,"ADIANTADO",IF(K76&lt;6,"EM DIAS",IF(K76&lt;12,"ATRASADO","MUITO ATRASADO"))))</f>
        <v>MUITO ATRASADO</v>
      </c>
      <c r="M76" s="39" t="n">
        <v>45450</v>
      </c>
      <c r="N76" s="55" t="n">
        <f aca="false">$B$2-M76</f>
        <v>721</v>
      </c>
      <c r="O76" s="56" t="str">
        <f aca="false">IF(N76&lt;8,"VERIFICADO",IF(N76&lt;15,"VERIFICAR","VERIFICAR URGENTE"))</f>
        <v>VERIFICAR URGENTE</v>
      </c>
      <c r="P76" s="40"/>
      <c r="Q76" s="40"/>
      <c r="R76" s="40"/>
      <c r="S76" s="40"/>
      <c r="T76" s="40"/>
      <c r="U76" s="40"/>
    </row>
    <row r="77" customFormat="false" ht="15.75" hidden="false" customHeight="true" outlineLevel="0" collapsed="false">
      <c r="A77" s="40" t="s">
        <v>581</v>
      </c>
      <c r="B77" s="57" t="n">
        <f aca="false">M77</f>
        <v>45450</v>
      </c>
      <c r="C77" s="34" t="n">
        <v>45383</v>
      </c>
      <c r="D77" s="34" t="n">
        <v>45925</v>
      </c>
      <c r="E77" s="35" t="n">
        <f aca="false">(D77-C77)/7</f>
        <v>77.4285714285714</v>
      </c>
      <c r="F77" s="35" t="n">
        <f aca="false">($B$2-C77)/7</f>
        <v>112.571428571429</v>
      </c>
      <c r="G77" s="36" t="n">
        <v>80</v>
      </c>
      <c r="H77" s="36" t="n">
        <v>11</v>
      </c>
      <c r="I77" s="37"/>
      <c r="J77" s="37"/>
      <c r="K77" s="38" t="n">
        <f aca="false">IFERROR(((F77*G77)/E77)-H77,"")</f>
        <v>105.309963099631</v>
      </c>
      <c r="L77" s="36" t="str">
        <f aca="false">IF(K77&lt;-10,"MUITO ADIANTADO",IF(K77&lt;-6,"ADIANTADO",IF(K77&lt;6,"EM DIAS",IF(K77&lt;12,"ATRASADO","MUITO ATRASADO"))))</f>
        <v>MUITO ATRASADO</v>
      </c>
      <c r="M77" s="39" t="n">
        <v>45450</v>
      </c>
      <c r="N77" s="55" t="n">
        <f aca="false">$B$2-M77</f>
        <v>721</v>
      </c>
      <c r="O77" s="41" t="str">
        <f aca="false">IF(N77&lt;8,"VERIFICADO",IF(N77&lt;15,"VERIFICAR","VERIFICAR URGENTE"))</f>
        <v>VERIFICAR URGENTE</v>
      </c>
      <c r="P77" s="40"/>
      <c r="Q77" s="40"/>
      <c r="R77" s="40"/>
      <c r="S77" s="40"/>
      <c r="T77" s="40"/>
      <c r="U77" s="40"/>
    </row>
    <row r="78" customFormat="false" ht="15.75" hidden="false" customHeight="true" outlineLevel="0" collapsed="false">
      <c r="A78" s="40" t="s">
        <v>36</v>
      </c>
      <c r="B78" s="57" t="n">
        <f aca="false">M78</f>
        <v>45448</v>
      </c>
      <c r="C78" s="34" t="n">
        <v>44895</v>
      </c>
      <c r="D78" s="34" t="n">
        <v>46233</v>
      </c>
      <c r="E78" s="35" t="n">
        <f aca="false">(D78-C78)/7</f>
        <v>191.142857142857</v>
      </c>
      <c r="F78" s="35" t="n">
        <f aca="false">($B$2-C78)/7</f>
        <v>182.285714285714</v>
      </c>
      <c r="G78" s="36" t="n">
        <v>253</v>
      </c>
      <c r="H78" s="36" t="n">
        <v>80</v>
      </c>
      <c r="I78" s="37" t="n">
        <f aca="false">IFERROR(H78/G78,"")</f>
        <v>0.316205533596838</v>
      </c>
      <c r="J78" s="37" t="n">
        <f aca="false">IFERROR(F78/E78,"")</f>
        <v>0.953662182361735</v>
      </c>
      <c r="K78" s="38" t="n">
        <f aca="false">IFERROR(((F78*G78)/E78)-H78,"")</f>
        <v>161.276532137519</v>
      </c>
      <c r="L78" s="36" t="str">
        <f aca="false">IF(K78&lt;-10,"MUITO ADIANTADO",IF(K78&lt;-6,"ADIANTADO",IF(K78&lt;6,"EM DIAS",IF(K78&lt;12,"ATRASADO","MUITO ATRASADO"))))</f>
        <v>MUITO ATRASADO</v>
      </c>
      <c r="M78" s="39" t="n">
        <v>45448</v>
      </c>
      <c r="N78" s="55" t="n">
        <f aca="false">$B$2-M78</f>
        <v>723</v>
      </c>
      <c r="O78" s="56" t="str">
        <f aca="false">IF(N78&lt;8,"VERIFICADO",IF(N78&lt;15,"VERIFICAR","VERIFICAR URGENTE"))</f>
        <v>VERIFICAR URGENTE</v>
      </c>
      <c r="P78" s="40"/>
      <c r="Q78" s="40"/>
      <c r="R78" s="40"/>
      <c r="S78" s="40"/>
      <c r="T78" s="40"/>
      <c r="U78" s="40"/>
    </row>
    <row r="79" customFormat="false" ht="15.75" hidden="false" customHeight="true" outlineLevel="0" collapsed="false">
      <c r="A79" s="40" t="s">
        <v>47</v>
      </c>
      <c r="B79" s="57" t="n">
        <f aca="false">M79</f>
        <v>45454</v>
      </c>
      <c r="C79" s="34" t="n">
        <v>45059</v>
      </c>
      <c r="D79" s="34" t="n">
        <v>46633</v>
      </c>
      <c r="E79" s="35" t="n">
        <f aca="false">(D79-C79)/7</f>
        <v>224.857142857143</v>
      </c>
      <c r="F79" s="35" t="n">
        <f aca="false">($B$2-C79)/7</f>
        <v>158.857142857143</v>
      </c>
      <c r="G79" s="36" t="n">
        <v>257</v>
      </c>
      <c r="H79" s="36" t="n">
        <v>51</v>
      </c>
      <c r="I79" s="37" t="n">
        <f aca="false">IFERROR(H79/G79,"")</f>
        <v>0.198443579766537</v>
      </c>
      <c r="J79" s="37" t="n">
        <f aca="false">IFERROR(F79/E79,"")</f>
        <v>0.706480304955527</v>
      </c>
      <c r="K79" s="38" t="n">
        <f aca="false">IFERROR(((F79*G79)/E79)-H79,"")</f>
        <v>130.56543837357</v>
      </c>
      <c r="L79" s="36" t="str">
        <f aca="false">IF(K79&lt;-10,"MUITO ADIANTADO",IF(K79&lt;-6,"ADIANTADO",IF(K79&lt;6,"EM DIAS",IF(K79&lt;12,"ATRASADO","MUITO ATRASADO"))))</f>
        <v>MUITO ATRASADO</v>
      </c>
      <c r="M79" s="39" t="n">
        <v>45454</v>
      </c>
      <c r="N79" s="55" t="n">
        <f aca="false">$B$2-M79</f>
        <v>717</v>
      </c>
      <c r="O79" s="56" t="str">
        <f aca="false">IF(N79&lt;8,"VERIFICADO",IF(N79&lt;15,"VERIFICAR","VERIFICAR URGENTE"))</f>
        <v>VERIFICAR URGENTE</v>
      </c>
      <c r="P79" s="40"/>
      <c r="Q79" s="40"/>
      <c r="R79" s="40"/>
      <c r="S79" s="40"/>
      <c r="T79" s="40"/>
      <c r="U79" s="40"/>
    </row>
    <row r="80" customFormat="false" ht="15.75" hidden="false" customHeight="true" outlineLevel="0" collapsed="false">
      <c r="A80" s="40" t="s">
        <v>582</v>
      </c>
      <c r="B80" s="57" t="n">
        <f aca="false">M80</f>
        <v>45448</v>
      </c>
      <c r="C80" s="34" t="n">
        <v>45192</v>
      </c>
      <c r="D80" s="34" t="n">
        <v>45711</v>
      </c>
      <c r="E80" s="35" t="n">
        <f aca="false">(D80-C80)/7</f>
        <v>74.1428571428571</v>
      </c>
      <c r="F80" s="35" t="n">
        <f aca="false">($B$2-C80)/7</f>
        <v>139.857142857143</v>
      </c>
      <c r="G80" s="36" t="n">
        <v>80</v>
      </c>
      <c r="H80" s="36" t="n">
        <v>36</v>
      </c>
      <c r="I80" s="37"/>
      <c r="J80" s="37"/>
      <c r="K80" s="38" t="n">
        <f aca="false">IFERROR(((F80*G80)/E80)-H80,"")</f>
        <v>114.905587668594</v>
      </c>
      <c r="L80" s="36" t="str">
        <f aca="false">IF(K80&lt;-10,"MUITO ADIANTADO",IF(K80&lt;-6,"ADIANTADO",IF(K80&lt;6,"EM DIAS",IF(K80&lt;12,"ATRASADO","MUITO ATRASADO"))))</f>
        <v>MUITO ATRASADO</v>
      </c>
      <c r="M80" s="39" t="n">
        <v>45448</v>
      </c>
      <c r="N80" s="55" t="n">
        <f aca="false">$B$2-M80</f>
        <v>723</v>
      </c>
      <c r="O80" s="56" t="str">
        <f aca="false">IF(N80&lt;8,"VERIFICADO",IF(N80&lt;15,"VERIFICAR","VERIFICAR URGENTE"))</f>
        <v>VERIFICAR URGENTE</v>
      </c>
      <c r="P80" s="40"/>
      <c r="Q80" s="40"/>
      <c r="R80" s="40"/>
      <c r="S80" s="40"/>
      <c r="T80" s="40"/>
      <c r="U80" s="40"/>
    </row>
    <row r="81" customFormat="false" ht="15.75" hidden="false" customHeight="true" outlineLevel="0" collapsed="false">
      <c r="A81" s="40" t="s">
        <v>99</v>
      </c>
      <c r="B81" s="57" t="n">
        <f aca="false">M81</f>
        <v>45450</v>
      </c>
      <c r="C81" s="34" t="n">
        <v>45156</v>
      </c>
      <c r="D81" s="34" t="n">
        <v>46770</v>
      </c>
      <c r="E81" s="35" t="n">
        <f aca="false">(D81-C81)/7</f>
        <v>230.571428571429</v>
      </c>
      <c r="F81" s="35" t="n">
        <f aca="false">($B$2-C81)/7</f>
        <v>145</v>
      </c>
      <c r="G81" s="36" t="n">
        <v>256</v>
      </c>
      <c r="H81" s="36" t="n">
        <v>38</v>
      </c>
      <c r="I81" s="37"/>
      <c r="J81" s="37"/>
      <c r="K81" s="38" t="n">
        <f aca="false">IFERROR(((F81*G81)/E81)-H81,"")</f>
        <v>122.991325898389</v>
      </c>
      <c r="L81" s="36" t="str">
        <f aca="false">IF(K81&lt;-10,"MUITO ADIANTADO",IF(K81&lt;-6,"ADIANTADO",IF(K81&lt;6,"EM DIAS",IF(K81&lt;12,"ATRASADO","MUITO ATRASADO"))))</f>
        <v>MUITO ATRASADO</v>
      </c>
      <c r="M81" s="39" t="n">
        <v>45450</v>
      </c>
      <c r="N81" s="55" t="n">
        <f aca="false">$B$2-M81</f>
        <v>721</v>
      </c>
      <c r="O81" s="56" t="str">
        <f aca="false">IF(N81&lt;8,"VERIFICADO",IF(N81&lt;15,"VERIFICAR","VERIFICAR URGENTE"))</f>
        <v>VERIFICAR URGENTE</v>
      </c>
      <c r="P81" s="40"/>
      <c r="Q81" s="40"/>
      <c r="R81" s="40"/>
      <c r="S81" s="40"/>
      <c r="T81" s="40"/>
      <c r="U81" s="40"/>
    </row>
    <row r="82" customFormat="false" ht="15.75" hidden="false" customHeight="true" outlineLevel="0" collapsed="false">
      <c r="A82" s="40" t="s">
        <v>583</v>
      </c>
      <c r="B82" s="57" t="n">
        <f aca="false">M82</f>
        <v>45450</v>
      </c>
      <c r="C82" s="34" t="n">
        <v>45324</v>
      </c>
      <c r="D82" s="34" t="n">
        <v>45475</v>
      </c>
      <c r="E82" s="35" t="n">
        <f aca="false">(D82-C82)/7</f>
        <v>21.5714285714286</v>
      </c>
      <c r="F82" s="35" t="n">
        <f aca="false">($B$2-C82)/7</f>
        <v>121</v>
      </c>
      <c r="G82" s="36" t="n">
        <v>16</v>
      </c>
      <c r="H82" s="36" t="n">
        <v>12</v>
      </c>
      <c r="I82" s="37"/>
      <c r="J82" s="37"/>
      <c r="K82" s="38" t="n">
        <f aca="false">IFERROR(((F82*G82)/E82)-H82,"")</f>
        <v>77.7483443708608</v>
      </c>
      <c r="L82" s="36" t="str">
        <f aca="false">IF(K82&lt;-10,"MUITO ADIANTADO",IF(K82&lt;-6,"ADIANTADO",IF(K82&lt;6,"EM DIAS",IF(K82&lt;12,"ATRASADO","MUITO ATRASADO"))))</f>
        <v>MUITO ATRASADO</v>
      </c>
      <c r="M82" s="39" t="n">
        <v>45450</v>
      </c>
      <c r="N82" s="55" t="n">
        <f aca="false">$B$2-M82</f>
        <v>721</v>
      </c>
      <c r="O82" s="41" t="str">
        <f aca="false">IF(N82&lt;8,"VERIFICADO",IF(N82&lt;15,"VERIFICAR","VERIFICAR URGENTE"))</f>
        <v>VERIFICAR URGENTE</v>
      </c>
      <c r="P82" s="40"/>
      <c r="Q82" s="40"/>
      <c r="R82" s="40"/>
      <c r="S82" s="40"/>
      <c r="T82" s="40"/>
      <c r="U82" s="40"/>
    </row>
    <row r="83" customFormat="false" ht="15.75" hidden="false" customHeight="true" outlineLevel="0" collapsed="false">
      <c r="A83" s="40" t="s">
        <v>584</v>
      </c>
      <c r="B83" s="57" t="n">
        <f aca="false">M83</f>
        <v>45451</v>
      </c>
      <c r="C83" s="34" t="n">
        <v>45276</v>
      </c>
      <c r="D83" s="34" t="n">
        <v>45854</v>
      </c>
      <c r="E83" s="35" t="n">
        <f aca="false">(D83-C83)/7</f>
        <v>82.5714285714286</v>
      </c>
      <c r="F83" s="35" t="n">
        <f aca="false">($B$2-C83)/7</f>
        <v>127.857142857143</v>
      </c>
      <c r="G83" s="36" t="n">
        <v>80</v>
      </c>
      <c r="H83" s="36" t="n">
        <v>12</v>
      </c>
      <c r="I83" s="37"/>
      <c r="J83" s="37"/>
      <c r="K83" s="38" t="n">
        <f aca="false">IFERROR(((F83*G83)/E83)-H83,"")</f>
        <v>111.875432525952</v>
      </c>
      <c r="L83" s="36" t="str">
        <f aca="false">IF(K83&lt;-10,"MUITO ADIANTADO",IF(K83&lt;-6,"ADIANTADO",IF(K83&lt;6,"EM DIAS",IF(K83&lt;12,"ATRASADO","MUITO ATRASADO"))))</f>
        <v>MUITO ATRASADO</v>
      </c>
      <c r="M83" s="39" t="n">
        <v>45451</v>
      </c>
      <c r="N83" s="55" t="n">
        <f aca="false">$B$2-M83</f>
        <v>720</v>
      </c>
      <c r="O83" s="56" t="str">
        <f aca="false">IF(N83&lt;8,"VERIFICADO",IF(N83&lt;15,"VERIFICAR","VERIFICAR URGENTE"))</f>
        <v>VERIFICAR URGENTE</v>
      </c>
      <c r="P83" s="40"/>
      <c r="Q83" s="40"/>
      <c r="R83" s="40"/>
      <c r="S83" s="40"/>
      <c r="T83" s="40"/>
      <c r="U83" s="40"/>
    </row>
    <row r="84" customFormat="false" ht="15.75" hidden="false" customHeight="true" outlineLevel="0" collapsed="false">
      <c r="A84" s="40" t="s">
        <v>585</v>
      </c>
      <c r="B84" s="57" t="n">
        <f aca="false">M84</f>
        <v>45451</v>
      </c>
      <c r="C84" s="34" t="n">
        <v>44737</v>
      </c>
      <c r="D84" s="34" t="n">
        <v>45949</v>
      </c>
      <c r="E84" s="35" t="n">
        <f aca="false">(D84-C84)/7</f>
        <v>173.142857142857</v>
      </c>
      <c r="F84" s="35" t="n">
        <f aca="false">($B$2-C84)/7</f>
        <v>204.857142857143</v>
      </c>
      <c r="G84" s="36" t="n">
        <v>267</v>
      </c>
      <c r="H84" s="36" t="n">
        <v>128</v>
      </c>
      <c r="I84" s="37" t="n">
        <f aca="false">IFERROR(H84/G84,"")</f>
        <v>0.47940074906367</v>
      </c>
      <c r="J84" s="37" t="n">
        <f aca="false">IFERROR(F84/E84,"")</f>
        <v>1.18316831683168</v>
      </c>
      <c r="K84" s="38" t="n">
        <f aca="false">IFERROR(((F84*G84)/E84)-H84,"")</f>
        <v>187.90594059406</v>
      </c>
      <c r="L84" s="36" t="str">
        <f aca="false">IF(K84&lt;-10,"MUITO ADIANTADO",IF(K84&lt;-6,"ADIANTADO",IF(K84&lt;6,"EM DIAS",IF(K84&lt;12,"ATRASADO","MUITO ATRASADO"))))</f>
        <v>MUITO ATRASADO</v>
      </c>
      <c r="M84" s="39" t="n">
        <v>45451</v>
      </c>
      <c r="N84" s="55" t="n">
        <f aca="false">$B$2-M84</f>
        <v>720</v>
      </c>
      <c r="O84" s="56" t="str">
        <f aca="false">IF(N84&lt;8,"VERIFICADO",IF(N84&lt;15,"VERIFICAR","VERIFICAR URGENTE"))</f>
        <v>VERIFICAR URGENTE</v>
      </c>
      <c r="P84" s="40"/>
      <c r="Q84" s="40"/>
      <c r="R84" s="40"/>
      <c r="S84" s="40"/>
      <c r="T84" s="40"/>
      <c r="U84" s="40"/>
    </row>
    <row r="85" customFormat="false" ht="15.75" hidden="false" customHeight="true" outlineLevel="0" collapsed="false">
      <c r="A85" s="40" t="s">
        <v>586</v>
      </c>
      <c r="B85" s="57" t="n">
        <f aca="false">M85</f>
        <v>45451</v>
      </c>
      <c r="C85" s="34" t="n">
        <v>45146</v>
      </c>
      <c r="D85" s="34" t="n">
        <v>45829</v>
      </c>
      <c r="E85" s="35" t="n">
        <f aca="false">(D85-C85)/7</f>
        <v>97.5714285714286</v>
      </c>
      <c r="F85" s="35" t="n">
        <f aca="false">($B$2-C85)/7</f>
        <v>146.428571428571</v>
      </c>
      <c r="G85" s="36" t="n">
        <v>80</v>
      </c>
      <c r="H85" s="36" t="n">
        <v>23</v>
      </c>
      <c r="I85" s="37"/>
      <c r="J85" s="37"/>
      <c r="K85" s="38" t="n">
        <f aca="false">IFERROR(((F85*G85)/E85)-H85,"")</f>
        <v>97.0585651537335</v>
      </c>
      <c r="L85" s="36" t="str">
        <f aca="false">IF(K85&lt;-10,"MUITO ADIANTADO",IF(K85&lt;-6,"ADIANTADO",IF(K85&lt;6,"EM DIAS",IF(K85&lt;12,"ATRASADO","MUITO ATRASADO"))))</f>
        <v>MUITO ATRASADO</v>
      </c>
      <c r="M85" s="39" t="n">
        <v>45451</v>
      </c>
      <c r="N85" s="55" t="n">
        <f aca="false">$B$2-M85</f>
        <v>720</v>
      </c>
      <c r="O85" s="56" t="str">
        <f aca="false">IF(N85&lt;8,"VERIFICADO",IF(N85&lt;15,"VERIFICAR","VERIFICAR URGENTE"))</f>
        <v>VERIFICAR URGENTE</v>
      </c>
      <c r="P85" s="40"/>
      <c r="Q85" s="40"/>
      <c r="R85" s="40"/>
      <c r="S85" s="40"/>
      <c r="T85" s="40"/>
      <c r="U85" s="40"/>
    </row>
    <row r="86" customFormat="false" ht="15.75" hidden="false" customHeight="true" outlineLevel="0" collapsed="false">
      <c r="A86" s="40" t="s">
        <v>587</v>
      </c>
      <c r="B86" s="57" t="n">
        <f aca="false">M86</f>
        <v>45451</v>
      </c>
      <c r="C86" s="34" t="n">
        <v>44980</v>
      </c>
      <c r="D86" s="34" t="n">
        <v>45823</v>
      </c>
      <c r="E86" s="35" t="n">
        <f aca="false">(D86-C86)/7</f>
        <v>120.428571428571</v>
      </c>
      <c r="F86" s="35" t="n">
        <f aca="false">($B$2-C86)/7</f>
        <v>170.142857142857</v>
      </c>
      <c r="G86" s="36" t="n">
        <v>177</v>
      </c>
      <c r="H86" s="36" t="n">
        <v>59</v>
      </c>
      <c r="I86" s="37" t="n">
        <f aca="false">IFERROR(H86/G86,"")</f>
        <v>0.333333333333333</v>
      </c>
      <c r="J86" s="37" t="n">
        <f aca="false">IFERROR(F86/E86,"")</f>
        <v>1.41281138790036</v>
      </c>
      <c r="K86" s="38" t="n">
        <f aca="false">IFERROR(((F86*G86)/E86)-H86,"")</f>
        <v>191.067615658364</v>
      </c>
      <c r="L86" s="36" t="str">
        <f aca="false">IF(K86&lt;-10,"MUITO ADIANTADO",IF(K86&lt;-6,"ADIANTADO",IF(K86&lt;6,"EM DIAS",IF(K86&lt;12,"ATRASADO","MUITO ATRASADO"))))</f>
        <v>MUITO ATRASADO</v>
      </c>
      <c r="M86" s="39" t="n">
        <v>45451</v>
      </c>
      <c r="N86" s="55" t="n">
        <f aca="false">$B$2-M86</f>
        <v>720</v>
      </c>
      <c r="O86" s="56" t="str">
        <f aca="false">IF(N86&lt;8,"VERIFICADO",IF(N86&lt;15,"VERIFICAR","VERIFICAR URGENTE"))</f>
        <v>VERIFICAR URGENTE</v>
      </c>
      <c r="P86" s="40"/>
      <c r="Q86" s="40"/>
      <c r="R86" s="40"/>
      <c r="S86" s="40"/>
      <c r="T86" s="40"/>
      <c r="U86" s="40"/>
    </row>
    <row r="87" customFormat="false" ht="15.75" hidden="false" customHeight="true" outlineLevel="0" collapsed="false">
      <c r="A87" s="40" t="s">
        <v>588</v>
      </c>
      <c r="B87" s="57" t="n">
        <f aca="false">M87</f>
        <v>45451</v>
      </c>
      <c r="C87" s="34" t="n">
        <v>45171</v>
      </c>
      <c r="D87" s="34" t="n">
        <v>45734</v>
      </c>
      <c r="E87" s="35" t="n">
        <f aca="false">(D87-C87)/7</f>
        <v>80.4285714285714</v>
      </c>
      <c r="F87" s="35" t="n">
        <f aca="false">($B$2-C87)/7</f>
        <v>142.857142857143</v>
      </c>
      <c r="G87" s="36" t="n">
        <v>80</v>
      </c>
      <c r="H87" s="36" t="n">
        <v>34</v>
      </c>
      <c r="I87" s="37"/>
      <c r="J87" s="37"/>
      <c r="K87" s="38" t="n">
        <f aca="false">IFERROR(((F87*G87)/E87)-H87,"")</f>
        <v>108.095914742451</v>
      </c>
      <c r="L87" s="36" t="str">
        <f aca="false">IF(K87&lt;-10,"MUITO ADIANTADO",IF(K87&lt;-6,"ADIANTADO",IF(K87&lt;6,"EM DIAS",IF(K87&lt;12,"ATRASADO","MUITO ATRASADO"))))</f>
        <v>MUITO ATRASADO</v>
      </c>
      <c r="M87" s="39" t="n">
        <v>45451</v>
      </c>
      <c r="N87" s="55" t="n">
        <f aca="false">$B$2-M87</f>
        <v>720</v>
      </c>
      <c r="O87" s="56" t="str">
        <f aca="false">IF(N87&lt;8,"VERIFICADO",IF(N87&lt;15,"VERIFICAR","VERIFICAR URGENTE"))</f>
        <v>VERIFICAR URGENTE</v>
      </c>
      <c r="P87" s="40"/>
      <c r="Q87" s="40"/>
      <c r="R87" s="40"/>
      <c r="S87" s="40"/>
      <c r="T87" s="40"/>
      <c r="U87" s="40"/>
    </row>
    <row r="88" customFormat="false" ht="15.75" hidden="false" customHeight="true" outlineLevel="0" collapsed="false">
      <c r="A88" s="40" t="s">
        <v>589</v>
      </c>
      <c r="B88" s="57" t="n">
        <f aca="false">M88</f>
        <v>45450</v>
      </c>
      <c r="C88" s="34" t="n">
        <v>45079</v>
      </c>
      <c r="D88" s="34" t="n">
        <v>45641</v>
      </c>
      <c r="E88" s="35" t="n">
        <f aca="false">(D88-C88)/7</f>
        <v>80.2857142857143</v>
      </c>
      <c r="F88" s="35" t="n">
        <f aca="false">($B$2-C88)/7</f>
        <v>156</v>
      </c>
      <c r="G88" s="36" t="n">
        <v>96</v>
      </c>
      <c r="H88" s="36" t="n">
        <v>65</v>
      </c>
      <c r="I88" s="37" t="n">
        <f aca="false">IFERROR(H88/G88,"")</f>
        <v>0.677083333333333</v>
      </c>
      <c r="J88" s="37" t="n">
        <f aca="false">IFERROR(F88/E88,"")</f>
        <v>1.94306049822064</v>
      </c>
      <c r="K88" s="38" t="n">
        <f aca="false">IFERROR(((F88*G88)/E88)-H88,"")</f>
        <v>121.533807829181</v>
      </c>
      <c r="L88" s="36" t="str">
        <f aca="false">IF(K88&lt;-10,"MUITO ADIANTADO",IF(K88&lt;-6,"ADIANTADO",IF(K88&lt;6,"EM DIAS",IF(K88&lt;12,"ATRASADO","MUITO ATRASADO"))))</f>
        <v>MUITO ATRASADO</v>
      </c>
      <c r="M88" s="39" t="n">
        <v>45450</v>
      </c>
      <c r="N88" s="55" t="n">
        <f aca="false">$B$2-M88</f>
        <v>721</v>
      </c>
      <c r="O88" s="56" t="str">
        <f aca="false">IF(N88&lt;8,"VERIFICADO",IF(N88&lt;15,"VERIFICAR","VERIFICAR URGENTE"))</f>
        <v>VERIFICAR URGENTE</v>
      </c>
      <c r="P88" s="40"/>
      <c r="Q88" s="40"/>
      <c r="R88" s="40"/>
      <c r="S88" s="40"/>
      <c r="T88" s="40"/>
      <c r="U88" s="40"/>
    </row>
    <row r="89" customFormat="false" ht="15.75" hidden="false" customHeight="true" outlineLevel="0" collapsed="false">
      <c r="A89" s="40" t="s">
        <v>590</v>
      </c>
      <c r="B89" s="57" t="n">
        <f aca="false">M89</f>
        <v>45451</v>
      </c>
      <c r="C89" s="34" t="n">
        <v>44890</v>
      </c>
      <c r="D89" s="34" t="n">
        <v>45454</v>
      </c>
      <c r="E89" s="35" t="n">
        <f aca="false">(D89-C89)/7</f>
        <v>80.5714285714286</v>
      </c>
      <c r="F89" s="35" t="n">
        <f aca="false">($B$2-C89)/7</f>
        <v>183</v>
      </c>
      <c r="G89" s="36" t="n">
        <v>76</v>
      </c>
      <c r="H89" s="36" t="n">
        <v>80</v>
      </c>
      <c r="I89" s="37"/>
      <c r="J89" s="37"/>
      <c r="K89" s="38" t="n">
        <f aca="false">IFERROR(((F89*G89)/E89)-H89,"")</f>
        <v>92.6170212765957</v>
      </c>
      <c r="L89" s="36" t="str">
        <f aca="false">IF(K89&lt;-10,"MUITO ADIANTADO",IF(K89&lt;-6,"ADIANTADO",IF(K89&lt;6,"EM DIAS",IF(K89&lt;12,"ATRASADO","MUITO ATRASADO"))))</f>
        <v>MUITO ATRASADO</v>
      </c>
      <c r="M89" s="39" t="n">
        <v>45451</v>
      </c>
      <c r="N89" s="55" t="n">
        <f aca="false">$B$2-M89</f>
        <v>720</v>
      </c>
      <c r="O89" s="56" t="str">
        <f aca="false">IF(N89&lt;8,"VERIFICADO",IF(N89&lt;15,"VERIFICAR","VERIFICAR URGENTE"))</f>
        <v>VERIFICAR URGENTE</v>
      </c>
      <c r="P89" s="40"/>
      <c r="Q89" s="40"/>
      <c r="R89" s="40"/>
      <c r="S89" s="40"/>
      <c r="T89" s="40"/>
      <c r="U89" s="40"/>
    </row>
    <row r="90" customFormat="false" ht="15.75" hidden="false" customHeight="true" outlineLevel="0" collapsed="false">
      <c r="A90" s="40" t="s">
        <v>256</v>
      </c>
      <c r="B90" s="57" t="n">
        <f aca="false">M90</f>
        <v>45451</v>
      </c>
      <c r="C90" s="34" t="n">
        <v>44900</v>
      </c>
      <c r="D90" s="34" t="n">
        <v>46199</v>
      </c>
      <c r="E90" s="35" t="n">
        <f aca="false">(D90-C90)/7</f>
        <v>185.571428571429</v>
      </c>
      <c r="F90" s="35" t="n">
        <f aca="false">($B$2-C90)/7</f>
        <v>181.571428571429</v>
      </c>
      <c r="G90" s="36" t="n">
        <v>253</v>
      </c>
      <c r="H90" s="36" t="n">
        <v>48</v>
      </c>
      <c r="I90" s="37" t="n">
        <f aca="false">IFERROR(H90/G90,"")</f>
        <v>0.189723320158103</v>
      </c>
      <c r="J90" s="37" t="n">
        <f aca="false">IFERROR(F90/E90,"")</f>
        <v>0.978444957659736</v>
      </c>
      <c r="K90" s="38" t="n">
        <f aca="false">IFERROR(((F90*G90)/E90)-H90,"")</f>
        <v>199.546574287913</v>
      </c>
      <c r="L90" s="36" t="str">
        <f aca="false">IF(K90&lt;-10,"MUITO ADIANTADO",IF(K90&lt;-6,"ADIANTADO",IF(K90&lt;6,"EM DIAS",IF(K90&lt;12,"ATRASADO","MUITO ATRASADO"))))</f>
        <v>MUITO ATRASADO</v>
      </c>
      <c r="M90" s="39" t="n">
        <v>45451</v>
      </c>
      <c r="N90" s="55" t="n">
        <f aca="false">$B$2-M90</f>
        <v>720</v>
      </c>
      <c r="O90" s="56" t="str">
        <f aca="false">IF(N90&lt;8,"VERIFICADO",IF(N90&lt;15,"VERIFICAR","VERIFICAR URGENTE"))</f>
        <v>VERIFICAR URGENTE</v>
      </c>
      <c r="P90" s="40"/>
      <c r="Q90" s="40"/>
      <c r="R90" s="40"/>
      <c r="S90" s="40"/>
      <c r="T90" s="40"/>
      <c r="U90" s="40"/>
    </row>
    <row r="91" customFormat="false" ht="15.75" hidden="false" customHeight="true" outlineLevel="0" collapsed="false">
      <c r="A91" s="40" t="s">
        <v>591</v>
      </c>
      <c r="B91" s="57" t="n">
        <f aca="false">M91</f>
        <v>45451</v>
      </c>
      <c r="C91" s="34" t="n">
        <v>44895</v>
      </c>
      <c r="D91" s="34" t="n">
        <v>45427</v>
      </c>
      <c r="E91" s="35" t="n">
        <f aca="false">(D91-C91)/7</f>
        <v>76</v>
      </c>
      <c r="F91" s="35" t="n">
        <f aca="false">($B$2-C91)/7</f>
        <v>182.285714285714</v>
      </c>
      <c r="G91" s="36" t="n">
        <v>76</v>
      </c>
      <c r="H91" s="36" t="n">
        <v>48</v>
      </c>
      <c r="I91" s="37" t="n">
        <f aca="false">IFERROR(H91/G91,"")</f>
        <v>0.631578947368421</v>
      </c>
      <c r="J91" s="37" t="n">
        <f aca="false">IFERROR(F91/E91,"")</f>
        <v>2.3984962406015</v>
      </c>
      <c r="K91" s="38" t="n">
        <f aca="false">IFERROR(((F91*G91)/E91)-H91,"")</f>
        <v>134.285714285714</v>
      </c>
      <c r="L91" s="36" t="str">
        <f aca="false">IF(K91&lt;-10,"MUITO ADIANTADO",IF(K91&lt;-6,"ADIANTADO",IF(K91&lt;6,"EM DIAS",IF(K91&lt;12,"ATRASADO","MUITO ATRASADO"))))</f>
        <v>MUITO ATRASADO</v>
      </c>
      <c r="M91" s="39" t="n">
        <v>45451</v>
      </c>
      <c r="N91" s="55" t="n">
        <f aca="false">$B$2-M91</f>
        <v>720</v>
      </c>
      <c r="O91" s="56" t="str">
        <f aca="false">IF(N91&lt;8,"VERIFICADO",IF(N91&lt;15,"VERIFICAR","VERIFICAR URGENTE"))</f>
        <v>VERIFICAR URGENTE</v>
      </c>
      <c r="P91" s="40"/>
      <c r="Q91" s="40"/>
      <c r="R91" s="40"/>
      <c r="S91" s="40"/>
      <c r="T91" s="40"/>
      <c r="U91" s="40"/>
    </row>
    <row r="92" customFormat="false" ht="15.75" hidden="false" customHeight="true" outlineLevel="0" collapsed="false">
      <c r="A92" s="40" t="s">
        <v>119</v>
      </c>
      <c r="B92" s="57" t="n">
        <f aca="false">M92</f>
        <v>45450</v>
      </c>
      <c r="C92" s="34" t="n">
        <v>45338</v>
      </c>
      <c r="D92" s="34" t="n">
        <v>46403</v>
      </c>
      <c r="E92" s="35" t="n">
        <f aca="false">(D92-C92)/7</f>
        <v>152.142857142857</v>
      </c>
      <c r="F92" s="35" t="n">
        <f aca="false">($B$2-C92)/7</f>
        <v>119</v>
      </c>
      <c r="G92" s="36" t="n">
        <v>144</v>
      </c>
      <c r="H92" s="36" t="n">
        <v>22</v>
      </c>
      <c r="I92" s="37"/>
      <c r="J92" s="37"/>
      <c r="K92" s="38" t="n">
        <f aca="false">IFERROR(((F92*G92)/E92)-H92,"")</f>
        <v>90.6309859154931</v>
      </c>
      <c r="L92" s="36" t="str">
        <f aca="false">IF(K92&lt;-10,"MUITO ADIANTADO",IF(K92&lt;-6,"ADIANTADO",IF(K92&lt;6,"EM DIAS",IF(K92&lt;12,"ATRASADO","MUITO ATRASADO"))))</f>
        <v>MUITO ATRASADO</v>
      </c>
      <c r="M92" s="39" t="n">
        <v>45450</v>
      </c>
      <c r="N92" s="55" t="n">
        <f aca="false">$B$2-M92</f>
        <v>721</v>
      </c>
      <c r="O92" s="56" t="str">
        <f aca="false">IF(N92&lt;8,"VERIFICADO",IF(N92&lt;15,"VERIFICAR","VERIFICAR URGENTE"))</f>
        <v>VERIFICAR URGENTE</v>
      </c>
      <c r="P92" s="40"/>
      <c r="Q92" s="40"/>
      <c r="R92" s="40"/>
      <c r="S92" s="40"/>
      <c r="T92" s="40"/>
      <c r="U92" s="40"/>
    </row>
    <row r="93" customFormat="false" ht="15.75" hidden="false" customHeight="true" outlineLevel="0" collapsed="false">
      <c r="A93" s="40" t="s">
        <v>592</v>
      </c>
      <c r="B93" s="57" t="n">
        <f aca="false">M93</f>
        <v>45450</v>
      </c>
      <c r="C93" s="34" t="n">
        <v>45324</v>
      </c>
      <c r="D93" s="34" t="n">
        <v>45475</v>
      </c>
      <c r="E93" s="35" t="n">
        <f aca="false">(D93-C93)/7</f>
        <v>21.5714285714286</v>
      </c>
      <c r="F93" s="35" t="n">
        <f aca="false">($B$2-C93)/7</f>
        <v>121</v>
      </c>
      <c r="G93" s="36" t="n">
        <v>16</v>
      </c>
      <c r="H93" s="36" t="n">
        <v>12</v>
      </c>
      <c r="I93" s="37"/>
      <c r="J93" s="37"/>
      <c r="K93" s="38" t="n">
        <f aca="false">IFERROR(((F93*G93)/E93)-H93,"")</f>
        <v>77.7483443708608</v>
      </c>
      <c r="L93" s="36" t="str">
        <f aca="false">IF(K93&lt;-10,"MUITO ADIANTADO",IF(K93&lt;-6,"ADIANTADO",IF(K93&lt;6,"EM DIAS",IF(K93&lt;12,"ATRASADO","MUITO ATRASADO"))))</f>
        <v>MUITO ATRASADO</v>
      </c>
      <c r="M93" s="39" t="n">
        <v>45450</v>
      </c>
      <c r="N93" s="55" t="n">
        <f aca="false">$B$2-M93</f>
        <v>721</v>
      </c>
      <c r="O93" s="41" t="str">
        <f aca="false">IF(N93&lt;8,"VERIFICADO",IF(N93&lt;15,"VERIFICAR","VERIFICAR URGENTE"))</f>
        <v>VERIFICAR URGENTE</v>
      </c>
      <c r="P93" s="40"/>
      <c r="Q93" s="40"/>
      <c r="R93" s="40"/>
      <c r="S93" s="40"/>
      <c r="T93" s="40"/>
      <c r="U93" s="40"/>
    </row>
    <row r="94" customFormat="false" ht="15.75" hidden="false" customHeight="true" outlineLevel="0" collapsed="false">
      <c r="A94" s="40" t="s">
        <v>593</v>
      </c>
      <c r="B94" s="57" t="n">
        <f aca="false">M94</f>
        <v>45450</v>
      </c>
      <c r="C94" s="34" t="n">
        <v>45034</v>
      </c>
      <c r="D94" s="34" t="n">
        <v>45616</v>
      </c>
      <c r="E94" s="35" t="n">
        <f aca="false">(D94-C94)/7</f>
        <v>83.1428571428571</v>
      </c>
      <c r="F94" s="35" t="n">
        <f aca="false">($B$2-C94)/7</f>
        <v>162.428571428571</v>
      </c>
      <c r="G94" s="36" t="n">
        <v>96</v>
      </c>
      <c r="H94" s="36" t="n">
        <v>78</v>
      </c>
      <c r="I94" s="37" t="n">
        <f aca="false">IFERROR(H94/G94,"")</f>
        <v>0.8125</v>
      </c>
      <c r="J94" s="37" t="n">
        <f aca="false">IFERROR(F94/E94,"")</f>
        <v>1.95360824742268</v>
      </c>
      <c r="K94" s="38" t="n">
        <f aca="false">IFERROR(((F94*G94)/E94)-H94,"")</f>
        <v>109.546391752577</v>
      </c>
      <c r="L94" s="36" t="str">
        <f aca="false">IF(K94&lt;-10,"MUITO ADIANTADO",IF(K94&lt;-6,"ADIANTADO",IF(K94&lt;6,"EM DIAS",IF(K94&lt;12,"ATRASADO","MUITO ATRASADO"))))</f>
        <v>MUITO ATRASADO</v>
      </c>
      <c r="M94" s="39" t="n">
        <v>45450</v>
      </c>
      <c r="N94" s="55" t="n">
        <f aca="false">$B$2-M94</f>
        <v>721</v>
      </c>
      <c r="O94" s="56" t="str">
        <f aca="false">IF(N94&lt;8,"VERIFICADO",IF(N94&lt;15,"VERIFICAR","VERIFICAR URGENTE"))</f>
        <v>VERIFICAR URGENTE</v>
      </c>
      <c r="P94" s="40"/>
      <c r="Q94" s="40"/>
      <c r="R94" s="40"/>
      <c r="S94" s="40"/>
      <c r="T94" s="40"/>
      <c r="U94" s="40"/>
    </row>
    <row r="95" customFormat="false" ht="15.75" hidden="false" customHeight="true" outlineLevel="0" collapsed="false">
      <c r="A95" s="40" t="s">
        <v>368</v>
      </c>
      <c r="B95" s="57" t="n">
        <f aca="false">M95</f>
        <v>45451</v>
      </c>
      <c r="C95" s="34" t="n">
        <v>45317</v>
      </c>
      <c r="D95" s="34" t="n">
        <v>45895</v>
      </c>
      <c r="E95" s="35" t="n">
        <f aca="false">(D95-C95)/7</f>
        <v>82.5714285714286</v>
      </c>
      <c r="F95" s="35" t="n">
        <f aca="false">($B$2-C95)/7</f>
        <v>122</v>
      </c>
      <c r="G95" s="36" t="n">
        <v>80</v>
      </c>
      <c r="H95" s="36" t="n">
        <v>40</v>
      </c>
      <c r="I95" s="37"/>
      <c r="J95" s="37"/>
      <c r="K95" s="38" t="n">
        <f aca="false">IFERROR(((F95*G95)/E95)-H95,"")</f>
        <v>78.2006920415225</v>
      </c>
      <c r="L95" s="36" t="str">
        <f aca="false">IF(K95&lt;-10,"MUITO ADIANTADO",IF(K95&lt;-6,"ADIANTADO",IF(K95&lt;6,"EM DIAS",IF(K95&lt;12,"ATRASADO","MUITO ATRASADO"))))</f>
        <v>MUITO ATRASADO</v>
      </c>
      <c r="M95" s="39" t="n">
        <v>45451</v>
      </c>
      <c r="N95" s="55" t="n">
        <f aca="false">$B$2-M95</f>
        <v>720</v>
      </c>
      <c r="O95" s="56" t="str">
        <f aca="false">IF(N95&lt;8,"VERIFICADO",IF(N95&lt;15,"VERIFICAR","VERIFICAR URGENTE"))</f>
        <v>VERIFICAR URGENTE</v>
      </c>
      <c r="P95" s="40"/>
      <c r="Q95" s="40"/>
      <c r="R95" s="40"/>
      <c r="S95" s="40"/>
      <c r="T95" s="40"/>
      <c r="U95" s="40"/>
    </row>
    <row r="96" customFormat="false" ht="15.75" hidden="false" customHeight="true" outlineLevel="0" collapsed="false">
      <c r="A96" s="40" t="s">
        <v>594</v>
      </c>
      <c r="B96" s="57" t="n">
        <f aca="false">M96</f>
        <v>45450</v>
      </c>
      <c r="C96" s="34" t="n">
        <v>45054</v>
      </c>
      <c r="D96" s="34" t="n">
        <v>45562</v>
      </c>
      <c r="E96" s="35" t="n">
        <f aca="false">(D96-C96)/7</f>
        <v>72.5714285714286</v>
      </c>
      <c r="F96" s="35" t="n">
        <f aca="false">($B$2-C96)/7</f>
        <v>159.571428571429</v>
      </c>
      <c r="G96" s="36" t="n">
        <v>80</v>
      </c>
      <c r="H96" s="36" t="n">
        <v>58</v>
      </c>
      <c r="I96" s="37" t="n">
        <f aca="false">IFERROR(H96/G96,"")</f>
        <v>0.725</v>
      </c>
      <c r="J96" s="37" t="n">
        <f aca="false">IFERROR(F96/E96,"")</f>
        <v>2.19881889763779</v>
      </c>
      <c r="K96" s="38" t="n">
        <f aca="false">IFERROR(((F96*G96)/E96)-H96,"")</f>
        <v>117.905511811024</v>
      </c>
      <c r="L96" s="36" t="str">
        <f aca="false">IF(K96&lt;-10,"MUITO ADIANTADO",IF(K96&lt;-6,"ADIANTADO",IF(K96&lt;6,"EM DIAS",IF(K96&lt;12,"ATRASADO","MUITO ATRASADO"))))</f>
        <v>MUITO ATRASADO</v>
      </c>
      <c r="M96" s="39" t="n">
        <v>45450</v>
      </c>
      <c r="N96" s="55" t="n">
        <f aca="false">$B$2-M96</f>
        <v>721</v>
      </c>
      <c r="O96" s="56" t="str">
        <f aca="false">IF(N96&lt;8,"VERIFICADO",IF(N96&lt;15,"VERIFICAR","VERIFICAR URGENTE"))</f>
        <v>VERIFICAR URGENTE</v>
      </c>
      <c r="P96" s="40"/>
      <c r="Q96" s="40"/>
      <c r="R96" s="40"/>
      <c r="S96" s="40"/>
      <c r="T96" s="40"/>
      <c r="U96" s="40"/>
    </row>
    <row r="97" customFormat="false" ht="15.75" hidden="false" customHeight="true" outlineLevel="0" collapsed="false">
      <c r="A97" s="40" t="s">
        <v>318</v>
      </c>
      <c r="B97" s="57" t="n">
        <f aca="false">M97</f>
        <v>45451</v>
      </c>
      <c r="C97" s="34" t="n">
        <v>44489</v>
      </c>
      <c r="D97" s="34" t="n">
        <v>46011</v>
      </c>
      <c r="E97" s="35" t="n">
        <f aca="false">(D97-C97)/7</f>
        <v>217.428571428571</v>
      </c>
      <c r="F97" s="35" t="n">
        <f aca="false">($B$2-C97)/7</f>
        <v>240.285714285714</v>
      </c>
      <c r="G97" s="36" t="n">
        <v>251</v>
      </c>
      <c r="H97" s="36" t="n">
        <v>48</v>
      </c>
      <c r="I97" s="37" t="n">
        <f aca="false">IFERROR(H97/G97,"")</f>
        <v>0.191235059760956</v>
      </c>
      <c r="J97" s="37" t="n">
        <f aca="false">IFERROR(F97/E97,"")</f>
        <v>1.10512483574245</v>
      </c>
      <c r="K97" s="38" t="n">
        <f aca="false">IFERROR(((F97*G97)/E97)-H97,"")</f>
        <v>229.386333771354</v>
      </c>
      <c r="L97" s="36" t="str">
        <f aca="false">IF(K97&lt;-10,"MUITO ADIANTADO",IF(K97&lt;-6,"ADIANTADO",IF(K97&lt;6,"EM DIAS",IF(K97&lt;12,"ATRASADO","MUITO ATRASADO"))))</f>
        <v>MUITO ATRASADO</v>
      </c>
      <c r="M97" s="39" t="n">
        <v>45451</v>
      </c>
      <c r="N97" s="55" t="n">
        <f aca="false">$B$2-M97</f>
        <v>720</v>
      </c>
      <c r="O97" s="56" t="str">
        <f aca="false">IF(N97&lt;8,"VERIFICADO",IF(N97&lt;15,"VERIFICAR","VERIFICAR URGENTE"))</f>
        <v>VERIFICAR URGENTE</v>
      </c>
      <c r="P97" s="40"/>
      <c r="Q97" s="40"/>
      <c r="R97" s="40"/>
      <c r="S97" s="40"/>
      <c r="T97" s="40"/>
      <c r="U97" s="40"/>
    </row>
    <row r="98" customFormat="false" ht="16.5" hidden="false" customHeight="true" outlineLevel="0" collapsed="false">
      <c r="A98" s="40" t="s">
        <v>339</v>
      </c>
      <c r="B98" s="57" t="n">
        <f aca="false">M98</f>
        <v>45454</v>
      </c>
      <c r="C98" s="34" t="n">
        <v>45146</v>
      </c>
      <c r="D98" s="34" t="n">
        <v>45672</v>
      </c>
      <c r="E98" s="35" t="n">
        <f aca="false">(D98-C98)/7</f>
        <v>75.1428571428571</v>
      </c>
      <c r="F98" s="35" t="n">
        <f aca="false">($B$2-C98)/7</f>
        <v>146.428571428571</v>
      </c>
      <c r="G98" s="36" t="n">
        <v>80</v>
      </c>
      <c r="H98" s="36" t="n">
        <v>46</v>
      </c>
      <c r="I98" s="37"/>
      <c r="J98" s="37"/>
      <c r="K98" s="38" t="n">
        <f aca="false">IFERROR(((F98*G98)/E98)-H98,"")</f>
        <v>109.893536121673</v>
      </c>
      <c r="L98" s="36" t="str">
        <f aca="false">IF(K98&lt;-10,"MUITO ADIANTADO",IF(K98&lt;-6,"ADIANTADO",IF(K98&lt;6,"EM DIAS",IF(K98&lt;12,"ATRASADO","MUITO ATRASADO"))))</f>
        <v>MUITO ATRASADO</v>
      </c>
      <c r="M98" s="39" t="n">
        <v>45454</v>
      </c>
      <c r="N98" s="55" t="n">
        <f aca="false">$B$2-M98</f>
        <v>717</v>
      </c>
      <c r="O98" s="56" t="str">
        <f aca="false">IF(N98&lt;8,"VERIFICADO",IF(N98&lt;15,"VERIFICAR","VERIFICAR URGENTE"))</f>
        <v>VERIFICAR URGENTE</v>
      </c>
      <c r="P98" s="40"/>
      <c r="Q98" s="40"/>
      <c r="R98" s="40"/>
      <c r="S98" s="40"/>
      <c r="T98" s="40"/>
      <c r="U98" s="40"/>
    </row>
    <row r="99" customFormat="false" ht="15.75" hidden="false" customHeight="true" outlineLevel="0" collapsed="false">
      <c r="A99" s="40" t="s">
        <v>595</v>
      </c>
      <c r="B99" s="57" t="n">
        <f aca="false">M99</f>
        <v>45450</v>
      </c>
      <c r="C99" s="34" t="n">
        <v>44963</v>
      </c>
      <c r="D99" s="34" t="n">
        <v>45461</v>
      </c>
      <c r="E99" s="35" t="n">
        <f aca="false">(D99-C99)/7</f>
        <v>71.1428571428571</v>
      </c>
      <c r="F99" s="35" t="n">
        <f aca="false">($B$2-C99)/7</f>
        <v>172.571428571429</v>
      </c>
      <c r="G99" s="36" t="n">
        <v>92</v>
      </c>
      <c r="H99" s="36" t="n">
        <v>89</v>
      </c>
      <c r="I99" s="37" t="n">
        <f aca="false">IFERROR(H99/G99,"")</f>
        <v>0.967391304347826</v>
      </c>
      <c r="J99" s="37" t="n">
        <f aca="false">IFERROR(F99/E99,"")</f>
        <v>2.42570281124498</v>
      </c>
      <c r="K99" s="38" t="n">
        <f aca="false">IFERROR(((F99*G99)/E99)-H99,"")</f>
        <v>134.164658634538</v>
      </c>
      <c r="L99" s="36" t="str">
        <f aca="false">IF(K99&lt;-10,"MUITO ADIANTADO",IF(K99&lt;-6,"ADIANTADO",IF(K99&lt;6,"EM DIAS",IF(K99&lt;12,"ATRASADO","MUITO ATRASADO"))))</f>
        <v>MUITO ATRASADO</v>
      </c>
      <c r="M99" s="39" t="n">
        <v>45450</v>
      </c>
      <c r="N99" s="55" t="n">
        <f aca="false">$B$2-M99</f>
        <v>721</v>
      </c>
      <c r="O99" s="56" t="str">
        <f aca="false">IF(N99&lt;8,"VERIFICADO",IF(N99&lt;15,"VERIFICAR","VERIFICAR URGENTE"))</f>
        <v>VERIFICAR URGENTE</v>
      </c>
      <c r="P99" s="40"/>
      <c r="Q99" s="40"/>
      <c r="R99" s="40"/>
      <c r="S99" s="40"/>
      <c r="T99" s="40"/>
      <c r="U99" s="40"/>
    </row>
    <row r="100" customFormat="false" ht="15.75" hidden="false" customHeight="true" outlineLevel="0" collapsed="false">
      <c r="A100" s="40" t="s">
        <v>596</v>
      </c>
      <c r="B100" s="57" t="n">
        <f aca="false">M100</f>
        <v>45454</v>
      </c>
      <c r="C100" s="34" t="n">
        <v>44957</v>
      </c>
      <c r="D100" s="34" t="n">
        <v>45478</v>
      </c>
      <c r="E100" s="35" t="n">
        <f aca="false">(D100-C100)/7</f>
        <v>74.4285714285714</v>
      </c>
      <c r="F100" s="35" t="n">
        <f aca="false">($B$2-C100)/7</f>
        <v>173.428571428571</v>
      </c>
      <c r="G100" s="36" t="n">
        <v>76</v>
      </c>
      <c r="H100" s="36" t="n">
        <v>70</v>
      </c>
      <c r="I100" s="37" t="n">
        <f aca="false">IFERROR(H100/G100,"")</f>
        <v>0.921052631578947</v>
      </c>
      <c r="J100" s="37" t="n">
        <f aca="false">IFERROR(F100/E100,"")</f>
        <v>2.33013435700576</v>
      </c>
      <c r="K100" s="38" t="n">
        <f aca="false">IFERROR(((F100*G100)/E100)-H100,"")</f>
        <v>107.090211132438</v>
      </c>
      <c r="L100" s="36" t="str">
        <f aca="false">IF(K100&lt;-10,"MUITO ADIANTADO",IF(K100&lt;-6,"ADIANTADO",IF(K100&lt;6,"EM DIAS",IF(K100&lt;12,"ATRASADO","MUITO ATRASADO"))))</f>
        <v>MUITO ATRASADO</v>
      </c>
      <c r="M100" s="39" t="n">
        <v>45454</v>
      </c>
      <c r="N100" s="55" t="n">
        <f aca="false">$B$2-M100</f>
        <v>717</v>
      </c>
      <c r="O100" s="56" t="str">
        <f aca="false">IF(N100&lt;8,"VERIFICADO",IF(N100&lt;15,"VERIFICAR","VERIFICAR URGENTE"))</f>
        <v>VERIFICAR URGENTE</v>
      </c>
      <c r="P100" s="40"/>
      <c r="Q100" s="40"/>
      <c r="R100" s="40"/>
      <c r="S100" s="40"/>
      <c r="T100" s="40"/>
      <c r="U100" s="40"/>
    </row>
    <row r="101" customFormat="false" ht="15.75" hidden="false" customHeight="true" outlineLevel="0" collapsed="false">
      <c r="A101" s="40" t="s">
        <v>597</v>
      </c>
      <c r="B101" s="57" t="n">
        <f aca="false">M101</f>
        <v>45450</v>
      </c>
      <c r="C101" s="34" t="n">
        <v>45156</v>
      </c>
      <c r="D101" s="34" t="n">
        <v>45706</v>
      </c>
      <c r="E101" s="35" t="n">
        <f aca="false">(D101-C101)/7</f>
        <v>78.5714285714286</v>
      </c>
      <c r="F101" s="35" t="n">
        <f aca="false">($B$2-C101)/7</f>
        <v>145</v>
      </c>
      <c r="G101" s="36" t="n">
        <v>80</v>
      </c>
      <c r="H101" s="36" t="n">
        <v>60</v>
      </c>
      <c r="I101" s="37"/>
      <c r="J101" s="37"/>
      <c r="K101" s="38" t="n">
        <f aca="false">IFERROR(((F101*G101)/E101)-H101,"")</f>
        <v>87.6363636363636</v>
      </c>
      <c r="L101" s="36" t="str">
        <f aca="false">IF(K101&lt;-10,"MUITO ADIANTADO",IF(K101&lt;-6,"ADIANTADO",IF(K101&lt;6,"EM DIAS",IF(K101&lt;12,"ATRASADO","MUITO ATRASADO"))))</f>
        <v>MUITO ATRASADO</v>
      </c>
      <c r="M101" s="39" t="n">
        <v>45450</v>
      </c>
      <c r="N101" s="55" t="n">
        <f aca="false">$B$2-M101</f>
        <v>721</v>
      </c>
      <c r="O101" s="56" t="str">
        <f aca="false">IF(N101&lt;8,"VERIFICADO",IF(N101&lt;15,"VERIFICAR","VERIFICAR URGENTE"))</f>
        <v>VERIFICAR URGENTE</v>
      </c>
      <c r="P101" s="40"/>
      <c r="Q101" s="40"/>
      <c r="R101" s="40"/>
      <c r="S101" s="40"/>
      <c r="T101" s="40"/>
      <c r="U101" s="40"/>
    </row>
    <row r="102" customFormat="false" ht="15.75" hidden="false" customHeight="true" outlineLevel="0" collapsed="false">
      <c r="A102" s="40" t="s">
        <v>598</v>
      </c>
      <c r="B102" s="57" t="n">
        <f aca="false">M102</f>
        <v>45450</v>
      </c>
      <c r="C102" s="34" t="n">
        <v>45009</v>
      </c>
      <c r="D102" s="34" t="n">
        <v>45560</v>
      </c>
      <c r="E102" s="35" t="n">
        <f aca="false">(D102-C102)/7</f>
        <v>78.7142857142857</v>
      </c>
      <c r="F102" s="35" t="n">
        <f aca="false">($B$2-C102)/7</f>
        <v>166</v>
      </c>
      <c r="G102" s="36" t="n">
        <v>80</v>
      </c>
      <c r="H102" s="36" t="n">
        <v>62</v>
      </c>
      <c r="I102" s="37"/>
      <c r="J102" s="37"/>
      <c r="K102" s="38" t="n">
        <f aca="false">IFERROR(((F102*G102)/E102)-H102,"")</f>
        <v>106.711433756806</v>
      </c>
      <c r="L102" s="36" t="str">
        <f aca="false">IF(K102&lt;-10,"MUITO ADIANTADO",IF(K102&lt;-6,"ADIANTADO",IF(K102&lt;6,"EM DIAS",IF(K102&lt;12,"ATRASADO","MUITO ATRASADO"))))</f>
        <v>MUITO ATRASADO</v>
      </c>
      <c r="M102" s="39" t="n">
        <v>45450</v>
      </c>
      <c r="N102" s="55" t="n">
        <f aca="false">$B$2-M102</f>
        <v>721</v>
      </c>
      <c r="O102" s="56" t="str">
        <f aca="false">IF(N102&lt;8,"VERIFICADO",IF(N102&lt;15,"VERIFICAR","VERIFICAR URGENTE"))</f>
        <v>VERIFICAR URGENTE</v>
      </c>
      <c r="P102" s="40"/>
      <c r="Q102" s="40"/>
      <c r="R102" s="40"/>
      <c r="S102" s="40"/>
      <c r="T102" s="40"/>
      <c r="U102" s="40"/>
    </row>
    <row r="103" customFormat="false" ht="15.75" hidden="false" customHeight="true" outlineLevel="0" collapsed="false">
      <c r="A103" s="40" t="s">
        <v>599</v>
      </c>
      <c r="B103" s="57" t="n">
        <f aca="false">M103</f>
        <v>45451</v>
      </c>
      <c r="C103" s="34" t="n">
        <v>45178</v>
      </c>
      <c r="D103" s="34" t="n">
        <v>45703</v>
      </c>
      <c r="E103" s="35" t="n">
        <f aca="false">(D103-C103)/7</f>
        <v>75</v>
      </c>
      <c r="F103" s="35" t="n">
        <f aca="false">($B$2-C103)/7</f>
        <v>141.857142857143</v>
      </c>
      <c r="G103" s="36" t="n">
        <v>80</v>
      </c>
      <c r="H103" s="36" t="n">
        <v>48</v>
      </c>
      <c r="I103" s="37"/>
      <c r="J103" s="37"/>
      <c r="K103" s="38" t="n">
        <f aca="false">IFERROR(((F103*G103)/E103)-H103,"")</f>
        <v>103.314285714286</v>
      </c>
      <c r="L103" s="36" t="str">
        <f aca="false">IF(K103&lt;-10,"MUITO ADIANTADO",IF(K103&lt;-6,"ADIANTADO",IF(K103&lt;6,"EM DIAS",IF(K103&lt;12,"ATRASADO","MUITO ATRASADO"))))</f>
        <v>MUITO ATRASADO</v>
      </c>
      <c r="M103" s="39" t="n">
        <v>45451</v>
      </c>
      <c r="N103" s="55" t="n">
        <f aca="false">$B$2-M103</f>
        <v>720</v>
      </c>
      <c r="O103" s="56" t="str">
        <f aca="false">IF(N103&lt;8,"VERIFICADO",IF(N103&lt;15,"VERIFICAR","VERIFICAR URGENTE"))</f>
        <v>VERIFICAR URGENTE</v>
      </c>
      <c r="P103" s="40"/>
      <c r="Q103" s="40"/>
      <c r="R103" s="40"/>
      <c r="S103" s="40"/>
      <c r="T103" s="40"/>
      <c r="U103" s="40"/>
    </row>
    <row r="104" customFormat="false" ht="15.75" hidden="false" customHeight="true" outlineLevel="0" collapsed="false">
      <c r="A104" s="40" t="s">
        <v>396</v>
      </c>
      <c r="B104" s="57" t="n">
        <f aca="false">M104</f>
        <v>45454</v>
      </c>
      <c r="C104" s="34" t="n">
        <v>45080</v>
      </c>
      <c r="D104" s="34" t="n">
        <v>46663</v>
      </c>
      <c r="E104" s="35" t="n">
        <f aca="false">(D104-C104)/7</f>
        <v>226.142857142857</v>
      </c>
      <c r="F104" s="35" t="n">
        <f aca="false">($B$2-C104)/7</f>
        <v>155.857142857143</v>
      </c>
      <c r="G104" s="36" t="n">
        <v>272</v>
      </c>
      <c r="H104" s="36" t="n">
        <v>46</v>
      </c>
      <c r="I104" s="37" t="n">
        <f aca="false">IFERROR(H104/G104,"")</f>
        <v>0.169117647058824</v>
      </c>
      <c r="J104" s="37" t="n">
        <f aca="false">IFERROR(F104/E104,"")</f>
        <v>0.689197725837019</v>
      </c>
      <c r="K104" s="38" t="n">
        <f aca="false">IFERROR(((F104*G104)/E104)-H104,"")</f>
        <v>141.461781427669</v>
      </c>
      <c r="L104" s="36" t="str">
        <f aca="false">IF(K104&lt;-10,"MUITO ADIANTADO",IF(K104&lt;-6,"ADIANTADO",IF(K104&lt;6,"EM DIAS",IF(K104&lt;12,"ATRASADO","MUITO ATRASADO"))))</f>
        <v>MUITO ATRASADO</v>
      </c>
      <c r="M104" s="39" t="n">
        <v>45454</v>
      </c>
      <c r="N104" s="55" t="n">
        <f aca="false">$B$2-M104</f>
        <v>717</v>
      </c>
      <c r="O104" s="56" t="str">
        <f aca="false">IF(N104&lt;8,"VERIFICADO",IF(N104&lt;15,"VERIFICAR","VERIFICAR URGENTE"))</f>
        <v>VERIFICAR URGENTE</v>
      </c>
      <c r="P104" s="40"/>
      <c r="Q104" s="40"/>
      <c r="R104" s="40"/>
      <c r="S104" s="40"/>
      <c r="T104" s="40"/>
      <c r="U104" s="40"/>
    </row>
    <row r="105" customFormat="false" ht="15.75" hidden="false" customHeight="true" outlineLevel="0" collapsed="false">
      <c r="A105" s="40" t="s">
        <v>600</v>
      </c>
      <c r="B105" s="57" t="n">
        <f aca="false">M105</f>
        <v>45450</v>
      </c>
      <c r="C105" s="34" t="n">
        <v>45345</v>
      </c>
      <c r="D105" s="34" t="n">
        <v>45923</v>
      </c>
      <c r="E105" s="35" t="n">
        <f aca="false">(D105-C105)/7</f>
        <v>82.5714285714286</v>
      </c>
      <c r="F105" s="35" t="n">
        <f aca="false">($B$2-C105)/7</f>
        <v>118</v>
      </c>
      <c r="G105" s="36" t="n">
        <v>80</v>
      </c>
      <c r="H105" s="36" t="n">
        <v>21</v>
      </c>
      <c r="I105" s="37"/>
      <c r="J105" s="37"/>
      <c r="K105" s="38" t="n">
        <f aca="false">IFERROR(((F105*G105)/E105)-H105,"")</f>
        <v>93.3252595155709</v>
      </c>
      <c r="L105" s="36" t="str">
        <f aca="false">IF(K105&lt;-10,"MUITO ADIANTADO",IF(K105&lt;-6,"ADIANTADO",IF(K105&lt;6,"EM DIAS",IF(K105&lt;12,"ATRASADO","MUITO ATRASADO"))))</f>
        <v>MUITO ATRASADO</v>
      </c>
      <c r="M105" s="39" t="n">
        <v>45450</v>
      </c>
      <c r="N105" s="55" t="n">
        <f aca="false">$B$2-M105</f>
        <v>721</v>
      </c>
      <c r="O105" s="56" t="str">
        <f aca="false">IF(N105&lt;8,"VERIFICADO",IF(N105&lt;15,"VERIFICAR","VERIFICAR URGENTE"))</f>
        <v>VERIFICAR URGENTE</v>
      </c>
      <c r="P105" s="40"/>
      <c r="Q105" s="40"/>
      <c r="R105" s="40"/>
      <c r="S105" s="40"/>
      <c r="T105" s="40"/>
      <c r="U105" s="40"/>
    </row>
    <row r="106" customFormat="false" ht="15.75" hidden="false" customHeight="true" outlineLevel="0" collapsed="false">
      <c r="A106" s="40" t="s">
        <v>343</v>
      </c>
      <c r="B106" s="57" t="n">
        <f aca="false">M106</f>
        <v>45450</v>
      </c>
      <c r="C106" s="34" t="n">
        <v>45030</v>
      </c>
      <c r="D106" s="34" t="n">
        <v>46406</v>
      </c>
      <c r="E106" s="35" t="n">
        <f aca="false">(D106-C106)/7</f>
        <v>196.571428571429</v>
      </c>
      <c r="F106" s="35" t="n">
        <f aca="false">($B$2-C106)/7</f>
        <v>163</v>
      </c>
      <c r="G106" s="36" t="n">
        <v>257</v>
      </c>
      <c r="H106" s="36" t="n">
        <v>109</v>
      </c>
      <c r="I106" s="37" t="n">
        <f aca="false">IFERROR(H106/G106,"")</f>
        <v>0.424124513618677</v>
      </c>
      <c r="J106" s="37" t="n">
        <f aca="false">IFERROR(F106/E106,"")</f>
        <v>0.829215116279068</v>
      </c>
      <c r="K106" s="38" t="n">
        <f aca="false">IFERROR(((F106*G106)/E106)-H106,"")</f>
        <v>104.10828488372</v>
      </c>
      <c r="L106" s="36" t="str">
        <f aca="false">IF(K106&lt;-10,"MUITO ADIANTADO",IF(K106&lt;-6,"ADIANTADO",IF(K106&lt;6,"EM DIAS",IF(K106&lt;12,"ATRASADO","MUITO ATRASADO"))))</f>
        <v>MUITO ATRASADO</v>
      </c>
      <c r="M106" s="39" t="n">
        <v>45450</v>
      </c>
      <c r="N106" s="55" t="n">
        <f aca="false">$B$2-M106</f>
        <v>721</v>
      </c>
      <c r="O106" s="56" t="str">
        <f aca="false">IF(N106&lt;8,"VERIFICADO",IF(N106&lt;15,"VERIFICAR","VERIFICAR URGENTE"))</f>
        <v>VERIFICAR URGENTE</v>
      </c>
      <c r="P106" s="40"/>
      <c r="Q106" s="40"/>
      <c r="R106" s="40"/>
      <c r="S106" s="40"/>
      <c r="T106" s="40"/>
      <c r="U106" s="40"/>
    </row>
    <row r="107" customFormat="false" ht="15.75" hidden="false" customHeight="true" outlineLevel="0" collapsed="false">
      <c r="A107" s="40" t="s">
        <v>601</v>
      </c>
      <c r="B107" s="57" t="n">
        <f aca="false">M107</f>
        <v>45450</v>
      </c>
      <c r="C107" s="34" t="n">
        <v>45317</v>
      </c>
      <c r="D107" s="34" t="n">
        <v>45792</v>
      </c>
      <c r="E107" s="35" t="n">
        <f aca="false">(D107-C107)/7</f>
        <v>67.8571428571429</v>
      </c>
      <c r="F107" s="35" t="n">
        <f aca="false">($B$2-C107)/7</f>
        <v>122</v>
      </c>
      <c r="G107" s="36" t="n">
        <v>80</v>
      </c>
      <c r="H107" s="36" t="n">
        <v>28</v>
      </c>
      <c r="I107" s="37"/>
      <c r="J107" s="37"/>
      <c r="K107" s="38" t="n">
        <f aca="false">IFERROR(((F107*G107)/E107)-H107,"")</f>
        <v>115.831578947368</v>
      </c>
      <c r="L107" s="36" t="str">
        <f aca="false">IF(K107&lt;-10,"MUITO ADIANTADO",IF(K107&lt;-6,"ADIANTADO",IF(K107&lt;6,"EM DIAS",IF(K107&lt;12,"ATRASADO","MUITO ATRASADO"))))</f>
        <v>MUITO ATRASADO</v>
      </c>
      <c r="M107" s="39" t="n">
        <v>45450</v>
      </c>
      <c r="N107" s="55" t="n">
        <f aca="false">$B$2-M107</f>
        <v>721</v>
      </c>
      <c r="O107" s="56" t="str">
        <f aca="false">IF(N107&lt;8,"VERIFICADO",IF(N107&lt;15,"VERIFICAR","VERIFICAR URGENTE"))</f>
        <v>VERIFICAR URGENTE</v>
      </c>
      <c r="P107" s="68" t="s">
        <v>602</v>
      </c>
      <c r="Q107" s="68" t="s">
        <v>602</v>
      </c>
      <c r="R107" s="68" t="s">
        <v>602</v>
      </c>
      <c r="S107" s="68" t="s">
        <v>602</v>
      </c>
      <c r="T107" s="68" t="str">
        <f aca="false">IF(G107-H107&lt;16,"PASSAR FICHA DE RENOVAÇÃO",IF(I107&lt;15%,"",IF(I107&lt;30%,"REALIZAR 1ª AULA",IF(I107&lt;45%,"REALIZAR 2ª AULA",IF(I107&lt;60%,"REALIZAR 3ª AULA",IF(I107&lt;80%,"REALIZAR 4ª AULA"))))))</f>
        <v/>
      </c>
      <c r="U107" s="68" t="s">
        <v>602</v>
      </c>
    </row>
    <row r="108" customFormat="false" ht="15.75" hidden="false" customHeight="true" outlineLevel="0" collapsed="false">
      <c r="A108" s="40" t="s">
        <v>603</v>
      </c>
      <c r="B108" s="57" t="n">
        <f aca="false">M108</f>
        <v>45450</v>
      </c>
      <c r="C108" s="34" t="n">
        <v>45065</v>
      </c>
      <c r="D108" s="34" t="n">
        <v>45577</v>
      </c>
      <c r="E108" s="35" t="n">
        <f aca="false">(D108-C108)/7</f>
        <v>73.1428571428571</v>
      </c>
      <c r="F108" s="35" t="n">
        <f aca="false">($B$2-C108)/7</f>
        <v>158</v>
      </c>
      <c r="G108" s="36" t="n">
        <v>80</v>
      </c>
      <c r="H108" s="36" t="n">
        <v>49</v>
      </c>
      <c r="I108" s="37" t="n">
        <f aca="false">IFERROR(H108/G108,"")</f>
        <v>0.6125</v>
      </c>
      <c r="J108" s="37" t="n">
        <f aca="false">IFERROR(F108/E108,"")</f>
        <v>2.16015625</v>
      </c>
      <c r="K108" s="38" t="n">
        <f aca="false">IFERROR(((F108*G108)/E108)-H108,"")</f>
        <v>123.8125</v>
      </c>
      <c r="L108" s="36" t="str">
        <f aca="false">IF(K108&lt;-10,"MUITO ADIANTADO",IF(K108&lt;-6,"ADIANTADO",IF(K108&lt;6,"EM DIAS",IF(K108&lt;12,"ATRASADO","MUITO ATRASADO"))))</f>
        <v>MUITO ATRASADO</v>
      </c>
      <c r="M108" s="39" t="n">
        <v>45450</v>
      </c>
      <c r="N108" s="55" t="n">
        <f aca="false">$B$2-M108</f>
        <v>721</v>
      </c>
      <c r="O108" s="56" t="str">
        <f aca="false">IF(N108&lt;8,"VERIFICADO",IF(N108&lt;15,"VERIFICAR","VERIFICAR URGENTE"))</f>
        <v>VERIFICAR URGENTE</v>
      </c>
      <c r="P108" s="40"/>
      <c r="Q108" s="40"/>
      <c r="R108" s="40"/>
      <c r="S108" s="40"/>
      <c r="T108" s="40"/>
      <c r="U108" s="40"/>
    </row>
    <row r="109" customFormat="false" ht="15.75" hidden="false" customHeight="true" outlineLevel="0" collapsed="false">
      <c r="A109" s="40" t="s">
        <v>486</v>
      </c>
      <c r="B109" s="57" t="n">
        <f aca="false">M109</f>
        <v>45450</v>
      </c>
      <c r="C109" s="34" t="n">
        <v>45338</v>
      </c>
      <c r="D109" s="34" t="n">
        <v>46403</v>
      </c>
      <c r="E109" s="35" t="n">
        <f aca="false">(D109-C109)/7</f>
        <v>152.142857142857</v>
      </c>
      <c r="F109" s="35" t="n">
        <f aca="false">($B$2-C109)/7</f>
        <v>119</v>
      </c>
      <c r="G109" s="36" t="n">
        <v>144</v>
      </c>
      <c r="H109" s="36" t="n">
        <v>13</v>
      </c>
      <c r="I109" s="37"/>
      <c r="J109" s="37"/>
      <c r="K109" s="38" t="n">
        <f aca="false">IFERROR(((F109*G109)/E109)-H109,"")</f>
        <v>99.6309859154931</v>
      </c>
      <c r="L109" s="36" t="str">
        <f aca="false">IF(K109&lt;-10,"MUITO ADIANTADO",IF(K109&lt;-6,"ADIANTADO",IF(K109&lt;6,"EM DIAS",IF(K109&lt;12,"ATRASADO","MUITO ATRASADO"))))</f>
        <v>MUITO ATRASADO</v>
      </c>
      <c r="M109" s="39" t="n">
        <v>45450</v>
      </c>
      <c r="N109" s="55" t="n">
        <f aca="false">$B$2-M109</f>
        <v>721</v>
      </c>
      <c r="O109" s="56" t="str">
        <f aca="false">IF(N109&lt;8,"VERIFICADO",IF(N109&lt;15,"VERIFICAR","VERIFICAR URGENTE"))</f>
        <v>VERIFICAR URGENTE</v>
      </c>
      <c r="P109" s="40"/>
      <c r="Q109" s="40"/>
      <c r="R109" s="40"/>
      <c r="S109" s="40"/>
      <c r="T109" s="40"/>
      <c r="U109" s="40"/>
    </row>
    <row r="110" customFormat="false" ht="15.75" hidden="false" customHeight="true" outlineLevel="0" collapsed="false">
      <c r="A110" s="40" t="s">
        <v>604</v>
      </c>
      <c r="B110" s="57" t="n">
        <f aca="false">M110</f>
        <v>45450</v>
      </c>
      <c r="C110" s="34" t="n">
        <v>45303</v>
      </c>
      <c r="D110" s="34" t="n">
        <v>45483</v>
      </c>
      <c r="E110" s="35" t="n">
        <f aca="false">(D110-C110)/7</f>
        <v>25.7142857142857</v>
      </c>
      <c r="F110" s="35" t="n">
        <f aca="false">($B$2-C110)/7</f>
        <v>124</v>
      </c>
      <c r="G110" s="36" t="n">
        <v>32</v>
      </c>
      <c r="H110" s="36" t="n">
        <v>19</v>
      </c>
      <c r="I110" s="37"/>
      <c r="J110" s="37"/>
      <c r="K110" s="38" t="n">
        <f aca="false">IFERROR(((F110*G110)/E110)-H110,"")</f>
        <v>135.311111111111</v>
      </c>
      <c r="L110" s="36" t="str">
        <f aca="false">IF(K110&lt;-10,"MUITO ADIANTADO",IF(K110&lt;-6,"ADIANTADO",IF(K110&lt;6,"EM DIAS",IF(K110&lt;12,"ATRASADO","MUITO ATRASADO"))))</f>
        <v>MUITO ATRASADO</v>
      </c>
      <c r="M110" s="39" t="n">
        <v>45450</v>
      </c>
      <c r="N110" s="55" t="n">
        <f aca="false">$B$2-M110</f>
        <v>721</v>
      </c>
      <c r="O110" s="56" t="str">
        <f aca="false">IF(N110&lt;8,"VERIFICADO",IF(N110&lt;15,"VERIFICAR","VERIFICAR URGENTE"))</f>
        <v>VERIFICAR URGENTE</v>
      </c>
      <c r="P110" s="40"/>
      <c r="Q110" s="40"/>
      <c r="R110" s="40"/>
      <c r="S110" s="40"/>
      <c r="T110" s="40"/>
      <c r="U110" s="40"/>
    </row>
    <row r="111" customFormat="false" ht="15.75" hidden="false" customHeight="true" outlineLevel="0" collapsed="false">
      <c r="A111" s="40" t="s">
        <v>605</v>
      </c>
      <c r="B111" s="57" t="n">
        <f aca="false">M111</f>
        <v>45453</v>
      </c>
      <c r="C111" s="34" t="n">
        <v>45248</v>
      </c>
      <c r="D111" s="34" t="n">
        <v>46127</v>
      </c>
      <c r="E111" s="35" t="n">
        <f aca="false">(D111-C111)/7</f>
        <v>125.571428571429</v>
      </c>
      <c r="F111" s="35" t="n">
        <f aca="false">($B$2-C111)/7</f>
        <v>131.857142857143</v>
      </c>
      <c r="G111" s="36" t="n">
        <v>128</v>
      </c>
      <c r="H111" s="36" t="n">
        <v>35</v>
      </c>
      <c r="I111" s="37"/>
      <c r="J111" s="37"/>
      <c r="K111" s="38" t="n">
        <f aca="false">IFERROR(((F111*G111)/E111)-H111,"")</f>
        <v>99.4072810011372</v>
      </c>
      <c r="L111" s="36" t="str">
        <f aca="false">IF(K111&lt;-10,"MUITO ADIANTADO",IF(K111&lt;-6,"ADIANTADO",IF(K111&lt;6,"EM DIAS",IF(K111&lt;12,"ATRASADO","MUITO ATRASADO"))))</f>
        <v>MUITO ATRASADO</v>
      </c>
      <c r="M111" s="39" t="n">
        <v>45453</v>
      </c>
      <c r="N111" s="55" t="n">
        <f aca="false">$B$2-M111</f>
        <v>718</v>
      </c>
      <c r="O111" s="56" t="str">
        <f aca="false">IF(N111&lt;8,"VERIFICADO",IF(N111&lt;15,"VERIFICAR","VERIFICAR URGENTE"))</f>
        <v>VERIFICAR URGENTE</v>
      </c>
      <c r="P111" s="40"/>
      <c r="Q111" s="40"/>
      <c r="R111" s="40"/>
      <c r="S111" s="40"/>
      <c r="T111" s="40"/>
      <c r="U111" s="40"/>
    </row>
    <row r="112" customFormat="false" ht="15.75" hidden="false" customHeight="true" outlineLevel="0" collapsed="false">
      <c r="A112" s="40" t="s">
        <v>228</v>
      </c>
      <c r="B112" s="57" t="n">
        <f aca="false">M112</f>
        <v>45450</v>
      </c>
      <c r="C112" s="34" t="n">
        <v>45197</v>
      </c>
      <c r="D112" s="34" t="n">
        <v>45718</v>
      </c>
      <c r="E112" s="35" t="n">
        <f aca="false">(D112-C112)/7</f>
        <v>74.4285714285714</v>
      </c>
      <c r="F112" s="35" t="n">
        <f aca="false">($B$2-C112)/7</f>
        <v>139.142857142857</v>
      </c>
      <c r="G112" s="36" t="n">
        <v>132</v>
      </c>
      <c r="H112" s="36" t="n">
        <v>71</v>
      </c>
      <c r="I112" s="37"/>
      <c r="J112" s="37"/>
      <c r="K112" s="38" t="n">
        <f aca="false">IFERROR(((F112*G112)/E112)-H112,"")</f>
        <v>175.771593090211</v>
      </c>
      <c r="L112" s="36" t="str">
        <f aca="false">IF(K112&lt;-10,"MUITO ADIANTADO",IF(K112&lt;-6,"ADIANTADO",IF(K112&lt;6,"EM DIAS",IF(K112&lt;12,"ATRASADO","MUITO ATRASADO"))))</f>
        <v>MUITO ATRASADO</v>
      </c>
      <c r="M112" s="39" t="n">
        <v>45450</v>
      </c>
      <c r="N112" s="55" t="n">
        <f aca="false">$B$2-M112</f>
        <v>721</v>
      </c>
      <c r="O112" s="56" t="str">
        <f aca="false">IF(N112&lt;8,"VERIFICADO",IF(N112&lt;15,"VERIFICAR","VERIFICAR URGENTE"))</f>
        <v>VERIFICAR URGENTE</v>
      </c>
      <c r="P112" s="40"/>
      <c r="Q112" s="40"/>
      <c r="R112" s="40"/>
      <c r="S112" s="40"/>
      <c r="T112" s="40"/>
      <c r="U112" s="40"/>
    </row>
    <row r="113" customFormat="false" ht="15.75" hidden="false" customHeight="true" outlineLevel="0" collapsed="false">
      <c r="A113" s="40" t="s">
        <v>606</v>
      </c>
      <c r="B113" s="57" t="n">
        <f aca="false">M113</f>
        <v>45450</v>
      </c>
      <c r="C113" s="34" t="n">
        <v>45118</v>
      </c>
      <c r="D113" s="34" t="n">
        <v>45668</v>
      </c>
      <c r="E113" s="35" t="n">
        <f aca="false">(D113-C113)/7</f>
        <v>78.5714285714286</v>
      </c>
      <c r="F113" s="35" t="n">
        <f aca="false">($B$2-C113)/7</f>
        <v>150.428571428571</v>
      </c>
      <c r="G113" s="36" t="n">
        <v>80</v>
      </c>
      <c r="H113" s="36" t="n">
        <v>42</v>
      </c>
      <c r="I113" s="37"/>
      <c r="J113" s="37"/>
      <c r="K113" s="38" t="n">
        <f aca="false">IFERROR(((F113*G113)/E113)-H113,"")</f>
        <v>111.163636363636</v>
      </c>
      <c r="L113" s="36" t="str">
        <f aca="false">IF(K113&lt;-10,"MUITO ADIANTADO",IF(K113&lt;-6,"ADIANTADO",IF(K113&lt;6,"EM DIAS",IF(K113&lt;12,"ATRASADO","MUITO ATRASADO"))))</f>
        <v>MUITO ATRASADO</v>
      </c>
      <c r="M113" s="39" t="n">
        <v>45450</v>
      </c>
      <c r="N113" s="55" t="n">
        <f aca="false">$B$2-M113</f>
        <v>721</v>
      </c>
      <c r="O113" s="56" t="str">
        <f aca="false">IF(N113&lt;8,"VERIFICADO",IF(N113&lt;15,"VERIFICAR","VERIFICAR URGENTE"))</f>
        <v>VERIFICAR URGENTE</v>
      </c>
      <c r="P113" s="40"/>
      <c r="Q113" s="40"/>
      <c r="R113" s="40"/>
      <c r="S113" s="40"/>
      <c r="T113" s="40"/>
      <c r="U113" s="40"/>
    </row>
    <row r="114" customFormat="false" ht="15.75" hidden="false" customHeight="true" outlineLevel="0" collapsed="false">
      <c r="A114" s="41" t="s">
        <v>607</v>
      </c>
      <c r="B114" s="57" t="n">
        <f aca="false">M114</f>
        <v>45450</v>
      </c>
      <c r="C114" s="34" t="n">
        <v>45142</v>
      </c>
      <c r="D114" s="34" t="n">
        <v>45709</v>
      </c>
      <c r="E114" s="35" t="n">
        <f aca="false">(D114-C114)/7</f>
        <v>81</v>
      </c>
      <c r="F114" s="35" t="n">
        <f aca="false">($B$2-C114)/7</f>
        <v>147</v>
      </c>
      <c r="G114" s="36" t="n">
        <v>80</v>
      </c>
      <c r="H114" s="36" t="n">
        <v>38</v>
      </c>
      <c r="I114" s="37"/>
      <c r="J114" s="37"/>
      <c r="K114" s="38" t="n">
        <f aca="false">IFERROR(((F114*G114)/E114)-H114,"")</f>
        <v>107.185185185185</v>
      </c>
      <c r="L114" s="36" t="str">
        <f aca="false">IF(K114&lt;-10,"MUITO ADIANTADO",IF(K114&lt;-6,"ADIANTADO",IF(K114&lt;6,"EM DIAS",IF(K114&lt;12,"ATRASADO","MUITO ATRASADO"))))</f>
        <v>MUITO ATRASADO</v>
      </c>
      <c r="M114" s="39" t="n">
        <v>45450</v>
      </c>
      <c r="N114" s="55" t="n">
        <f aca="false">$B$2-M114</f>
        <v>721</v>
      </c>
      <c r="O114" s="56" t="str">
        <f aca="false">IF(N114&lt;8,"VERIFICADO",IF(N114&lt;15,"VERIFICAR","VERIFICAR URGENTE"))</f>
        <v>VERIFICAR URGENTE</v>
      </c>
      <c r="P114" s="40"/>
      <c r="Q114" s="40"/>
      <c r="R114" s="40"/>
      <c r="S114" s="40"/>
      <c r="T114" s="40"/>
      <c r="U114" s="40"/>
    </row>
    <row r="115" customFormat="false" ht="15.75" hidden="false" customHeight="true" outlineLevel="0" collapsed="false">
      <c r="A115" s="40" t="s">
        <v>608</v>
      </c>
      <c r="B115" s="57" t="n">
        <f aca="false">M115</f>
        <v>45453</v>
      </c>
      <c r="C115" s="34" t="n">
        <v>44957</v>
      </c>
      <c r="D115" s="34" t="n">
        <v>45792</v>
      </c>
      <c r="E115" s="35" t="n">
        <f aca="false">(D115-C115)/7</f>
        <v>119.285714285714</v>
      </c>
      <c r="F115" s="35" t="n">
        <f aca="false">($B$2-C115)/7</f>
        <v>173.428571428571</v>
      </c>
      <c r="G115" s="36" t="n">
        <v>125</v>
      </c>
      <c r="H115" s="36" t="n">
        <v>52</v>
      </c>
      <c r="I115" s="37" t="n">
        <f aca="false">IFERROR(H115/G115,"")</f>
        <v>0.416</v>
      </c>
      <c r="J115" s="37" t="n">
        <f aca="false">IFERROR(F115/E115,"")</f>
        <v>1.45389221556887</v>
      </c>
      <c r="K115" s="38" t="n">
        <f aca="false">IFERROR(((F115*G115)/E115)-H115,"")</f>
        <v>129.736526946108</v>
      </c>
      <c r="L115" s="36" t="str">
        <f aca="false">IF(K115&lt;-10,"MUITO ADIANTADO",IF(K115&lt;-6,"ADIANTADO",IF(K115&lt;6,"EM DIAS",IF(K115&lt;12,"ATRASADO","MUITO ATRASADO"))))</f>
        <v>MUITO ATRASADO</v>
      </c>
      <c r="M115" s="39" t="n">
        <v>45453</v>
      </c>
      <c r="N115" s="55" t="n">
        <f aca="false">$B$2-M115</f>
        <v>718</v>
      </c>
      <c r="O115" s="56" t="str">
        <f aca="false">IF(N115&lt;8,"VERIFICADO",IF(N115&lt;15,"VERIFICAR","VERIFICAR URGENTE"))</f>
        <v>VERIFICAR URGENTE</v>
      </c>
      <c r="P115" s="40"/>
      <c r="Q115" s="40"/>
      <c r="R115" s="40"/>
      <c r="S115" s="40"/>
      <c r="T115" s="40"/>
      <c r="U115" s="40"/>
    </row>
    <row r="116" customFormat="false" ht="15.75" hidden="false" customHeight="true" outlineLevel="0" collapsed="false">
      <c r="A116" s="40" t="s">
        <v>609</v>
      </c>
      <c r="B116" s="57" t="n">
        <f aca="false">M116</f>
        <v>45450</v>
      </c>
      <c r="C116" s="34" t="n">
        <v>45031</v>
      </c>
      <c r="D116" s="34" t="n">
        <v>45521</v>
      </c>
      <c r="E116" s="35" t="n">
        <f aca="false">(D116-C116)/7</f>
        <v>70</v>
      </c>
      <c r="F116" s="35" t="n">
        <f aca="false">($B$2-C116)/7</f>
        <v>162.857142857143</v>
      </c>
      <c r="G116" s="36" t="n">
        <v>80</v>
      </c>
      <c r="H116" s="36" t="n">
        <v>52</v>
      </c>
      <c r="I116" s="37" t="n">
        <f aca="false">IFERROR(H116/G116,"")</f>
        <v>0.65</v>
      </c>
      <c r="J116" s="37" t="n">
        <f aca="false">IFERROR(F116/E116,"")</f>
        <v>2.3265306122449</v>
      </c>
      <c r="K116" s="38" t="n">
        <f aca="false">IFERROR(((F116*G116)/E116)-H116,"")</f>
        <v>134.122448979592</v>
      </c>
      <c r="L116" s="36" t="str">
        <f aca="false">IF(K116&lt;-10,"MUITO ADIANTADO",IF(K116&lt;-6,"ADIANTADO",IF(K116&lt;6,"EM DIAS",IF(K116&lt;12,"ATRASADO","MUITO ATRASADO"))))</f>
        <v>MUITO ATRASADO</v>
      </c>
      <c r="M116" s="39" t="n">
        <v>45450</v>
      </c>
      <c r="N116" s="55" t="n">
        <f aca="false">$B$2-M116</f>
        <v>721</v>
      </c>
      <c r="O116" s="56" t="str">
        <f aca="false">IF(N116&lt;8,"VERIFICADO",IF(N116&lt;15,"VERIFICAR","VERIFICAR URGENTE"))</f>
        <v>VERIFICAR URGENTE</v>
      </c>
      <c r="P116" s="40"/>
      <c r="Q116" s="40"/>
      <c r="R116" s="40"/>
      <c r="S116" s="40"/>
      <c r="T116" s="40"/>
      <c r="U116" s="40"/>
    </row>
    <row r="117" customFormat="false" ht="15.75" hidden="false" customHeight="true" outlineLevel="0" collapsed="false">
      <c r="A117" s="40" t="s">
        <v>184</v>
      </c>
      <c r="B117" s="57" t="n">
        <f aca="false">M117</f>
        <v>45450</v>
      </c>
      <c r="C117" s="34" t="n">
        <v>44900</v>
      </c>
      <c r="D117" s="34" t="n">
        <v>46168</v>
      </c>
      <c r="E117" s="35" t="n">
        <f aca="false">(D117-C117)/7</f>
        <v>181.142857142857</v>
      </c>
      <c r="F117" s="35" t="n">
        <f aca="false">($B$2-C117)/7</f>
        <v>181.571428571429</v>
      </c>
      <c r="G117" s="36" t="n">
        <v>253</v>
      </c>
      <c r="H117" s="36" t="n">
        <v>75</v>
      </c>
      <c r="I117" s="37" t="n">
        <f aca="false">IFERROR(H117/G117,"")</f>
        <v>0.296442687747036</v>
      </c>
      <c r="J117" s="37" t="n">
        <f aca="false">IFERROR(F117/E117,"")</f>
        <v>1.00236593059937</v>
      </c>
      <c r="K117" s="38" t="n">
        <f aca="false">IFERROR(((F117*G117)/E117)-H117,"")</f>
        <v>178.598580441641</v>
      </c>
      <c r="L117" s="36" t="str">
        <f aca="false">IF(K117&lt;-10,"MUITO ADIANTADO",IF(K117&lt;-6,"ADIANTADO",IF(K117&lt;6,"EM DIAS",IF(K117&lt;12,"ATRASADO","MUITO ATRASADO"))))</f>
        <v>MUITO ATRASADO</v>
      </c>
      <c r="M117" s="39" t="n">
        <v>45450</v>
      </c>
      <c r="N117" s="55" t="n">
        <f aca="false">$B$2-M117</f>
        <v>721</v>
      </c>
      <c r="O117" s="56" t="str">
        <f aca="false">IF(N117&lt;8,"VERIFICADO",IF(N117&lt;15,"VERIFICAR","VERIFICAR URGENTE"))</f>
        <v>VERIFICAR URGENTE</v>
      </c>
      <c r="P117" s="40"/>
      <c r="Q117" s="40"/>
      <c r="R117" s="40"/>
      <c r="S117" s="40"/>
      <c r="T117" s="40"/>
      <c r="U117" s="40"/>
    </row>
    <row r="118" customFormat="false" ht="15.75" hidden="false" customHeight="true" outlineLevel="0" collapsed="false">
      <c r="A118" s="40" t="s">
        <v>610</v>
      </c>
      <c r="B118" s="57" t="n">
        <f aca="false">M118</f>
        <v>45450</v>
      </c>
      <c r="C118" s="34" t="n">
        <v>45429</v>
      </c>
      <c r="D118" s="34" t="n">
        <v>45955</v>
      </c>
      <c r="E118" s="35" t="n">
        <f aca="false">(D118-C118)/7</f>
        <v>75.1428571428571</v>
      </c>
      <c r="F118" s="35" t="n">
        <f aca="false">($B$2-C118)/7</f>
        <v>106</v>
      </c>
      <c r="G118" s="36" t="n">
        <v>80</v>
      </c>
      <c r="H118" s="36" t="n">
        <v>1</v>
      </c>
      <c r="I118" s="37"/>
      <c r="J118" s="37"/>
      <c r="K118" s="38" t="n">
        <f aca="false">IFERROR(((F118*G118)/E118)-H118,"")</f>
        <v>111.851711026616</v>
      </c>
      <c r="L118" s="36" t="str">
        <f aca="false">IF(K118&lt;-10,"MUITO ADIANTADO",IF(K118&lt;-6,"ADIANTADO",IF(K118&lt;6,"EM DIAS",IF(K118&lt;12,"ATRASADO","MUITO ATRASADO"))))</f>
        <v>MUITO ATRASADO</v>
      </c>
      <c r="M118" s="39" t="n">
        <v>45450</v>
      </c>
      <c r="N118" s="55" t="n">
        <f aca="false">$B$2-M118</f>
        <v>721</v>
      </c>
      <c r="O118" s="56" t="str">
        <f aca="false">IF(N118&lt;8,"VERIFICADO",IF(N118&lt;15,"VERIFICAR","VERIFICAR URGENTE"))</f>
        <v>VERIFICAR URGENTE</v>
      </c>
      <c r="P118" s="40"/>
      <c r="Q118" s="40"/>
      <c r="R118" s="40"/>
      <c r="S118" s="40"/>
      <c r="T118" s="40"/>
      <c r="U118" s="40"/>
    </row>
    <row r="119" customFormat="false" ht="15.75" hidden="false" customHeight="true" outlineLevel="0" collapsed="false">
      <c r="A119" s="40" t="s">
        <v>484</v>
      </c>
      <c r="B119" s="57" t="n">
        <f aca="false">M119</f>
        <v>45454</v>
      </c>
      <c r="C119" s="34" t="n">
        <v>45164</v>
      </c>
      <c r="D119" s="34" t="n">
        <v>46991</v>
      </c>
      <c r="E119" s="35" t="n">
        <f aca="false">(D119-C119)/7</f>
        <v>261</v>
      </c>
      <c r="F119" s="35" t="n">
        <f aca="false">($B$2-C119)/7</f>
        <v>143.857142857143</v>
      </c>
      <c r="G119" s="36" t="n">
        <v>256</v>
      </c>
      <c r="H119" s="36" t="n">
        <v>35</v>
      </c>
      <c r="I119" s="37"/>
      <c r="J119" s="37"/>
      <c r="K119" s="38" t="n">
        <f aca="false">IFERROR(((F119*G119)/E119)-H119,"")</f>
        <v>106.101258894362</v>
      </c>
      <c r="L119" s="36" t="str">
        <f aca="false">IF(K119&lt;-10,"MUITO ADIANTADO",IF(K119&lt;-6,"ADIANTADO",IF(K119&lt;6,"EM DIAS",IF(K119&lt;12,"ATRASADO","MUITO ATRASADO"))))</f>
        <v>MUITO ATRASADO</v>
      </c>
      <c r="M119" s="39" t="n">
        <v>45454</v>
      </c>
      <c r="N119" s="55" t="n">
        <f aca="false">$B$2-M119</f>
        <v>717</v>
      </c>
      <c r="O119" s="56" t="str">
        <f aca="false">IF(N119&lt;8,"VERIFICADO",IF(N119&lt;15,"VERIFICAR","VERIFICAR URGENTE"))</f>
        <v>VERIFICAR URGENTE</v>
      </c>
      <c r="P119" s="40"/>
      <c r="Q119" s="40"/>
      <c r="R119" s="40"/>
      <c r="S119" s="40"/>
      <c r="T119" s="40"/>
      <c r="U119" s="40"/>
    </row>
    <row r="120" customFormat="false" ht="15.75" hidden="false" customHeight="true" outlineLevel="0" collapsed="false">
      <c r="A120" s="40" t="s">
        <v>611</v>
      </c>
      <c r="B120" s="57" t="n">
        <f aca="false">M120</f>
        <v>45454</v>
      </c>
      <c r="C120" s="34" t="n">
        <v>44936</v>
      </c>
      <c r="D120" s="34" t="n">
        <v>45785</v>
      </c>
      <c r="E120" s="35" t="n">
        <f aca="false">(D120-C120)/7</f>
        <v>121.285714285714</v>
      </c>
      <c r="F120" s="35" t="n">
        <f aca="false">($B$2-C120)/7</f>
        <v>176.428571428571</v>
      </c>
      <c r="G120" s="36" t="n">
        <v>177</v>
      </c>
      <c r="H120" s="36" t="n">
        <v>36</v>
      </c>
      <c r="I120" s="37"/>
      <c r="J120" s="37"/>
      <c r="K120" s="38" t="n">
        <f aca="false">IFERROR(((F120*G120)/E120)-H120,"")</f>
        <v>221.473498233216</v>
      </c>
      <c r="L120" s="36" t="str">
        <f aca="false">IF(K120&lt;-10,"MUITO ADIANTADO",IF(K120&lt;-6,"ADIANTADO",IF(K120&lt;6,"EM DIAS",IF(K120&lt;12,"ATRASADO","MUITO ATRASADO"))))</f>
        <v>MUITO ATRASADO</v>
      </c>
      <c r="M120" s="39" t="n">
        <v>45454</v>
      </c>
      <c r="N120" s="55" t="n">
        <f aca="false">$B$2-M120</f>
        <v>717</v>
      </c>
      <c r="O120" s="56" t="str">
        <f aca="false">IF(N120&lt;8,"VERIFICADO",IF(N120&lt;15,"VERIFICAR","VERIFICAR URGENTE"))</f>
        <v>VERIFICAR URGENTE</v>
      </c>
      <c r="P120" s="40"/>
      <c r="Q120" s="40"/>
      <c r="R120" s="40"/>
      <c r="S120" s="40"/>
      <c r="T120" s="40"/>
      <c r="U120" s="40"/>
    </row>
    <row r="121" customFormat="false" ht="15.75" hidden="false" customHeight="true" outlineLevel="0" collapsed="false">
      <c r="A121" s="40" t="s">
        <v>612</v>
      </c>
      <c r="B121" s="57" t="n">
        <f aca="false">M121</f>
        <v>45451</v>
      </c>
      <c r="C121" s="34" t="n">
        <v>44885</v>
      </c>
      <c r="D121" s="34" t="n">
        <v>46132</v>
      </c>
      <c r="E121" s="35" t="n">
        <f aca="false">(D121-C121)/7</f>
        <v>178.142857142857</v>
      </c>
      <c r="F121" s="35" t="n">
        <f aca="false">($B$2-C121)/7</f>
        <v>183.714285714286</v>
      </c>
      <c r="G121" s="36" t="n">
        <v>251</v>
      </c>
      <c r="H121" s="36" t="n">
        <v>54</v>
      </c>
      <c r="I121" s="37" t="n">
        <f aca="false">IFERROR(H121/G121,"")</f>
        <v>0.215139442231076</v>
      </c>
      <c r="J121" s="37" t="n">
        <f aca="false">IFERROR(F121/E121,"")</f>
        <v>1.03127506014435</v>
      </c>
      <c r="K121" s="38" t="n">
        <f aca="false">IFERROR(((F121*G121)/E121)-H121,"")</f>
        <v>204.850040096231</v>
      </c>
      <c r="L121" s="36" t="str">
        <f aca="false">IF(K121&lt;-10,"MUITO ADIANTADO",IF(K121&lt;-6,"ADIANTADO",IF(K121&lt;6,"EM DIAS",IF(K121&lt;12,"ATRASADO","MUITO ATRASADO"))))</f>
        <v>MUITO ATRASADO</v>
      </c>
      <c r="M121" s="39" t="n">
        <v>45451</v>
      </c>
      <c r="N121" s="55" t="n">
        <f aca="false">$B$2-M121</f>
        <v>720</v>
      </c>
      <c r="O121" s="56" t="str">
        <f aca="false">IF(N121&lt;8,"VERIFICADO",IF(N121&lt;15,"VERIFICAR","VERIFICAR URGENTE"))</f>
        <v>VERIFICAR URGENTE</v>
      </c>
      <c r="P121" s="40"/>
      <c r="Q121" s="40"/>
      <c r="R121" s="40"/>
      <c r="S121" s="40"/>
      <c r="T121" s="40"/>
      <c r="U121" s="40"/>
    </row>
    <row r="122" customFormat="false" ht="15.75" hidden="false" customHeight="true" outlineLevel="0" collapsed="false">
      <c r="A122" s="40" t="s">
        <v>613</v>
      </c>
      <c r="B122" s="57" t="n">
        <f aca="false">M122</f>
        <v>45451</v>
      </c>
      <c r="C122" s="34" t="n">
        <v>45117</v>
      </c>
      <c r="D122" s="34" t="n">
        <v>46738</v>
      </c>
      <c r="E122" s="35" t="n">
        <f aca="false">(D122-C122)/7</f>
        <v>231.571428571429</v>
      </c>
      <c r="F122" s="35" t="n">
        <f aca="false">($B$2-C122)/7</f>
        <v>150.571428571429</v>
      </c>
      <c r="G122" s="36" t="n">
        <v>272</v>
      </c>
      <c r="H122" s="36" t="n">
        <v>34</v>
      </c>
      <c r="I122" s="37" t="n">
        <f aca="false">IFERROR(H122/G122,"")</f>
        <v>0.125</v>
      </c>
      <c r="J122" s="37" t="n">
        <f aca="false">IFERROR(F122/E122,"")</f>
        <v>0.650215916101171</v>
      </c>
      <c r="K122" s="38" t="n">
        <f aca="false">IFERROR(((F122*G122)/E122)-H122,"")</f>
        <v>142.858729179519</v>
      </c>
      <c r="L122" s="36" t="str">
        <f aca="false">IF(K122&lt;-10,"MUITO ADIANTADO",IF(K122&lt;-6,"ADIANTADO",IF(K122&lt;6,"EM DIAS",IF(K122&lt;12,"ATRASADO","MUITO ATRASADO"))))</f>
        <v>MUITO ATRASADO</v>
      </c>
      <c r="M122" s="39" t="n">
        <v>45451</v>
      </c>
      <c r="N122" s="55" t="n">
        <f aca="false">$B$2-M122</f>
        <v>720</v>
      </c>
      <c r="O122" s="56" t="str">
        <f aca="false">IF(N122&lt;8,"VERIFICADO",IF(N122&lt;15,"VERIFICAR","VERIFICAR URGENTE"))</f>
        <v>VERIFICAR URGENTE</v>
      </c>
      <c r="P122" s="40"/>
      <c r="Q122" s="40"/>
      <c r="R122" s="40"/>
      <c r="S122" s="40"/>
      <c r="T122" s="40"/>
      <c r="U122" s="40"/>
    </row>
    <row r="123" customFormat="false" ht="15.75" hidden="false" customHeight="true" outlineLevel="0" collapsed="false">
      <c r="A123" s="40" t="s">
        <v>614</v>
      </c>
      <c r="B123" s="57" t="n">
        <f aca="false">M123</f>
        <v>45451</v>
      </c>
      <c r="C123" s="34" t="n">
        <v>45185</v>
      </c>
      <c r="D123" s="34" t="n">
        <v>45732</v>
      </c>
      <c r="E123" s="35" t="n">
        <f aca="false">(D123-C123)/7</f>
        <v>78.1428571428571</v>
      </c>
      <c r="F123" s="35" t="n">
        <f aca="false">($B$2-C123)/7</f>
        <v>140.857142857143</v>
      </c>
      <c r="G123" s="36" t="n">
        <v>96</v>
      </c>
      <c r="H123" s="36" t="n">
        <v>50</v>
      </c>
      <c r="I123" s="37"/>
      <c r="J123" s="37"/>
      <c r="K123" s="38" t="n">
        <f aca="false">IFERROR(((F123*G123)/E123)-H123,"")</f>
        <v>123.045703839123</v>
      </c>
      <c r="L123" s="36" t="str">
        <f aca="false">IF(K123&lt;-10,"MUITO ADIANTADO",IF(K123&lt;-6,"ADIANTADO",IF(K123&lt;6,"EM DIAS",IF(K123&lt;12,"ATRASADO","MUITO ATRASADO"))))</f>
        <v>MUITO ATRASADO</v>
      </c>
      <c r="M123" s="39" t="n">
        <v>45451</v>
      </c>
      <c r="N123" s="55" t="n">
        <f aca="false">$B$2-M123</f>
        <v>720</v>
      </c>
      <c r="O123" s="56" t="str">
        <f aca="false">IF(N123&lt;8,"VERIFICADO",IF(N123&lt;15,"VERIFICAR","VERIFICAR URGENTE"))</f>
        <v>VERIFICAR URGENTE</v>
      </c>
      <c r="P123" s="40"/>
      <c r="Q123" s="40"/>
      <c r="R123" s="40"/>
      <c r="S123" s="40"/>
      <c r="T123" s="40"/>
      <c r="U123" s="40"/>
    </row>
    <row r="124" customFormat="false" ht="15.75" hidden="false" customHeight="true" outlineLevel="0" collapsed="false">
      <c r="A124" s="69" t="s">
        <v>615</v>
      </c>
      <c r="B124" s="57" t="n">
        <f aca="false">M124</f>
        <v>45451</v>
      </c>
      <c r="C124" s="34" t="n">
        <v>45276</v>
      </c>
      <c r="D124" s="34" t="n">
        <v>45793</v>
      </c>
      <c r="E124" s="35" t="n">
        <f aca="false">(D124-C124)/7</f>
        <v>73.8571428571429</v>
      </c>
      <c r="F124" s="35" t="n">
        <f aca="false">($B$2-C124)/7</f>
        <v>127.857142857143</v>
      </c>
      <c r="G124" s="36" t="n">
        <v>80</v>
      </c>
      <c r="H124" s="36" t="n">
        <v>28</v>
      </c>
      <c r="I124" s="36" t="n">
        <v>9</v>
      </c>
      <c r="J124" s="36" t="n">
        <v>9</v>
      </c>
      <c r="K124" s="38" t="n">
        <f aca="false">IFERROR(((F124*G124)/E124)-H124,"")</f>
        <v>110.491295938104</v>
      </c>
      <c r="L124" s="36" t="str">
        <f aca="false">IF(K124&lt;-10,"MUITO ADIANTADO",IF(K124&lt;-6,"ADIANTADO",IF(K124&lt;6,"EM DIAS",IF(K124&lt;12,"ATRASADO","MUITO ATRASADO"))))</f>
        <v>MUITO ATRASADO</v>
      </c>
      <c r="M124" s="39" t="n">
        <v>45451</v>
      </c>
      <c r="N124" s="55" t="n">
        <f aca="false">$B$2-M124</f>
        <v>720</v>
      </c>
      <c r="O124" s="56" t="str">
        <f aca="false">IF(N124&lt;8,"VERIFICADO",IF(N124&lt;15,"VERIFICAR","VERIFICAR URGENTE"))</f>
        <v>VERIFICAR URGENTE</v>
      </c>
      <c r="P124" s="40"/>
      <c r="Q124" s="40"/>
      <c r="R124" s="40"/>
      <c r="S124" s="40"/>
      <c r="T124" s="40"/>
      <c r="U124" s="40"/>
    </row>
    <row r="125" customFormat="false" ht="15.75" hidden="false" customHeight="true" outlineLevel="0" collapsed="false">
      <c r="A125" s="40" t="s">
        <v>531</v>
      </c>
      <c r="B125" s="57" t="n">
        <f aca="false">M125</f>
        <v>45450</v>
      </c>
      <c r="C125" s="34" t="n">
        <v>45324</v>
      </c>
      <c r="D125" s="34" t="n">
        <v>45414</v>
      </c>
      <c r="E125" s="35" t="n">
        <f aca="false">(D125-C125)/7</f>
        <v>12.8571428571429</v>
      </c>
      <c r="F125" s="35" t="n">
        <f aca="false">($B$2-C125)/7</f>
        <v>121</v>
      </c>
      <c r="G125" s="36" t="n">
        <v>16</v>
      </c>
      <c r="H125" s="36" t="n">
        <v>9</v>
      </c>
      <c r="I125" s="37"/>
      <c r="J125" s="37"/>
      <c r="K125" s="38" t="n">
        <f aca="false">IFERROR(((F125*G125)/E125)-H125,"")</f>
        <v>141.577777777777</v>
      </c>
      <c r="L125" s="36" t="str">
        <f aca="false">IF(K125&lt;-10,"MUITO ADIANTADO",IF(K125&lt;-6,"ADIANTADO",IF(K125&lt;6,"EM DIAS",IF(K125&lt;12,"ATRASADO","MUITO ATRASADO"))))</f>
        <v>MUITO ATRASADO</v>
      </c>
      <c r="M125" s="39" t="n">
        <v>45450</v>
      </c>
      <c r="N125" s="55" t="n">
        <f aca="false">$B$2-M125</f>
        <v>721</v>
      </c>
      <c r="O125" s="41" t="str">
        <f aca="false">IF(N125&lt;8,"VERIFICADO",IF(N125&lt;15,"VERIFICAR","VERIFICAR URGENTE"))</f>
        <v>VERIFICAR URGENTE</v>
      </c>
      <c r="P125" s="40"/>
      <c r="Q125" s="40"/>
      <c r="R125" s="40"/>
      <c r="S125" s="40"/>
      <c r="T125" s="40"/>
      <c r="U125" s="40"/>
    </row>
    <row r="126" customFormat="false" ht="15.75" hidden="false" customHeight="true" outlineLevel="0" collapsed="false">
      <c r="A126" s="40" t="s">
        <v>616</v>
      </c>
      <c r="B126" s="57" t="n">
        <f aca="false">M126</f>
        <v>45450</v>
      </c>
      <c r="C126" s="34" t="n">
        <v>45373</v>
      </c>
      <c r="D126" s="34" t="n">
        <v>47140</v>
      </c>
      <c r="E126" s="35" t="n">
        <f aca="false">(D126-C126)/7</f>
        <v>252.428571428571</v>
      </c>
      <c r="F126" s="35" t="n">
        <f aca="false">($B$2-C126)/7</f>
        <v>114</v>
      </c>
      <c r="G126" s="36" t="n">
        <v>80</v>
      </c>
      <c r="H126" s="36" t="n">
        <v>15</v>
      </c>
      <c r="I126" s="37"/>
      <c r="J126" s="37"/>
      <c r="K126" s="38" t="n">
        <f aca="false">IFERROR(((F126*G126)/E126)-H126,"")</f>
        <v>21.1290322580646</v>
      </c>
      <c r="L126" s="36" t="str">
        <f aca="false">IF(K126&lt;-10,"MUITO ADIANTADO",IF(K126&lt;-6,"ADIANTADO",IF(K126&lt;6,"EM DIAS",IF(K126&lt;12,"ATRASADO","MUITO ATRASADO"))))</f>
        <v>MUITO ATRASADO</v>
      </c>
      <c r="M126" s="39" t="n">
        <v>45450</v>
      </c>
      <c r="N126" s="55" t="n">
        <f aca="false">$B$2-M126</f>
        <v>721</v>
      </c>
      <c r="O126" s="56" t="str">
        <f aca="false">IF(N126&lt;8,"VERIFICADO",IF(N126&lt;15,"VERIFICAR","VERIFICAR URGENTE"))</f>
        <v>VERIFICAR URGENTE</v>
      </c>
      <c r="P126" s="40"/>
      <c r="Q126" s="40"/>
      <c r="R126" s="40"/>
      <c r="S126" s="40"/>
      <c r="T126" s="40"/>
      <c r="U126" s="40"/>
    </row>
    <row r="127" customFormat="false" ht="15.75" hidden="false" customHeight="true" outlineLevel="0" collapsed="false">
      <c r="A127" s="40" t="s">
        <v>617</v>
      </c>
      <c r="B127" s="57" t="n">
        <f aca="false">M127</f>
        <v>45449</v>
      </c>
      <c r="C127" s="34" t="n">
        <v>45383</v>
      </c>
      <c r="D127" s="34" t="n">
        <v>45771</v>
      </c>
      <c r="E127" s="35" t="n">
        <f aca="false">(D127-C127)/7</f>
        <v>55.4285714285714</v>
      </c>
      <c r="F127" s="35" t="n">
        <f aca="false">($B$2-C127)/7</f>
        <v>112.571428571429</v>
      </c>
      <c r="G127" s="36" t="n">
        <v>400</v>
      </c>
      <c r="H127" s="36" t="n">
        <v>0</v>
      </c>
      <c r="I127" s="37"/>
      <c r="J127" s="37"/>
      <c r="K127" s="38" t="n">
        <f aca="false">IFERROR(((F127*G127)/E127)-H127,"")</f>
        <v>812.371134020619</v>
      </c>
      <c r="L127" s="36" t="str">
        <f aca="false">IF(K127&lt;-10,"MUITO ADIANTADO",IF(K127&lt;-6,"ADIANTADO",IF(K127&lt;6,"EM DIAS",IF(K127&lt;12,"ATRASADO","MUITO ATRASADO"))))</f>
        <v>MUITO ATRASADO</v>
      </c>
      <c r="M127" s="39" t="n">
        <v>45449</v>
      </c>
      <c r="N127" s="55" t="n">
        <f aca="false">$B$2-M127</f>
        <v>722</v>
      </c>
      <c r="O127" s="56" t="str">
        <f aca="false">IF(N127&lt;8,"VERIFICADO",IF(N127&lt;15,"VERIFICAR","VERIFICAR URGENTE"))</f>
        <v>VERIFICAR URGENTE</v>
      </c>
      <c r="P127" s="40"/>
      <c r="Q127" s="40"/>
      <c r="R127" s="40"/>
      <c r="S127" s="40"/>
      <c r="T127" s="40"/>
      <c r="U127" s="40"/>
    </row>
    <row r="128" customFormat="false" ht="15.75" hidden="false" customHeight="true" outlineLevel="0" collapsed="false">
      <c r="A128" s="40" t="s">
        <v>618</v>
      </c>
      <c r="B128" s="57" t="n">
        <f aca="false">M128</f>
        <v>45450</v>
      </c>
      <c r="C128" s="34" t="n">
        <v>45219</v>
      </c>
      <c r="D128" s="34" t="n">
        <v>45708</v>
      </c>
      <c r="E128" s="35" t="n">
        <f aca="false">(D128-C128)/7</f>
        <v>69.8571428571429</v>
      </c>
      <c r="F128" s="35" t="n">
        <f aca="false">($B$2-C128)/7</f>
        <v>136</v>
      </c>
      <c r="G128" s="36" t="n">
        <v>80</v>
      </c>
      <c r="H128" s="36" t="n">
        <v>37</v>
      </c>
      <c r="I128" s="37"/>
      <c r="J128" s="37"/>
      <c r="K128" s="38" t="n">
        <f aca="false">IFERROR(((F128*G128)/E128)-H128,"")</f>
        <v>118.746421267894</v>
      </c>
      <c r="L128" s="36" t="str">
        <f aca="false">IF(K128&lt;-10,"MUITO ADIANTADO",IF(K128&lt;-6,"ADIANTADO",IF(K128&lt;6,"EM DIAS",IF(K128&lt;12,"ATRASADO","MUITO ATRASADO"))))</f>
        <v>MUITO ATRASADO</v>
      </c>
      <c r="M128" s="39" t="n">
        <v>45450</v>
      </c>
      <c r="N128" s="55" t="n">
        <f aca="false">$B$2-M128</f>
        <v>721</v>
      </c>
      <c r="O128" s="56" t="str">
        <f aca="false">IF(N128&lt;8,"VERIFICADO",IF(N128&lt;15,"VERIFICAR","VERIFICAR URGENTE"))</f>
        <v>VERIFICAR URGENTE</v>
      </c>
      <c r="P128" s="40"/>
      <c r="Q128" s="40"/>
      <c r="R128" s="40"/>
      <c r="S128" s="40"/>
      <c r="T128" s="40"/>
      <c r="U128" s="40"/>
    </row>
    <row r="129" customFormat="false" ht="15.75" hidden="false" customHeight="true" outlineLevel="0" collapsed="false">
      <c r="A129" s="40" t="s">
        <v>619</v>
      </c>
      <c r="B129" s="57" t="n">
        <f aca="false">M129</f>
        <v>45451</v>
      </c>
      <c r="C129" s="34" t="n">
        <v>44849</v>
      </c>
      <c r="D129" s="34" t="n">
        <v>46136</v>
      </c>
      <c r="E129" s="35" t="n">
        <f aca="false">(D129-C129)/7</f>
        <v>183.857142857143</v>
      </c>
      <c r="F129" s="35" t="n">
        <f aca="false">($B$2-C129)/7</f>
        <v>188.857142857143</v>
      </c>
      <c r="G129" s="36" t="n">
        <v>253</v>
      </c>
      <c r="H129" s="36" t="n">
        <v>65</v>
      </c>
      <c r="I129" s="37" t="n">
        <f aca="false">IFERROR(H129/G129,"")</f>
        <v>0.256916996047431</v>
      </c>
      <c r="J129" s="37" t="n">
        <f aca="false">IFERROR(F129/E129,"")</f>
        <v>1.02719502719503</v>
      </c>
      <c r="K129" s="38" t="n">
        <f aca="false">IFERROR(((F129*G129)/E129)-H129,"")</f>
        <v>194.880341880342</v>
      </c>
      <c r="L129" s="36" t="str">
        <f aca="false">IF(K129&lt;-10,"MUITO ADIANTADO",IF(K129&lt;-6,"ADIANTADO",IF(K129&lt;6,"EM DIAS",IF(K129&lt;12,"ATRASADO","MUITO ATRASADO"))))</f>
        <v>MUITO ATRASADO</v>
      </c>
      <c r="M129" s="39" t="n">
        <v>45451</v>
      </c>
      <c r="N129" s="55" t="n">
        <f aca="false">$B$2-M129</f>
        <v>720</v>
      </c>
      <c r="O129" s="56" t="str">
        <f aca="false">IF(N129&lt;8,"VERIFICADO",IF(N129&lt;15,"VERIFICAR","VERIFICAR URGENTE"))</f>
        <v>VERIFICAR URGENTE</v>
      </c>
      <c r="P129" s="40"/>
      <c r="Q129" s="40"/>
      <c r="R129" s="40"/>
      <c r="S129" s="40"/>
      <c r="T129" s="40"/>
      <c r="U129" s="40"/>
    </row>
    <row r="130" customFormat="false" ht="15.75" hidden="false" customHeight="true" outlineLevel="0" collapsed="false">
      <c r="A130" s="40" t="s">
        <v>620</v>
      </c>
      <c r="B130" s="57" t="n">
        <f aca="false">M130</f>
        <v>45451</v>
      </c>
      <c r="C130" s="34" t="n">
        <v>45073</v>
      </c>
      <c r="D130" s="34" t="n">
        <v>45619</v>
      </c>
      <c r="E130" s="35" t="n">
        <f aca="false">(D130-C130)/7</f>
        <v>78</v>
      </c>
      <c r="F130" s="35" t="n">
        <f aca="false">($B$2-C130)/7</f>
        <v>156.857142857143</v>
      </c>
      <c r="G130" s="36" t="n">
        <v>80</v>
      </c>
      <c r="H130" s="36" t="n">
        <v>65</v>
      </c>
      <c r="I130" s="37" t="n">
        <f aca="false">IFERROR(H130/G130,"")</f>
        <v>0.8125</v>
      </c>
      <c r="J130" s="37" t="n">
        <f aca="false">IFERROR(F130/E130,"")</f>
        <v>2.01098901098901</v>
      </c>
      <c r="K130" s="38" t="n">
        <f aca="false">IFERROR(((F130*G130)/E130)-H130,"")</f>
        <v>95.8791208791209</v>
      </c>
      <c r="L130" s="36" t="str">
        <f aca="false">IF(K130&lt;-10,"MUITO ADIANTADO",IF(K130&lt;-6,"ADIANTADO",IF(K130&lt;6,"EM DIAS",IF(K130&lt;12,"ATRASADO","MUITO ATRASADO"))))</f>
        <v>MUITO ATRASADO</v>
      </c>
      <c r="M130" s="39" t="n">
        <v>45451</v>
      </c>
      <c r="N130" s="55" t="n">
        <f aca="false">$B$2-M130</f>
        <v>720</v>
      </c>
      <c r="O130" s="56" t="str">
        <f aca="false">IF(N130&lt;8,"VERIFICADO",IF(N130&lt;15,"VERIFICAR","VERIFICAR URGENTE"))</f>
        <v>VERIFICAR URGENTE</v>
      </c>
      <c r="P130" s="40"/>
      <c r="Q130" s="40"/>
      <c r="R130" s="40"/>
      <c r="S130" s="40"/>
      <c r="T130" s="40"/>
      <c r="U130" s="40"/>
    </row>
    <row r="131" customFormat="false" ht="15.75" hidden="false" customHeight="true" outlineLevel="0" collapsed="false">
      <c r="A131" s="40" t="s">
        <v>621</v>
      </c>
      <c r="B131" s="57" t="n">
        <f aca="false">M131</f>
        <v>45451</v>
      </c>
      <c r="C131" s="34" t="n">
        <v>44849</v>
      </c>
      <c r="D131" s="34" t="n">
        <v>46137</v>
      </c>
      <c r="E131" s="35" t="n">
        <f aca="false">(D131-C131)/7</f>
        <v>184</v>
      </c>
      <c r="F131" s="35" t="n">
        <f aca="false">($B$2-C131)/7</f>
        <v>188.857142857143</v>
      </c>
      <c r="G131" s="36" t="n">
        <v>253</v>
      </c>
      <c r="H131" s="36" t="n">
        <v>65</v>
      </c>
      <c r="I131" s="37" t="n">
        <f aca="false">IFERROR(H131/G131,"")</f>
        <v>0.256916996047431</v>
      </c>
      <c r="J131" s="37" t="n">
        <f aca="false">IFERROR(F131/E131,"")</f>
        <v>1.02639751552795</v>
      </c>
      <c r="K131" s="38" t="n">
        <f aca="false">IFERROR(((F131*G131)/E131)-H131,"")</f>
        <v>194.678571428571</v>
      </c>
      <c r="L131" s="36" t="str">
        <f aca="false">IF(K131&lt;-10,"MUITO ADIANTADO",IF(K131&lt;-6,"ADIANTADO",IF(K131&lt;6,"EM DIAS",IF(K131&lt;12,"ATRASADO","MUITO ATRASADO"))))</f>
        <v>MUITO ATRASADO</v>
      </c>
      <c r="M131" s="39" t="n">
        <v>45451</v>
      </c>
      <c r="N131" s="55" t="n">
        <f aca="false">$B$2-M131</f>
        <v>720</v>
      </c>
      <c r="O131" s="56" t="str">
        <f aca="false">IF(N131&lt;8,"VERIFICADO",IF(N131&lt;15,"VERIFICAR","VERIFICAR URGENTE"))</f>
        <v>VERIFICAR URGENTE</v>
      </c>
      <c r="P131" s="40"/>
      <c r="Q131" s="40"/>
      <c r="R131" s="40"/>
      <c r="S131" s="40"/>
      <c r="T131" s="40"/>
      <c r="U131" s="40"/>
    </row>
    <row r="132" customFormat="false" ht="15.75" hidden="false" customHeight="true" outlineLevel="0" collapsed="false">
      <c r="A132" s="40" t="s">
        <v>107</v>
      </c>
      <c r="B132" s="57" t="n">
        <f aca="false">M132</f>
        <v>45450</v>
      </c>
      <c r="C132" s="34" t="n">
        <v>44875</v>
      </c>
      <c r="D132" s="34" t="n">
        <v>46152</v>
      </c>
      <c r="E132" s="35" t="n">
        <f aca="false">(D132-C132)/7</f>
        <v>182.428571428571</v>
      </c>
      <c r="F132" s="35" t="n">
        <f aca="false">($B$2-C132)/7</f>
        <v>185.142857142857</v>
      </c>
      <c r="G132" s="36" t="n">
        <v>253</v>
      </c>
      <c r="H132" s="36" t="n">
        <v>97</v>
      </c>
      <c r="I132" s="37" t="n">
        <f aca="false">IFERROR(H132/G132,"")</f>
        <v>0.383399209486166</v>
      </c>
      <c r="J132" s="37" t="n">
        <f aca="false">IFERROR(F132/E132,"")</f>
        <v>1.01487862176978</v>
      </c>
      <c r="K132" s="38" t="n">
        <f aca="false">IFERROR(((F132*G132)/E132)-H132,"")</f>
        <v>159.764291307753</v>
      </c>
      <c r="L132" s="36" t="str">
        <f aca="false">IF(K132&lt;-10,"MUITO ADIANTADO",IF(K132&lt;-6,"ADIANTADO",IF(K132&lt;6,"EM DIAS",IF(K132&lt;12,"ATRASADO","MUITO ATRASADO"))))</f>
        <v>MUITO ATRASADO</v>
      </c>
      <c r="M132" s="39" t="n">
        <v>45450</v>
      </c>
      <c r="N132" s="55" t="n">
        <f aca="false">$B$2-M132</f>
        <v>721</v>
      </c>
      <c r="O132" s="56" t="str">
        <f aca="false">IF(N132&lt;8,"VERIFICADO",IF(N132&lt;15,"VERIFICAR","VERIFICAR URGENTE"))</f>
        <v>VERIFICAR URGENTE</v>
      </c>
      <c r="P132" s="40"/>
      <c r="Q132" s="40"/>
      <c r="R132" s="40"/>
      <c r="S132" s="40"/>
      <c r="T132" s="40"/>
      <c r="U132" s="40"/>
    </row>
    <row r="133" customFormat="false" ht="15.75" hidden="false" customHeight="true" outlineLevel="0" collapsed="false">
      <c r="A133" s="40" t="s">
        <v>622</v>
      </c>
      <c r="B133" s="57" t="n">
        <f aca="false">M133</f>
        <v>45450</v>
      </c>
      <c r="C133" s="34" t="n">
        <v>45079</v>
      </c>
      <c r="D133" s="34" t="n">
        <v>45598</v>
      </c>
      <c r="E133" s="35" t="n">
        <f aca="false">(D133-C133)/7</f>
        <v>74.1428571428571</v>
      </c>
      <c r="F133" s="35" t="n">
        <f aca="false">($B$2-C133)/7</f>
        <v>156</v>
      </c>
      <c r="G133" s="36" t="n">
        <v>80</v>
      </c>
      <c r="H133" s="36" t="n">
        <v>61</v>
      </c>
      <c r="I133" s="37" t="n">
        <f aca="false">IFERROR(H133/G133,"")</f>
        <v>0.7625</v>
      </c>
      <c r="J133" s="37" t="n">
        <f aca="false">IFERROR(F133/E133,"")</f>
        <v>2.10404624277457</v>
      </c>
      <c r="K133" s="38" t="n">
        <f aca="false">IFERROR(((F133*G133)/E133)-H133,"")</f>
        <v>107.323699421965</v>
      </c>
      <c r="L133" s="36" t="str">
        <f aca="false">IF(K133&lt;-10,"MUITO ADIANTADO",IF(K133&lt;-6,"ADIANTADO",IF(K133&lt;6,"EM DIAS",IF(K133&lt;12,"ATRASADO","MUITO ATRASADO"))))</f>
        <v>MUITO ATRASADO</v>
      </c>
      <c r="M133" s="39" t="n">
        <v>45450</v>
      </c>
      <c r="N133" s="55" t="n">
        <f aca="false">$B$2-M133</f>
        <v>721</v>
      </c>
      <c r="O133" s="56" t="str">
        <f aca="false">IF(N133&lt;8,"VERIFICADO",IF(N133&lt;15,"VERIFICAR","VERIFICAR URGENTE"))</f>
        <v>VERIFICAR URGENTE</v>
      </c>
      <c r="P133" s="40"/>
      <c r="Q133" s="40"/>
      <c r="R133" s="40"/>
      <c r="S133" s="40"/>
      <c r="T133" s="40"/>
      <c r="U133" s="40"/>
    </row>
    <row r="134" customFormat="false" ht="15.75" hidden="false" customHeight="true" outlineLevel="0" collapsed="false">
      <c r="A134" s="40" t="s">
        <v>133</v>
      </c>
      <c r="B134" s="57" t="n">
        <f aca="false">M134</f>
        <v>45451</v>
      </c>
      <c r="C134" s="34" t="n">
        <v>44853</v>
      </c>
      <c r="D134" s="34" t="n">
        <v>46183</v>
      </c>
      <c r="E134" s="35" t="n">
        <f aca="false">(D134-C134)/7</f>
        <v>190</v>
      </c>
      <c r="F134" s="35" t="n">
        <f aca="false">($B$2-C134)/7</f>
        <v>188.285714285714</v>
      </c>
      <c r="G134" s="36" t="n">
        <v>253</v>
      </c>
      <c r="H134" s="36" t="n">
        <v>92</v>
      </c>
      <c r="I134" s="37" t="n">
        <f aca="false">IFERROR(H134/G134,"")</f>
        <v>0.363636363636364</v>
      </c>
      <c r="J134" s="37" t="n">
        <f aca="false">IFERROR(F134/E134,"")</f>
        <v>0.990977443609023</v>
      </c>
      <c r="K134" s="38" t="n">
        <f aca="false">IFERROR(((F134*G134)/E134)-H134,"")</f>
        <v>158.717293233083</v>
      </c>
      <c r="L134" s="36" t="str">
        <f aca="false">IF(K134&lt;-10,"MUITO ADIANTADO",IF(K134&lt;-6,"ADIANTADO",IF(K134&lt;6,"EM DIAS",IF(K134&lt;12,"ATRASADO","MUITO ATRASADO"))))</f>
        <v>MUITO ATRASADO</v>
      </c>
      <c r="M134" s="39" t="n">
        <v>45451</v>
      </c>
      <c r="N134" s="55" t="n">
        <f aca="false">$B$2-M134</f>
        <v>720</v>
      </c>
      <c r="O134" s="56" t="str">
        <f aca="false">IF(N134&lt;8,"VERIFICADO",IF(N134&lt;15,"VERIFICAR","VERIFICAR URGENTE"))</f>
        <v>VERIFICAR URGENTE</v>
      </c>
      <c r="P134" s="40"/>
      <c r="Q134" s="40"/>
      <c r="R134" s="40"/>
      <c r="S134" s="40"/>
      <c r="T134" s="40"/>
      <c r="U134" s="40"/>
    </row>
    <row r="135" customFormat="false" ht="15.75" hidden="false" customHeight="true" outlineLevel="0" collapsed="false">
      <c r="A135" s="40" t="s">
        <v>623</v>
      </c>
      <c r="B135" s="57" t="n">
        <f aca="false">M135</f>
        <v>45454</v>
      </c>
      <c r="C135" s="34" t="n">
        <v>45248</v>
      </c>
      <c r="D135" s="34" t="n">
        <v>45757</v>
      </c>
      <c r="E135" s="35" t="n">
        <f aca="false">(D135-C135)/7</f>
        <v>72.7142857142857</v>
      </c>
      <c r="F135" s="35" t="n">
        <f aca="false">($B$2-C135)/7</f>
        <v>131.857142857143</v>
      </c>
      <c r="G135" s="36" t="n">
        <v>80</v>
      </c>
      <c r="H135" s="36" t="n">
        <v>30</v>
      </c>
      <c r="I135" s="37"/>
      <c r="J135" s="37"/>
      <c r="K135" s="38" t="n">
        <f aca="false">IFERROR(((F135*G135)/E135)-H135,"")</f>
        <v>115.068762278978</v>
      </c>
      <c r="L135" s="36" t="str">
        <f aca="false">IF(K135&lt;-10,"MUITO ADIANTADO",IF(K135&lt;-6,"ADIANTADO",IF(K135&lt;6,"EM DIAS",IF(K135&lt;12,"ATRASADO","MUITO ATRASADO"))))</f>
        <v>MUITO ATRASADO</v>
      </c>
      <c r="M135" s="39" t="n">
        <v>45454</v>
      </c>
      <c r="N135" s="55" t="n">
        <f aca="false">$B$2-M135</f>
        <v>717</v>
      </c>
      <c r="O135" s="56" t="str">
        <f aca="false">IF(N135&lt;8,"VERIFICADO",IF(N135&lt;15,"VERIFICAR","VERIFICAR URGENTE"))</f>
        <v>VERIFICAR URGENTE</v>
      </c>
      <c r="P135" s="40"/>
      <c r="Q135" s="40"/>
      <c r="R135" s="40"/>
      <c r="S135" s="40"/>
      <c r="T135" s="40"/>
      <c r="U135" s="40"/>
    </row>
    <row r="136" customFormat="false" ht="15.75" hidden="false" customHeight="true" outlineLevel="0" collapsed="false">
      <c r="A136" s="40" t="s">
        <v>624</v>
      </c>
      <c r="B136" s="57" t="n">
        <f aca="false">M136</f>
        <v>45451</v>
      </c>
      <c r="C136" s="34" t="n">
        <v>44781</v>
      </c>
      <c r="D136" s="34" t="n">
        <v>45545</v>
      </c>
      <c r="E136" s="35" t="n">
        <f aca="false">(D136-C136)/7</f>
        <v>109.142857142857</v>
      </c>
      <c r="F136" s="35" t="n">
        <f aca="false">($B$2-C136)/7</f>
        <v>198.571428571429</v>
      </c>
      <c r="G136" s="36" t="n">
        <v>76</v>
      </c>
      <c r="H136" s="36" t="n">
        <v>51</v>
      </c>
      <c r="I136" s="37" t="n">
        <f aca="false">IFERROR(H136/G136,"")</f>
        <v>0.671052631578947</v>
      </c>
      <c r="J136" s="37" t="n">
        <f aca="false">IFERROR(F136/E136,"")</f>
        <v>1.81937172774869</v>
      </c>
      <c r="K136" s="38" t="n">
        <f aca="false">IFERROR(((F136*G136)/E136)-H136,"")</f>
        <v>87.2722513089007</v>
      </c>
      <c r="L136" s="36" t="str">
        <f aca="false">IF(K136&lt;-10,"MUITO ADIANTADO",IF(K136&lt;-6,"ADIANTADO",IF(K136&lt;6,"EM DIAS",IF(K136&lt;12,"ATRASADO","MUITO ATRASADO"))))</f>
        <v>MUITO ATRASADO</v>
      </c>
      <c r="M136" s="39" t="n">
        <v>45451</v>
      </c>
      <c r="N136" s="55" t="n">
        <f aca="false">$B$2-M136</f>
        <v>720</v>
      </c>
      <c r="O136" s="56" t="str">
        <f aca="false">IF(N136&lt;8,"VERIFICADO",IF(N136&lt;15,"VERIFICAR","VERIFICAR URGENTE"))</f>
        <v>VERIFICAR URGENTE</v>
      </c>
      <c r="P136" s="40"/>
      <c r="Q136" s="40"/>
      <c r="R136" s="40"/>
      <c r="S136" s="40"/>
      <c r="T136" s="40"/>
      <c r="U136" s="40"/>
    </row>
    <row r="137" customFormat="false" ht="15.75" hidden="false" customHeight="true" outlineLevel="0" collapsed="false">
      <c r="A137" s="40" t="s">
        <v>625</v>
      </c>
      <c r="B137" s="57" t="n">
        <f aca="false">M137</f>
        <v>45450</v>
      </c>
      <c r="C137" s="34" t="n">
        <v>44737</v>
      </c>
      <c r="D137" s="34" t="n">
        <v>45713</v>
      </c>
      <c r="E137" s="35" t="n">
        <f aca="false">(D137-C137)/7</f>
        <v>139.428571428571</v>
      </c>
      <c r="F137" s="35" t="n">
        <f aca="false">($B$2-C137)/7</f>
        <v>204.857142857143</v>
      </c>
      <c r="G137" s="36" t="n">
        <v>177</v>
      </c>
      <c r="H137" s="36" t="n">
        <v>133</v>
      </c>
      <c r="I137" s="37" t="n">
        <f aca="false">IFERROR(H137/G137,"")</f>
        <v>0.751412429378531</v>
      </c>
      <c r="J137" s="37" t="n">
        <f aca="false">IFERROR(F137/E137,"")</f>
        <v>1.46926229508197</v>
      </c>
      <c r="K137" s="38" t="n">
        <f aca="false">IFERROR(((F137*G137)/E137)-H137,"")</f>
        <v>127.059426229509</v>
      </c>
      <c r="L137" s="36" t="str">
        <f aca="false">IF(K137&lt;-10,"MUITO ADIANTADO",IF(K137&lt;-6,"ADIANTADO",IF(K137&lt;6,"EM DIAS",IF(K137&lt;12,"ATRASADO","MUITO ATRASADO"))))</f>
        <v>MUITO ATRASADO</v>
      </c>
      <c r="M137" s="39" t="n">
        <v>45450</v>
      </c>
      <c r="N137" s="55" t="n">
        <f aca="false">$B$2-M137</f>
        <v>721</v>
      </c>
      <c r="O137" s="56" t="str">
        <f aca="false">IF(N137&lt;8,"VERIFICADO",IF(N137&lt;15,"VERIFICAR","VERIFICAR URGENTE"))</f>
        <v>VERIFICAR URGENTE</v>
      </c>
      <c r="P137" s="40"/>
      <c r="Q137" s="40"/>
      <c r="R137" s="40"/>
      <c r="S137" s="40"/>
      <c r="T137" s="40"/>
      <c r="U137" s="40"/>
    </row>
    <row r="138" customFormat="false" ht="15.75" hidden="false" customHeight="true" outlineLevel="0" collapsed="false">
      <c r="A138" s="40" t="s">
        <v>333</v>
      </c>
      <c r="B138" s="57" t="n">
        <f aca="false">M138</f>
        <v>45450</v>
      </c>
      <c r="C138" s="34" t="n">
        <v>45030</v>
      </c>
      <c r="D138" s="34" t="n">
        <v>46606</v>
      </c>
      <c r="E138" s="35" t="n">
        <f aca="false">(D138-C138)/7</f>
        <v>225.142857142857</v>
      </c>
      <c r="F138" s="35" t="n">
        <f aca="false">($B$2-C138)/7</f>
        <v>163</v>
      </c>
      <c r="G138" s="36" t="n">
        <v>253</v>
      </c>
      <c r="H138" s="36" t="n">
        <v>65</v>
      </c>
      <c r="I138" s="37"/>
      <c r="J138" s="37"/>
      <c r="K138" s="38" t="n">
        <f aca="false">IFERROR(((F138*G138)/E138)-H138,"")</f>
        <v>118.168147208122</v>
      </c>
      <c r="L138" s="36" t="str">
        <f aca="false">IF(K138&lt;-10,"MUITO ADIANTADO",IF(K138&lt;-6,"ADIANTADO",IF(K138&lt;6,"EM DIAS",IF(K138&lt;12,"ATRASADO","MUITO ATRASADO"))))</f>
        <v>MUITO ATRASADO</v>
      </c>
      <c r="M138" s="39" t="n">
        <v>45450</v>
      </c>
      <c r="N138" s="55" t="n">
        <f aca="false">$B$2-M138</f>
        <v>721</v>
      </c>
      <c r="O138" s="56" t="str">
        <f aca="false">IF(N138&lt;8,"VERIFICADO",IF(N138&lt;15,"VERIFICAR","VERIFICAR URGENTE"))</f>
        <v>VERIFICAR URGENTE</v>
      </c>
      <c r="P138" s="40"/>
      <c r="Q138" s="40"/>
      <c r="R138" s="40"/>
      <c r="S138" s="40"/>
      <c r="T138" s="40"/>
      <c r="U138" s="40"/>
    </row>
    <row r="139" customFormat="false" ht="15.75" hidden="false" customHeight="true" outlineLevel="0" collapsed="false">
      <c r="A139" s="40" t="s">
        <v>128</v>
      </c>
      <c r="B139" s="57" t="n">
        <f aca="false">M139</f>
        <v>45451</v>
      </c>
      <c r="C139" s="34" t="n">
        <v>45171</v>
      </c>
      <c r="D139" s="34" t="n">
        <v>46244</v>
      </c>
      <c r="E139" s="35" t="n">
        <f aca="false">(D139-C139)/7</f>
        <v>153.285714285714</v>
      </c>
      <c r="F139" s="35" t="n">
        <f aca="false">($B$2-C139)/7</f>
        <v>142.857142857143</v>
      </c>
      <c r="G139" s="36" t="n">
        <v>176</v>
      </c>
      <c r="H139" s="36" t="n">
        <v>45</v>
      </c>
      <c r="I139" s="37"/>
      <c r="J139" s="37"/>
      <c r="K139" s="38" t="n">
        <f aca="false">IFERROR(((F139*G139)/E139)-H139,"")</f>
        <v>119.026095060578</v>
      </c>
      <c r="L139" s="36" t="str">
        <f aca="false">IF(K139&lt;-10,"MUITO ADIANTADO",IF(K139&lt;-6,"ADIANTADO",IF(K139&lt;6,"EM DIAS",IF(K139&lt;12,"ATRASADO","MUITO ATRASADO"))))</f>
        <v>MUITO ATRASADO</v>
      </c>
      <c r="M139" s="39" t="n">
        <v>45451</v>
      </c>
      <c r="N139" s="55" t="n">
        <f aca="false">$B$2-M139</f>
        <v>720</v>
      </c>
      <c r="O139" s="56" t="str">
        <f aca="false">IF(N139&lt;8,"VERIFICADO",IF(N139&lt;15,"VERIFICAR","VERIFICAR URGENTE"))</f>
        <v>VERIFICAR URGENTE</v>
      </c>
      <c r="P139" s="40"/>
      <c r="Q139" s="40"/>
      <c r="R139" s="40"/>
      <c r="S139" s="40"/>
      <c r="T139" s="40"/>
      <c r="U139" s="40"/>
    </row>
    <row r="140" customFormat="false" ht="15.75" hidden="false" customHeight="true" outlineLevel="0" collapsed="false">
      <c r="A140" s="40" t="s">
        <v>626</v>
      </c>
      <c r="B140" s="57" t="n">
        <f aca="false">M140</f>
        <v>45451</v>
      </c>
      <c r="C140" s="34" t="n">
        <v>45269</v>
      </c>
      <c r="D140" s="34" t="n">
        <v>45822</v>
      </c>
      <c r="E140" s="35" t="n">
        <f aca="false">(D140-C140)/7</f>
        <v>79</v>
      </c>
      <c r="F140" s="35" t="n">
        <f aca="false">($B$2-C140)/7</f>
        <v>128.857142857143</v>
      </c>
      <c r="G140" s="36" t="n">
        <v>80</v>
      </c>
      <c r="H140" s="36" t="n">
        <v>31</v>
      </c>
      <c r="I140" s="37"/>
      <c r="J140" s="37"/>
      <c r="K140" s="38" t="n">
        <f aca="false">IFERROR(((F140*G140)/E140)-H140,"")</f>
        <v>99.4882459312839</v>
      </c>
      <c r="L140" s="36" t="str">
        <f aca="false">IF(K140&lt;-10,"MUITO ADIANTADO",IF(K140&lt;-6,"ADIANTADO",IF(K140&lt;6,"EM DIAS",IF(K140&lt;12,"ATRASADO","MUITO ATRASADO"))))</f>
        <v>MUITO ATRASADO</v>
      </c>
      <c r="M140" s="39" t="n">
        <v>45451</v>
      </c>
      <c r="N140" s="55" t="n">
        <f aca="false">$B$2-M140</f>
        <v>720</v>
      </c>
      <c r="O140" s="56" t="str">
        <f aca="false">IF(N140&lt;8,"VERIFICADO",IF(N140&lt;15,"VERIFICAR","VERIFICAR URGENTE"))</f>
        <v>VERIFICAR URGENTE</v>
      </c>
      <c r="P140" s="40"/>
      <c r="Q140" s="40"/>
      <c r="R140" s="40"/>
      <c r="S140" s="40"/>
      <c r="T140" s="40"/>
      <c r="U140" s="40"/>
    </row>
    <row r="141" customFormat="false" ht="15.75" hidden="false" customHeight="true" outlineLevel="0" collapsed="false">
      <c r="A141" s="40" t="s">
        <v>627</v>
      </c>
      <c r="B141" s="57" t="n">
        <f aca="false">M141</f>
        <v>45450</v>
      </c>
      <c r="C141" s="34" t="n">
        <v>44881</v>
      </c>
      <c r="D141" s="34" t="n">
        <v>46305</v>
      </c>
      <c r="E141" s="35" t="n">
        <f aca="false">(D141-C141)/7</f>
        <v>203.428571428571</v>
      </c>
      <c r="F141" s="35" t="n">
        <f aca="false">($B$2-C141)/7</f>
        <v>184.285714285714</v>
      </c>
      <c r="G141" s="36" t="n">
        <v>188</v>
      </c>
      <c r="H141" s="36" t="n">
        <v>76</v>
      </c>
      <c r="I141" s="37" t="n">
        <f aca="false">IFERROR(H141/G141,"")</f>
        <v>0.404255319148936</v>
      </c>
      <c r="J141" s="37" t="n">
        <f aca="false">IFERROR(F141/E141,"")</f>
        <v>0.905898876404496</v>
      </c>
      <c r="K141" s="38" t="n">
        <f aca="false">IFERROR(((F141*G141)/E141)-H141,"")</f>
        <v>94.3089887640453</v>
      </c>
      <c r="L141" s="36" t="str">
        <f aca="false">IF(K141&lt;-10,"MUITO ADIANTADO",IF(K141&lt;-6,"ADIANTADO",IF(K141&lt;6,"EM DIAS",IF(K141&lt;12,"ATRASADO","MUITO ATRASADO"))))</f>
        <v>MUITO ATRASADO</v>
      </c>
      <c r="M141" s="39" t="n">
        <v>45450</v>
      </c>
      <c r="N141" s="55" t="n">
        <f aca="false">$B$2-M141</f>
        <v>721</v>
      </c>
      <c r="O141" s="56" t="str">
        <f aca="false">IF(N141&lt;8,"VERIFICADO",IF(N141&lt;15,"VERIFICAR","VERIFICAR URGENTE"))</f>
        <v>VERIFICAR URGENTE</v>
      </c>
      <c r="P141" s="40"/>
      <c r="Q141" s="40"/>
      <c r="R141" s="40"/>
      <c r="S141" s="40"/>
      <c r="T141" s="40"/>
      <c r="U141" s="40"/>
    </row>
    <row r="142" customFormat="false" ht="15.75" hidden="false" customHeight="true" outlineLevel="0" collapsed="false">
      <c r="A142" s="40" t="s">
        <v>176</v>
      </c>
      <c r="B142" s="57" t="n">
        <f aca="false">M142</f>
        <v>45450</v>
      </c>
      <c r="C142" s="34" t="n">
        <v>44895</v>
      </c>
      <c r="D142" s="34" t="n">
        <v>46016</v>
      </c>
      <c r="E142" s="35" t="n">
        <f aca="false">(D142-C142)/7</f>
        <v>160.142857142857</v>
      </c>
      <c r="F142" s="35" t="n">
        <f aca="false">($B$2-C142)/7</f>
        <v>182.285714285714</v>
      </c>
      <c r="G142" s="36" t="n">
        <v>223</v>
      </c>
      <c r="H142" s="36" t="n">
        <v>83</v>
      </c>
      <c r="I142" s="37" t="n">
        <f aca="false">IFERROR(H142/G142,"")</f>
        <v>0.37219730941704</v>
      </c>
      <c r="J142" s="37" t="n">
        <f aca="false">IFERROR(F142/E142,"")</f>
        <v>1.13826940231936</v>
      </c>
      <c r="K142" s="38" t="n">
        <f aca="false">IFERROR(((F142*G142)/E142)-H142,"")</f>
        <v>170.834076717217</v>
      </c>
      <c r="L142" s="36" t="str">
        <f aca="false">IF(K142&lt;-10,"MUITO ADIANTADO",IF(K142&lt;-6,"ADIANTADO",IF(K142&lt;6,"EM DIAS",IF(K142&lt;12,"ATRASADO","MUITO ATRASADO"))))</f>
        <v>MUITO ATRASADO</v>
      </c>
      <c r="M142" s="39" t="n">
        <v>45450</v>
      </c>
      <c r="N142" s="55" t="n">
        <f aca="false">$B$2-M142</f>
        <v>721</v>
      </c>
      <c r="O142" s="56" t="str">
        <f aca="false">IF(N142&lt;8,"VERIFICADO",IF(N142&lt;15,"VERIFICAR","VERIFICAR URGENTE"))</f>
        <v>VERIFICAR URGENTE</v>
      </c>
      <c r="P142" s="40"/>
      <c r="Q142" s="40"/>
      <c r="R142" s="40"/>
      <c r="S142" s="40"/>
      <c r="T142" s="40"/>
      <c r="U142" s="40"/>
    </row>
    <row r="143" customFormat="false" ht="15.75" hidden="false" customHeight="true" outlineLevel="0" collapsed="false">
      <c r="A143" s="40" t="s">
        <v>628</v>
      </c>
      <c r="B143" s="57" t="n">
        <f aca="false">M143</f>
        <v>45450</v>
      </c>
      <c r="C143" s="34" t="n">
        <v>44717</v>
      </c>
      <c r="D143" s="34" t="n">
        <v>45482</v>
      </c>
      <c r="E143" s="35" t="n">
        <f aca="false">(D143-C143)/7</f>
        <v>109.285714285714</v>
      </c>
      <c r="F143" s="35" t="n">
        <f aca="false">($B$2-C143)/7</f>
        <v>207.714285714286</v>
      </c>
      <c r="G143" s="36" t="n">
        <v>140</v>
      </c>
      <c r="H143" s="36" t="n">
        <v>145</v>
      </c>
      <c r="I143" s="37" t="n">
        <f aca="false">IFERROR(H143/G143,"")</f>
        <v>1.03571428571429</v>
      </c>
      <c r="J143" s="37" t="n">
        <f aca="false">IFERROR(F143/E143,"")</f>
        <v>1.90065359477125</v>
      </c>
      <c r="K143" s="38" t="n">
        <f aca="false">IFERROR(((F143*G143)/E143)-H143,"")</f>
        <v>121.091503267975</v>
      </c>
      <c r="L143" s="36" t="str">
        <f aca="false">IF(K143&lt;-10,"MUITO ADIANTADO",IF(K143&lt;-6,"ADIANTADO",IF(K143&lt;6,"EM DIAS",IF(K143&lt;12,"ATRASADO","MUITO ATRASADO"))))</f>
        <v>MUITO ATRASADO</v>
      </c>
      <c r="M143" s="39" t="n">
        <v>45450</v>
      </c>
      <c r="N143" s="55" t="n">
        <f aca="false">$B$2-M143</f>
        <v>721</v>
      </c>
      <c r="O143" s="56" t="str">
        <f aca="false">IF(N143&lt;8,"VERIFICADO",IF(N143&lt;15,"VERIFICAR","VERIFICAR URGENTE"))</f>
        <v>VERIFICAR URGENTE</v>
      </c>
      <c r="P143" s="40"/>
      <c r="Q143" s="40"/>
      <c r="R143" s="40"/>
      <c r="S143" s="40"/>
      <c r="T143" s="40"/>
      <c r="U143" s="40"/>
    </row>
    <row r="144" customFormat="false" ht="15.75" hidden="false" customHeight="true" outlineLevel="0" collapsed="false">
      <c r="A144" s="40" t="s">
        <v>629</v>
      </c>
      <c r="B144" s="57" t="n">
        <f aca="false">M144</f>
        <v>45450</v>
      </c>
      <c r="C144" s="34" t="n">
        <v>45009</v>
      </c>
      <c r="D144" s="34" t="n">
        <v>45490</v>
      </c>
      <c r="E144" s="35" t="n">
        <f aca="false">(D144-C144)/7</f>
        <v>68.7142857142857</v>
      </c>
      <c r="F144" s="35" t="n">
        <f aca="false">($B$2-C144)/7</f>
        <v>166</v>
      </c>
      <c r="G144" s="36" t="n">
        <v>116</v>
      </c>
      <c r="H144" s="36" t="n">
        <v>108</v>
      </c>
      <c r="I144" s="37"/>
      <c r="J144" s="37"/>
      <c r="K144" s="38" t="n">
        <f aca="false">IFERROR(((F144*G144)/E144)-H144,"")</f>
        <v>172.232848232848</v>
      </c>
      <c r="L144" s="36" t="str">
        <f aca="false">IF(K144&lt;-10,"MUITO ADIANTADO",IF(K144&lt;-6,"ADIANTADO",IF(K144&lt;6,"EM DIAS",IF(K144&lt;12,"ATRASADO","MUITO ATRASADO"))))</f>
        <v>MUITO ATRASADO</v>
      </c>
      <c r="M144" s="39" t="n">
        <v>45450</v>
      </c>
      <c r="N144" s="55" t="n">
        <f aca="false">$B$2-M144</f>
        <v>721</v>
      </c>
      <c r="O144" s="56" t="str">
        <f aca="false">IF(N144&lt;8,"VERIFICADO",IF(N144&lt;15,"VERIFICAR","VERIFICAR URGENTE"))</f>
        <v>VERIFICAR URGENTE</v>
      </c>
      <c r="P144" s="40"/>
      <c r="Q144" s="40"/>
      <c r="R144" s="40"/>
      <c r="S144" s="40"/>
      <c r="T144" s="40"/>
      <c r="U144" s="40"/>
    </row>
    <row r="145" customFormat="false" ht="15.75" hidden="false" customHeight="true" outlineLevel="0" collapsed="false">
      <c r="A145" s="40" t="s">
        <v>20</v>
      </c>
      <c r="B145" s="57" t="n">
        <f aca="false">M145</f>
        <v>45451</v>
      </c>
      <c r="C145" s="34" t="n">
        <v>45141</v>
      </c>
      <c r="D145" s="34" t="n">
        <v>46275</v>
      </c>
      <c r="E145" s="35" t="n">
        <f aca="false">(D145-C145)/7</f>
        <v>162</v>
      </c>
      <c r="F145" s="35" t="n">
        <f aca="false">($B$2-C145)/7</f>
        <v>147.142857142857</v>
      </c>
      <c r="G145" s="36" t="n">
        <v>192</v>
      </c>
      <c r="H145" s="36" t="n">
        <v>40</v>
      </c>
      <c r="I145" s="37" t="n">
        <f aca="false">IFERROR(H145/G145,"")</f>
        <v>0.208333333333333</v>
      </c>
      <c r="J145" s="37" t="n">
        <f aca="false">IFERROR(F145/E145,"")</f>
        <v>0.908289241622575</v>
      </c>
      <c r="K145" s="38" t="n">
        <f aca="false">IFERROR(((F145*G145)/E145)-H145,"")</f>
        <v>134.391534391534</v>
      </c>
      <c r="L145" s="36" t="str">
        <f aca="false">IF(K145&lt;-10,"MUITO ADIANTADO",IF(K145&lt;-6,"ADIANTADO",IF(K145&lt;6,"EM DIAS",IF(K145&lt;12,"ATRASADO","MUITO ATRASADO"))))</f>
        <v>MUITO ATRASADO</v>
      </c>
      <c r="M145" s="39" t="n">
        <v>45451</v>
      </c>
      <c r="N145" s="55" t="n">
        <f aca="false">$B$2-M145</f>
        <v>720</v>
      </c>
      <c r="O145" s="56" t="str">
        <f aca="false">IF(N145&lt;8,"VERIFICADO",IF(N145&lt;15,"VERIFICAR","VERIFICAR URGENTE"))</f>
        <v>VERIFICAR URGENTE</v>
      </c>
      <c r="P145" s="40"/>
      <c r="Q145" s="40"/>
      <c r="R145" s="40"/>
      <c r="S145" s="40"/>
      <c r="T145" s="40"/>
      <c r="U145" s="40"/>
    </row>
    <row r="146" customFormat="false" ht="15.75" hidden="false" customHeight="true" outlineLevel="0" collapsed="false">
      <c r="A146" s="40" t="s">
        <v>630</v>
      </c>
      <c r="B146" s="57" t="n">
        <f aca="false">M146</f>
        <v>45451</v>
      </c>
      <c r="C146" s="34" t="n">
        <v>44701</v>
      </c>
      <c r="D146" s="34" t="n">
        <v>45736</v>
      </c>
      <c r="E146" s="35" t="n">
        <f aca="false">(D146-C146)/7</f>
        <v>147.857142857143</v>
      </c>
      <c r="F146" s="35" t="n">
        <f aca="false">($B$2-C146)/7</f>
        <v>210</v>
      </c>
      <c r="G146" s="36" t="n">
        <v>219</v>
      </c>
      <c r="H146" s="36" t="n">
        <v>62</v>
      </c>
      <c r="I146" s="37" t="n">
        <f aca="false">IFERROR(H146/G146,"")</f>
        <v>0.28310502283105</v>
      </c>
      <c r="J146" s="37" t="n">
        <f aca="false">IFERROR(F146/E146,"")</f>
        <v>1.42028985507246</v>
      </c>
      <c r="K146" s="38" t="n">
        <f aca="false">IFERROR(((F146*G146)/E146)-H146,"")</f>
        <v>249.043478260869</v>
      </c>
      <c r="L146" s="36" t="str">
        <f aca="false">IF(K146&lt;-10,"MUITO ADIANTADO",IF(K146&lt;-6,"ADIANTADO",IF(K146&lt;6,"EM DIAS",IF(K146&lt;12,"ATRASADO","MUITO ATRASADO"))))</f>
        <v>MUITO ATRASADO</v>
      </c>
      <c r="M146" s="39" t="n">
        <v>45451</v>
      </c>
      <c r="N146" s="55" t="n">
        <f aca="false">$B$2-M146</f>
        <v>720</v>
      </c>
      <c r="O146" s="56" t="str">
        <f aca="false">IF(N146&lt;8,"VERIFICADO",IF(N146&lt;15,"VERIFICAR","VERIFICAR URGENTE"))</f>
        <v>VERIFICAR URGENTE</v>
      </c>
      <c r="P146" s="40"/>
      <c r="Q146" s="40"/>
      <c r="R146" s="40"/>
      <c r="S146" s="40"/>
      <c r="T146" s="40"/>
      <c r="U146" s="40"/>
    </row>
    <row r="147" customFormat="false" ht="15.75" hidden="false" customHeight="true" outlineLevel="0" collapsed="false">
      <c r="A147" s="40" t="s">
        <v>631</v>
      </c>
      <c r="B147" s="57" t="n">
        <f aca="false">M147</f>
        <v>45448</v>
      </c>
      <c r="C147" s="34" t="n">
        <v>45341</v>
      </c>
      <c r="D147" s="34" t="n">
        <v>45492</v>
      </c>
      <c r="E147" s="35" t="n">
        <f aca="false">(D147-C147)/7</f>
        <v>21.5714285714286</v>
      </c>
      <c r="F147" s="35" t="n">
        <f aca="false">($B$2-C147)/7</f>
        <v>118.571428571429</v>
      </c>
      <c r="G147" s="36" t="n">
        <v>16</v>
      </c>
      <c r="H147" s="36" t="n">
        <v>12</v>
      </c>
      <c r="I147" s="37"/>
      <c r="J147" s="37"/>
      <c r="K147" s="38" t="n">
        <f aca="false">IFERROR(((F147*G147)/E147)-H147,"")</f>
        <v>75.9470198675495</v>
      </c>
      <c r="L147" s="36" t="str">
        <f aca="false">IF(K147&lt;-10,"MUITO ADIANTADO",IF(K147&lt;-6,"ADIANTADO",IF(K147&lt;6,"EM DIAS",IF(K147&lt;12,"ATRASADO","MUITO ATRASADO"))))</f>
        <v>MUITO ATRASADO</v>
      </c>
      <c r="M147" s="39" t="n">
        <v>45448</v>
      </c>
      <c r="N147" s="55" t="n">
        <f aca="false">$B$2-M147</f>
        <v>723</v>
      </c>
      <c r="O147" s="41" t="str">
        <f aca="false">IF(N147&lt;8,"VERIFICADO",IF(N147&lt;15,"VERIFICAR","VERIFICAR URGENTE"))</f>
        <v>VERIFICAR URGENTE</v>
      </c>
      <c r="P147" s="40"/>
      <c r="Q147" s="40"/>
      <c r="R147" s="40"/>
      <c r="S147" s="40"/>
      <c r="T147" s="40"/>
      <c r="U147" s="40"/>
    </row>
    <row r="148" customFormat="false" ht="15.75" hidden="false" customHeight="true" outlineLevel="0" collapsed="false">
      <c r="A148" s="40" t="s">
        <v>247</v>
      </c>
      <c r="B148" s="57" t="n">
        <f aca="false">M148</f>
        <v>45450</v>
      </c>
      <c r="C148" s="34" t="n">
        <v>45086</v>
      </c>
      <c r="D148" s="34" t="n">
        <v>45605</v>
      </c>
      <c r="E148" s="35" t="n">
        <f aca="false">(D148-C148)/7</f>
        <v>74.1428571428571</v>
      </c>
      <c r="F148" s="35" t="n">
        <f aca="false">($B$2-C148)/7</f>
        <v>155</v>
      </c>
      <c r="G148" s="36" t="n">
        <v>80</v>
      </c>
      <c r="H148" s="36" t="n">
        <v>34</v>
      </c>
      <c r="I148" s="37" t="n">
        <f aca="false">IFERROR(H148/G148,"")</f>
        <v>0.425</v>
      </c>
      <c r="J148" s="37" t="n">
        <f aca="false">IFERROR(F148/E148,"")</f>
        <v>2.09055876685935</v>
      </c>
      <c r="K148" s="38" t="n">
        <f aca="false">IFERROR(((F148*G148)/E148)-H148,"")</f>
        <v>133.244701348748</v>
      </c>
      <c r="L148" s="36" t="str">
        <f aca="false">IF(K148&lt;-10,"MUITO ADIANTADO",IF(K148&lt;-6,"ADIANTADO",IF(K148&lt;6,"EM DIAS",IF(K148&lt;12,"ATRASADO","MUITO ATRASADO"))))</f>
        <v>MUITO ATRASADO</v>
      </c>
      <c r="M148" s="39" t="n">
        <v>45450</v>
      </c>
      <c r="N148" s="55" t="n">
        <f aca="false">$B$2-M148</f>
        <v>721</v>
      </c>
      <c r="O148" s="56" t="str">
        <f aca="false">IF(N148&lt;8,"VERIFICADO",IF(N148&lt;15,"VERIFICAR","VERIFICAR URGENTE"))</f>
        <v>VERIFICAR URGENTE</v>
      </c>
      <c r="P148" s="40"/>
      <c r="Q148" s="40"/>
      <c r="R148" s="40"/>
      <c r="S148" s="40"/>
      <c r="T148" s="40"/>
      <c r="U148" s="40"/>
    </row>
    <row r="149" customFormat="false" ht="15.75" hidden="false" customHeight="true" outlineLevel="0" collapsed="false">
      <c r="A149" s="40" t="s">
        <v>632</v>
      </c>
      <c r="B149" s="57" t="n">
        <f aca="false">M149</f>
        <v>45450</v>
      </c>
      <c r="C149" s="34" t="n">
        <v>45150</v>
      </c>
      <c r="D149" s="34" t="n">
        <v>46430</v>
      </c>
      <c r="E149" s="35" t="n">
        <f aca="false">(D149-C149)/7</f>
        <v>182.857142857143</v>
      </c>
      <c r="F149" s="35" t="n">
        <f aca="false">($B$2-C149)/7</f>
        <v>145.857142857143</v>
      </c>
      <c r="G149" s="36" t="n">
        <v>289</v>
      </c>
      <c r="H149" s="36" t="n">
        <v>64</v>
      </c>
      <c r="I149" s="37" t="n">
        <f aca="false">IFERROR(H149/G149,"")</f>
        <v>0.221453287197232</v>
      </c>
      <c r="J149" s="37" t="n">
        <f aca="false">IFERROR(F149/E149,"")</f>
        <v>0.797656249999999</v>
      </c>
      <c r="K149" s="38" t="n">
        <f aca="false">IFERROR(((F149*G149)/E149)-H149,"")</f>
        <v>166.52265625</v>
      </c>
      <c r="L149" s="36" t="str">
        <f aca="false">IF(K149&lt;-10,"MUITO ADIANTADO",IF(K149&lt;-6,"ADIANTADO",IF(K149&lt;6,"EM DIAS",IF(K149&lt;12,"ATRASADO","MUITO ATRASADO"))))</f>
        <v>MUITO ATRASADO</v>
      </c>
      <c r="M149" s="39" t="n">
        <v>45450</v>
      </c>
      <c r="N149" s="55" t="n">
        <f aca="false">$B$2-M149</f>
        <v>721</v>
      </c>
      <c r="O149" s="56" t="str">
        <f aca="false">IF(N149&lt;8,"VERIFICADO",IF(N149&lt;15,"VERIFICAR","VERIFICAR URGENTE"))</f>
        <v>VERIFICAR URGENTE</v>
      </c>
      <c r="P149" s="40"/>
      <c r="Q149" s="40"/>
      <c r="R149" s="40"/>
      <c r="S149" s="40"/>
      <c r="T149" s="40"/>
      <c r="U149" s="40"/>
    </row>
    <row r="150" customFormat="false" ht="15.75" hidden="false" customHeight="true" outlineLevel="0" collapsed="false">
      <c r="A150" s="66" t="s">
        <v>633</v>
      </c>
      <c r="B150" s="57" t="n">
        <f aca="false">M150</f>
        <v>45451</v>
      </c>
      <c r="C150" s="34" t="n">
        <v>45277</v>
      </c>
      <c r="D150" s="34" t="n">
        <v>45792</v>
      </c>
      <c r="E150" s="35" t="n">
        <f aca="false">(D150-C150)/7</f>
        <v>73.5714285714286</v>
      </c>
      <c r="F150" s="35" t="n">
        <f aca="false">($B$2-C150)/7</f>
        <v>127.714285714286</v>
      </c>
      <c r="G150" s="36" t="n">
        <v>80</v>
      </c>
      <c r="H150" s="36" t="n">
        <v>28</v>
      </c>
      <c r="I150" s="37"/>
      <c r="J150" s="37"/>
      <c r="K150" s="38" t="n">
        <f aca="false">IFERROR(((F150*G150)/E150)-H150,"")</f>
        <v>110.873786407767</v>
      </c>
      <c r="L150" s="36" t="str">
        <f aca="false">IF(K150&lt;-10,"MUITO ADIANTADO",IF(K150&lt;-6,"ADIANTADO",IF(K150&lt;6,"EM DIAS",IF(K150&lt;12,"ATRASADO","MUITO ATRASADO"))))</f>
        <v>MUITO ATRASADO</v>
      </c>
      <c r="M150" s="39" t="n">
        <v>45451</v>
      </c>
      <c r="N150" s="55" t="n">
        <f aca="false">$B$2-M150</f>
        <v>720</v>
      </c>
      <c r="O150" s="56" t="str">
        <f aca="false">IF(N150&lt;8,"VERIFICADO",IF(N150&lt;15,"VERIFICAR","VERIFICAR URGENTE"))</f>
        <v>VERIFICAR URGENTE</v>
      </c>
      <c r="P150" s="40"/>
      <c r="Q150" s="40"/>
      <c r="R150" s="40"/>
      <c r="S150" s="40"/>
      <c r="T150" s="40"/>
      <c r="U150" s="40"/>
    </row>
    <row r="151" customFormat="false" ht="15.75" hidden="false" customHeight="true" outlineLevel="0" collapsed="false">
      <c r="A151" s="40" t="s">
        <v>634</v>
      </c>
      <c r="B151" s="57" t="n">
        <f aca="false">M151</f>
        <v>45450</v>
      </c>
      <c r="C151" s="34" t="n">
        <v>45163</v>
      </c>
      <c r="D151" s="34" t="n">
        <v>45894</v>
      </c>
      <c r="E151" s="35" t="n">
        <f aca="false">(D151-C151)/7</f>
        <v>104.428571428571</v>
      </c>
      <c r="F151" s="35" t="n">
        <f aca="false">($B$2-C151)/7</f>
        <v>144</v>
      </c>
      <c r="G151" s="36" t="n">
        <v>124</v>
      </c>
      <c r="H151" s="36" t="n">
        <v>56</v>
      </c>
      <c r="I151" s="37"/>
      <c r="J151" s="37"/>
      <c r="K151" s="38" t="n">
        <f aca="false">IFERROR(((F151*G151)/E151)-H151,"")</f>
        <v>114.987688098496</v>
      </c>
      <c r="L151" s="36" t="str">
        <f aca="false">IF(K151&lt;-10,"MUITO ADIANTADO",IF(K151&lt;-6,"ADIANTADO",IF(K151&lt;6,"EM DIAS",IF(K151&lt;12,"ATRASADO","MUITO ATRASADO"))))</f>
        <v>MUITO ATRASADO</v>
      </c>
      <c r="M151" s="39" t="n">
        <v>45450</v>
      </c>
      <c r="N151" s="55" t="n">
        <f aca="false">$B$2-M151</f>
        <v>721</v>
      </c>
      <c r="O151" s="56" t="str">
        <f aca="false">IF(N151&lt;8,"VERIFICADO",IF(N151&lt;15,"VERIFICAR","VERIFICAR URGENTE"))</f>
        <v>VERIFICAR URGENTE</v>
      </c>
      <c r="P151" s="40"/>
      <c r="Q151" s="40"/>
      <c r="R151" s="40"/>
      <c r="S151" s="40"/>
      <c r="T151" s="40"/>
      <c r="U151" s="40"/>
    </row>
    <row r="152" customFormat="false" ht="15.75" hidden="false" customHeight="true" outlineLevel="0" collapsed="false">
      <c r="A152" s="40" t="s">
        <v>635</v>
      </c>
      <c r="B152" s="57" t="n">
        <f aca="false">M152</f>
        <v>45451</v>
      </c>
      <c r="C152" s="34" t="n">
        <v>45073</v>
      </c>
      <c r="D152" s="34" t="n">
        <v>45619</v>
      </c>
      <c r="E152" s="35" t="n">
        <f aca="false">(D152-C152)/7</f>
        <v>78</v>
      </c>
      <c r="F152" s="35" t="n">
        <f aca="false">($B$2-C152)/7</f>
        <v>156.857142857143</v>
      </c>
      <c r="G152" s="36" t="n">
        <v>80</v>
      </c>
      <c r="H152" s="36" t="n">
        <v>54</v>
      </c>
      <c r="I152" s="37" t="n">
        <f aca="false">IFERROR(H152/G152,"")</f>
        <v>0.675</v>
      </c>
      <c r="J152" s="37" t="n">
        <f aca="false">IFERROR(F152/E152,"")</f>
        <v>2.01098901098901</v>
      </c>
      <c r="K152" s="38" t="n">
        <f aca="false">IFERROR(((F152*G152)/E152)-H152,"")</f>
        <v>106.879120879121</v>
      </c>
      <c r="L152" s="36" t="str">
        <f aca="false">IF(K152&lt;-10,"MUITO ADIANTADO",IF(K152&lt;-6,"ADIANTADO",IF(K152&lt;6,"EM DIAS",IF(K152&lt;12,"ATRASADO","MUITO ATRASADO"))))</f>
        <v>MUITO ATRASADO</v>
      </c>
      <c r="M152" s="39" t="n">
        <v>45451</v>
      </c>
      <c r="N152" s="55" t="n">
        <f aca="false">$B$2-M152</f>
        <v>720</v>
      </c>
      <c r="O152" s="56" t="str">
        <f aca="false">IF(N152&lt;8,"VERIFICADO",IF(N152&lt;15,"VERIFICAR","VERIFICAR URGENTE"))</f>
        <v>VERIFICAR URGENTE</v>
      </c>
      <c r="P152" s="40"/>
      <c r="Q152" s="40"/>
      <c r="R152" s="40"/>
      <c r="S152" s="40"/>
      <c r="T152" s="40"/>
      <c r="U152" s="40"/>
    </row>
    <row r="153" customFormat="false" ht="15.75" hidden="false" customHeight="true" outlineLevel="0" collapsed="false">
      <c r="A153" s="40" t="s">
        <v>636</v>
      </c>
      <c r="B153" s="57" t="n">
        <f aca="false">M153</f>
        <v>45451</v>
      </c>
      <c r="C153" s="34" t="n">
        <v>45081</v>
      </c>
      <c r="D153" s="34" t="n">
        <v>45569</v>
      </c>
      <c r="E153" s="35" t="n">
        <f aca="false">(D153-C153)/7</f>
        <v>69.7142857142857</v>
      </c>
      <c r="F153" s="35" t="n">
        <f aca="false">($B$2-C153)/7</f>
        <v>155.714285714286</v>
      </c>
      <c r="G153" s="36" t="n">
        <v>80</v>
      </c>
      <c r="H153" s="36" t="n">
        <v>64</v>
      </c>
      <c r="I153" s="37" t="n">
        <f aca="false">IFERROR(H153/G153,"")</f>
        <v>0.8</v>
      </c>
      <c r="J153" s="37" t="n">
        <f aca="false">IFERROR(F153/E153,"")</f>
        <v>2.23360655737705</v>
      </c>
      <c r="K153" s="38" t="n">
        <f aca="false">IFERROR(((F153*G153)/E153)-H153,"")</f>
        <v>114.688524590164</v>
      </c>
      <c r="L153" s="36" t="str">
        <f aca="false">IF(K153&lt;-10,"MUITO ADIANTADO",IF(K153&lt;-6,"ADIANTADO",IF(K153&lt;6,"EM DIAS",IF(K153&lt;12,"ATRASADO","MUITO ATRASADO"))))</f>
        <v>MUITO ATRASADO</v>
      </c>
      <c r="M153" s="39" t="n">
        <v>45451</v>
      </c>
      <c r="N153" s="55" t="n">
        <f aca="false">$B$2-M153</f>
        <v>720</v>
      </c>
      <c r="O153" s="56" t="str">
        <f aca="false">IF(N153&lt;8,"VERIFICADO",IF(N153&lt;15,"VERIFICAR","VERIFICAR URGENTE"))</f>
        <v>VERIFICAR URGENTE</v>
      </c>
      <c r="P153" s="40"/>
      <c r="Q153" s="40"/>
      <c r="R153" s="40"/>
      <c r="S153" s="40"/>
      <c r="T153" s="40"/>
      <c r="U153" s="40"/>
    </row>
    <row r="154" customFormat="false" ht="15.75" hidden="false" customHeight="true" outlineLevel="0" collapsed="false">
      <c r="A154" s="40" t="s">
        <v>637</v>
      </c>
      <c r="B154" s="57" t="n">
        <f aca="false">M154</f>
        <v>45451</v>
      </c>
      <c r="C154" s="34" t="n">
        <v>44773</v>
      </c>
      <c r="D154" s="34" t="n">
        <v>45458</v>
      </c>
      <c r="E154" s="35" t="n">
        <f aca="false">(D154-C154)/7</f>
        <v>97.8571428571429</v>
      </c>
      <c r="F154" s="35" t="n">
        <f aca="false">($B$2-C154)/7</f>
        <v>199.714285714286</v>
      </c>
      <c r="G154" s="36" t="n">
        <v>138</v>
      </c>
      <c r="H154" s="36" t="n">
        <v>135</v>
      </c>
      <c r="I154" s="37" t="n">
        <f aca="false">IFERROR(H154/G154,"")</f>
        <v>0.978260869565217</v>
      </c>
      <c r="J154" s="37" t="n">
        <f aca="false">IFERROR(F154/E154,"")</f>
        <v>2.04087591240876</v>
      </c>
      <c r="K154" s="38" t="n">
        <f aca="false">IFERROR(((F154*G154)/E154)-H154,"")</f>
        <v>146.640875912409</v>
      </c>
      <c r="L154" s="36" t="str">
        <f aca="false">IF(K154&lt;-10,"MUITO ADIANTADO",IF(K154&lt;-6,"ADIANTADO",IF(K154&lt;6,"EM DIAS",IF(K154&lt;12,"ATRASADO","MUITO ATRASADO"))))</f>
        <v>MUITO ATRASADO</v>
      </c>
      <c r="M154" s="39" t="n">
        <v>45451</v>
      </c>
      <c r="N154" s="55" t="n">
        <f aca="false">$B$2-M154</f>
        <v>720</v>
      </c>
      <c r="O154" s="56" t="str">
        <f aca="false">IF(N154&lt;8,"VERIFICADO",IF(N154&lt;15,"VERIFICAR","VERIFICAR URGENTE"))</f>
        <v>VERIFICAR URGENTE</v>
      </c>
      <c r="P154" s="40"/>
      <c r="Q154" s="40"/>
      <c r="R154" s="40"/>
      <c r="S154" s="40"/>
      <c r="T154" s="40"/>
      <c r="U154" s="40"/>
    </row>
    <row r="155" customFormat="false" ht="15.75" hidden="false" customHeight="true" outlineLevel="0" collapsed="false">
      <c r="A155" s="40" t="s">
        <v>638</v>
      </c>
      <c r="B155" s="57" t="n">
        <f aca="false">M155</f>
        <v>45451</v>
      </c>
      <c r="C155" s="34" t="n">
        <v>45051</v>
      </c>
      <c r="D155" s="34" t="n">
        <v>46670</v>
      </c>
      <c r="E155" s="35" t="n">
        <f aca="false">(D155-C155)/7</f>
        <v>231.285714285714</v>
      </c>
      <c r="F155" s="35" t="n">
        <f aca="false">($B$2-C155)/7</f>
        <v>160</v>
      </c>
      <c r="G155" s="36" t="n">
        <v>257</v>
      </c>
      <c r="H155" s="36" t="n">
        <v>60</v>
      </c>
      <c r="I155" s="37"/>
      <c r="J155" s="37"/>
      <c r="K155" s="38" t="n">
        <f aca="false">IFERROR(((F155*G155)/E155)-H155,"")</f>
        <v>117.788758492897</v>
      </c>
      <c r="L155" s="36" t="str">
        <f aca="false">IF(K155&lt;-10,"MUITO ADIANTADO",IF(K155&lt;-6,"ADIANTADO",IF(K155&lt;6,"EM DIAS",IF(K155&lt;12,"ATRASADO","MUITO ATRASADO"))))</f>
        <v>MUITO ATRASADO</v>
      </c>
      <c r="M155" s="39" t="n">
        <v>45451</v>
      </c>
      <c r="N155" s="55" t="n">
        <f aca="false">$B$2-M155</f>
        <v>720</v>
      </c>
      <c r="O155" s="56" t="str">
        <f aca="false">IF(N155&lt;8,"VERIFICADO",IF(N155&lt;15,"VERIFICAR","VERIFICAR URGENTE"))</f>
        <v>VERIFICAR URGENTE</v>
      </c>
      <c r="P155" s="40"/>
      <c r="Q155" s="40"/>
      <c r="R155" s="40"/>
      <c r="S155" s="40"/>
      <c r="T155" s="40"/>
      <c r="U155" s="40"/>
    </row>
    <row r="156" customFormat="false" ht="15.75" hidden="false" customHeight="true" outlineLevel="0" collapsed="false">
      <c r="A156" s="40" t="s">
        <v>639</v>
      </c>
      <c r="B156" s="57" t="n">
        <f aca="false">M156</f>
        <v>45451</v>
      </c>
      <c r="C156" s="34" t="n">
        <v>45069</v>
      </c>
      <c r="D156" s="34" t="n">
        <v>46684</v>
      </c>
      <c r="E156" s="35" t="n">
        <f aca="false">(D156-C156)/7</f>
        <v>230.714285714286</v>
      </c>
      <c r="F156" s="35" t="n">
        <f aca="false">($B$2-C156)/7</f>
        <v>157.428571428571</v>
      </c>
      <c r="G156" s="36" t="n">
        <v>272</v>
      </c>
      <c r="H156" s="36" t="n">
        <v>38</v>
      </c>
      <c r="I156" s="37" t="n">
        <f aca="false">IFERROR(H156/G156,"")</f>
        <v>0.139705882352941</v>
      </c>
      <c r="J156" s="37" t="n">
        <f aca="false">IFERROR(F156/E156,"")</f>
        <v>0.68235294117647</v>
      </c>
      <c r="K156" s="38" t="n">
        <f aca="false">IFERROR(((F156*G156)/E156)-H156,"")</f>
        <v>147.6</v>
      </c>
      <c r="L156" s="36" t="str">
        <f aca="false">IF(K156&lt;-10,"MUITO ADIANTADO",IF(K156&lt;-6,"ADIANTADO",IF(K156&lt;6,"EM DIAS",IF(K156&lt;12,"ATRASADO","MUITO ATRASADO"))))</f>
        <v>MUITO ATRASADO</v>
      </c>
      <c r="M156" s="39" t="n">
        <v>45451</v>
      </c>
      <c r="N156" s="55" t="n">
        <f aca="false">$B$2-M156</f>
        <v>720</v>
      </c>
      <c r="O156" s="56" t="str">
        <f aca="false">IF(N156&lt;8,"VERIFICADO",IF(N156&lt;15,"VERIFICAR","VERIFICAR URGENTE"))</f>
        <v>VERIFICAR URGENTE</v>
      </c>
      <c r="P156" s="40"/>
      <c r="Q156" s="40"/>
      <c r="R156" s="40"/>
      <c r="S156" s="40"/>
      <c r="T156" s="40"/>
      <c r="U156" s="40"/>
    </row>
    <row r="157" customFormat="false" ht="15.75" hidden="false" customHeight="true" outlineLevel="0" collapsed="false">
      <c r="A157" s="40" t="s">
        <v>640</v>
      </c>
      <c r="B157" s="57" t="n">
        <f aca="false">M157</f>
        <v>45450</v>
      </c>
      <c r="C157" s="34" t="n">
        <v>44866</v>
      </c>
      <c r="D157" s="34" t="n">
        <v>45444</v>
      </c>
      <c r="E157" s="35" t="n">
        <f aca="false">(D157-C157)/7</f>
        <v>82.5714285714286</v>
      </c>
      <c r="F157" s="35" t="n">
        <f aca="false">($B$2-C157)/7</f>
        <v>186.428571428571</v>
      </c>
      <c r="G157" s="36" t="n">
        <v>96</v>
      </c>
      <c r="H157" s="36" t="n">
        <v>71</v>
      </c>
      <c r="I157" s="37" t="n">
        <f aca="false">IFERROR(H157/G157,"")</f>
        <v>0.739583333333333</v>
      </c>
      <c r="J157" s="37" t="n">
        <f aca="false">IFERROR(F157/E157,"")</f>
        <v>2.25778546712803</v>
      </c>
      <c r="K157" s="38" t="n">
        <f aca="false">IFERROR(((F157*G157)/E157)-H157,"")</f>
        <v>145.747404844291</v>
      </c>
      <c r="L157" s="36" t="str">
        <f aca="false">IF(K157&lt;-10,"MUITO ADIANTADO",IF(K157&lt;-6,"ADIANTADO",IF(K157&lt;6,"EM DIAS",IF(K157&lt;12,"ATRASADO","MUITO ATRASADO"))))</f>
        <v>MUITO ATRASADO</v>
      </c>
      <c r="M157" s="39" t="n">
        <v>45450</v>
      </c>
      <c r="N157" s="55" t="n">
        <f aca="false">$B$2-M157</f>
        <v>721</v>
      </c>
      <c r="O157" s="56" t="str">
        <f aca="false">IF(N157&lt;8,"VERIFICADO",IF(N157&lt;15,"VERIFICAR","VERIFICAR URGENTE"))</f>
        <v>VERIFICAR URGENTE</v>
      </c>
      <c r="P157" s="40"/>
      <c r="Q157" s="40"/>
      <c r="R157" s="40"/>
      <c r="S157" s="40"/>
      <c r="T157" s="40"/>
      <c r="U157" s="40"/>
    </row>
    <row r="158" customFormat="false" ht="15.75" hidden="false" customHeight="true" outlineLevel="0" collapsed="false">
      <c r="A158" s="40" t="s">
        <v>641</v>
      </c>
      <c r="B158" s="57" t="n">
        <f aca="false">M158</f>
        <v>45454</v>
      </c>
      <c r="C158" s="34" t="n">
        <v>44848</v>
      </c>
      <c r="D158" s="34" t="n">
        <v>46137</v>
      </c>
      <c r="E158" s="35" t="n">
        <f aca="false">(D158-C158)/7</f>
        <v>184.142857142857</v>
      </c>
      <c r="F158" s="35" t="n">
        <f aca="false">($B$2-C158)/7</f>
        <v>189</v>
      </c>
      <c r="G158" s="36" t="n">
        <v>253</v>
      </c>
      <c r="H158" s="36" t="n">
        <v>102</v>
      </c>
      <c r="I158" s="37" t="n">
        <f aca="false">IFERROR(H158/G158,"")</f>
        <v>0.403162055335968</v>
      </c>
      <c r="J158" s="37" t="n">
        <f aca="false">IFERROR(F158/E158,"")</f>
        <v>1.02637703646237</v>
      </c>
      <c r="K158" s="38" t="n">
        <f aca="false">IFERROR(((F158*G158)/E158)-H158,"")</f>
        <v>157.673390224981</v>
      </c>
      <c r="L158" s="36" t="str">
        <f aca="false">IF(K158&lt;-10,"MUITO ADIANTADO",IF(K158&lt;-6,"ADIANTADO",IF(K158&lt;6,"EM DIAS",IF(K158&lt;12,"ATRASADO","MUITO ATRASADO"))))</f>
        <v>MUITO ATRASADO</v>
      </c>
      <c r="M158" s="39" t="n">
        <v>45454</v>
      </c>
      <c r="N158" s="55" t="n">
        <f aca="false">$B$2-M158</f>
        <v>717</v>
      </c>
      <c r="O158" s="56" t="str">
        <f aca="false">IF(N158&lt;8,"VERIFICADO",IF(N158&lt;15,"VERIFICAR","VERIFICAR URGENTE"))</f>
        <v>VERIFICAR URGENTE</v>
      </c>
      <c r="P158" s="40"/>
      <c r="Q158" s="40"/>
      <c r="R158" s="40"/>
      <c r="S158" s="40"/>
      <c r="T158" s="40"/>
      <c r="U158" s="40"/>
    </row>
    <row r="159" customFormat="false" ht="15" hidden="false" customHeight="false" outlineLevel="0" collapsed="false">
      <c r="A159" s="40" t="s">
        <v>642</v>
      </c>
      <c r="B159" s="57" t="n">
        <f aca="false">M159</f>
        <v>45451</v>
      </c>
      <c r="C159" s="34" t="n">
        <v>44464</v>
      </c>
      <c r="D159" s="34" t="n">
        <v>45772</v>
      </c>
      <c r="E159" s="35" t="n">
        <f aca="false">(D159-C159)/7</f>
        <v>186.857142857143</v>
      </c>
      <c r="F159" s="35" t="n">
        <f aca="false">($B$2-C159)/7</f>
        <v>243.857142857143</v>
      </c>
      <c r="G159" s="36" t="n">
        <v>170</v>
      </c>
      <c r="H159" s="36" t="n">
        <v>106</v>
      </c>
      <c r="I159" s="37" t="n">
        <f aca="false">IFERROR(H159/G159,"")</f>
        <v>0.623529411764706</v>
      </c>
      <c r="J159" s="37" t="n">
        <f aca="false">IFERROR(F159/E159,"")</f>
        <v>1.30504587155963</v>
      </c>
      <c r="K159" s="38" t="n">
        <f aca="false">IFERROR(((F159*G159)/E159)-H159,"")</f>
        <v>115.857798165137</v>
      </c>
      <c r="L159" s="36" t="str">
        <f aca="false">IF(K159&lt;-10,"MUITO ADIANTADO",IF(K159&lt;-6,"ADIANTADO",IF(K159&lt;6,"EM DIAS",IF(K159&lt;12,"ATRASADO","MUITO ATRASADO"))))</f>
        <v>MUITO ATRASADO</v>
      </c>
      <c r="M159" s="39" t="n">
        <v>45451</v>
      </c>
      <c r="N159" s="55" t="n">
        <f aca="false">$B$2-M159</f>
        <v>720</v>
      </c>
      <c r="O159" s="56" t="str">
        <f aca="false">IF(N159&lt;8,"VERIFICADO",IF(N159&lt;15,"VERIFICAR","VERIFICAR URGENTE"))</f>
        <v>VERIFICAR URGENTE</v>
      </c>
      <c r="P159" s="40"/>
      <c r="Q159" s="40"/>
      <c r="R159" s="40"/>
      <c r="S159" s="40"/>
      <c r="T159" s="40"/>
      <c r="U159" s="40"/>
    </row>
    <row r="160" customFormat="false" ht="15.75" hidden="false" customHeight="true" outlineLevel="0" collapsed="false">
      <c r="A160" s="40" t="s">
        <v>643</v>
      </c>
      <c r="B160" s="57" t="n">
        <f aca="false">M160</f>
        <v>45450</v>
      </c>
      <c r="C160" s="34" t="n">
        <v>45352</v>
      </c>
      <c r="D160" s="34" t="n">
        <v>46010</v>
      </c>
      <c r="E160" s="35" t="n">
        <f aca="false">(D160-C160)/7</f>
        <v>94</v>
      </c>
      <c r="F160" s="35" t="n">
        <f aca="false">($B$2-C160)/7</f>
        <v>117</v>
      </c>
      <c r="G160" s="36" t="n">
        <v>80</v>
      </c>
      <c r="H160" s="36" t="n">
        <v>10</v>
      </c>
      <c r="I160" s="37"/>
      <c r="J160" s="37"/>
      <c r="K160" s="38" t="n">
        <f aca="false">IFERROR(((F160*G160)/E160)-H160,"")</f>
        <v>89.5744680851064</v>
      </c>
      <c r="L160" s="36" t="str">
        <f aca="false">IF(K160&lt;-10,"MUITO ADIANTADO",IF(K160&lt;-6,"ADIANTADO",IF(K160&lt;6,"EM DIAS",IF(K160&lt;12,"ATRASADO","MUITO ATRASADO"))))</f>
        <v>MUITO ATRASADO</v>
      </c>
      <c r="M160" s="39" t="n">
        <v>45450</v>
      </c>
      <c r="N160" s="55" t="n">
        <f aca="false">$B$2-M160</f>
        <v>721</v>
      </c>
      <c r="O160" s="56" t="str">
        <f aca="false">IF(N160&lt;8,"VERIFICADO",IF(N160&lt;15,"VERIFICAR","VERIFICAR URGENTE"))</f>
        <v>VERIFICAR URGENTE</v>
      </c>
      <c r="P160" s="40"/>
      <c r="Q160" s="40"/>
      <c r="R160" s="40"/>
      <c r="S160" s="40"/>
      <c r="T160" s="40"/>
      <c r="U160" s="40"/>
    </row>
    <row r="161" customFormat="false" ht="15.75" hidden="false" customHeight="true" outlineLevel="0" collapsed="false">
      <c r="A161" s="40" t="s">
        <v>644</v>
      </c>
      <c r="B161" s="57" t="n">
        <f aca="false">M161</f>
        <v>45483</v>
      </c>
      <c r="C161" s="34" t="n">
        <v>44890</v>
      </c>
      <c r="D161" s="34" t="n">
        <v>45468</v>
      </c>
      <c r="E161" s="35" t="n">
        <f aca="false">(D161-C161)/7</f>
        <v>82.5714285714286</v>
      </c>
      <c r="F161" s="35" t="n">
        <f aca="false">($B$2-C161)/7</f>
        <v>183</v>
      </c>
      <c r="G161" s="36" t="n">
        <v>76</v>
      </c>
      <c r="H161" s="36" t="n">
        <v>76</v>
      </c>
      <c r="I161" s="37" t="n">
        <f aca="false">IFERROR(H161/G161,"")</f>
        <v>1</v>
      </c>
      <c r="J161" s="37" t="n">
        <f aca="false">IFERROR(F161/E161,"")</f>
        <v>2.21626297577855</v>
      </c>
      <c r="K161" s="38" t="n">
        <f aca="false">IFERROR(((F161*G161)/E161)-H161,"")</f>
        <v>92.4359861591695</v>
      </c>
      <c r="L161" s="36" t="str">
        <f aca="false">IF(K161&lt;-10,"MUITO ADIANTADO",IF(K161&lt;-6,"ADIANTADO",IF(K161&lt;6,"EM DIAS",IF(K161&lt;12,"ATRASADO","MUITO ATRASADO"))))</f>
        <v>MUITO ATRASADO</v>
      </c>
      <c r="M161" s="39" t="n">
        <v>45483</v>
      </c>
      <c r="N161" s="55" t="n">
        <f aca="false">$B$2-M161</f>
        <v>688</v>
      </c>
      <c r="O161" s="56" t="str">
        <f aca="false">IF(N161&lt;8,"VERIFICADO",IF(N161&lt;15,"VERIFICAR","VERIFICAR URGENTE"))</f>
        <v>VERIFICAR URGENTE</v>
      </c>
      <c r="P161" s="40"/>
      <c r="Q161" s="40"/>
      <c r="R161" s="40"/>
      <c r="S161" s="40"/>
      <c r="T161" s="40"/>
      <c r="U161" s="40"/>
    </row>
    <row r="162" customFormat="false" ht="15.75" hidden="false" customHeight="true" outlineLevel="0" collapsed="false">
      <c r="A162" s="40" t="s">
        <v>645</v>
      </c>
      <c r="B162" s="57" t="n">
        <f aca="false">M162</f>
        <v>45448</v>
      </c>
      <c r="C162" s="34" t="n">
        <v>45345</v>
      </c>
      <c r="D162" s="34" t="n">
        <v>45435</v>
      </c>
      <c r="E162" s="35" t="n">
        <f aca="false">(D162-C162)/7</f>
        <v>12.8571428571429</v>
      </c>
      <c r="F162" s="35" t="n">
        <f aca="false">($B$2-C162)/7</f>
        <v>118</v>
      </c>
      <c r="G162" s="36" t="n">
        <v>16</v>
      </c>
      <c r="H162" s="36" t="n">
        <v>1</v>
      </c>
      <c r="I162" s="37"/>
      <c r="J162" s="37"/>
      <c r="K162" s="38" t="n">
        <f aca="false">IFERROR(((F162*G162)/E162)-H162,"")</f>
        <v>145.844444444444</v>
      </c>
      <c r="L162" s="36" t="str">
        <f aca="false">IF(K162&lt;-10,"MUITO ADIANTADO",IF(K162&lt;-6,"ADIANTADO",IF(K162&lt;6,"EM DIAS",IF(K162&lt;12,"ATRASADO","MUITO ATRASADO"))))</f>
        <v>MUITO ATRASADO</v>
      </c>
      <c r="M162" s="39" t="n">
        <v>45448</v>
      </c>
      <c r="N162" s="55" t="n">
        <f aca="false">$B$2-M162</f>
        <v>723</v>
      </c>
      <c r="O162" s="56" t="str">
        <f aca="false">IF(N162&lt;8,"VERIFICADO",IF(N162&lt;15,"VERIFICAR","VERIFICAR URGENTE"))</f>
        <v>VERIFICAR URGENTE</v>
      </c>
      <c r="P162" s="40"/>
      <c r="Q162" s="40"/>
      <c r="R162" s="40"/>
      <c r="S162" s="40"/>
      <c r="T162" s="40"/>
      <c r="U162" s="40"/>
    </row>
    <row r="163" customFormat="false" ht="15.75" hidden="false" customHeight="true" outlineLevel="0" collapsed="false">
      <c r="A163" s="40" t="s">
        <v>646</v>
      </c>
      <c r="B163" s="57" t="n">
        <f aca="false">M163</f>
        <v>45451</v>
      </c>
      <c r="C163" s="34" t="n">
        <v>44912</v>
      </c>
      <c r="D163" s="34" t="n">
        <v>46203</v>
      </c>
      <c r="E163" s="35" t="n">
        <f aca="false">(D163-C163)/7</f>
        <v>184.428571428571</v>
      </c>
      <c r="F163" s="35" t="n">
        <f aca="false">($B$2-C163)/7</f>
        <v>179.857142857143</v>
      </c>
      <c r="G163" s="36" t="n">
        <v>253</v>
      </c>
      <c r="H163" s="36" t="n">
        <v>80</v>
      </c>
      <c r="I163" s="37"/>
      <c r="J163" s="37"/>
      <c r="K163" s="38" t="n">
        <f aca="false">IFERROR(((F163*G163)/E163)-H163,"")</f>
        <v>166.728892331527</v>
      </c>
      <c r="L163" s="36" t="str">
        <f aca="false">IF(K163&lt;-10,"MUITO ADIANTADO",IF(K163&lt;-6,"ADIANTADO",IF(K163&lt;6,"EM DIAS",IF(K163&lt;12,"ATRASADO","MUITO ATRASADO"))))</f>
        <v>MUITO ATRASADO</v>
      </c>
      <c r="M163" s="39" t="n">
        <v>45451</v>
      </c>
      <c r="N163" s="55" t="n">
        <f aca="false">$B$2-M163</f>
        <v>720</v>
      </c>
      <c r="O163" s="56" t="str">
        <f aca="false">IF(N163&lt;8,"VERIFICADO",IF(N163&lt;15,"VERIFICAR","VERIFICAR URGENTE"))</f>
        <v>VERIFICAR URGENTE</v>
      </c>
      <c r="P163" s="40"/>
      <c r="Q163" s="40"/>
      <c r="R163" s="40"/>
      <c r="S163" s="40"/>
      <c r="T163" s="40"/>
      <c r="U163" s="40"/>
    </row>
    <row r="164" customFormat="false" ht="15.75" hidden="false" customHeight="true" outlineLevel="0" collapsed="false">
      <c r="A164" s="40" t="s">
        <v>647</v>
      </c>
      <c r="B164" s="57" t="n">
        <f aca="false">M164</f>
        <v>45451</v>
      </c>
      <c r="C164" s="34" t="n">
        <v>44397</v>
      </c>
      <c r="D164" s="34" t="n">
        <v>45402</v>
      </c>
      <c r="E164" s="35" t="n">
        <f aca="false">(D164-C164)/7</f>
        <v>143.571428571429</v>
      </c>
      <c r="F164" s="35" t="n">
        <f aca="false">($B$2-C164)/7</f>
        <v>253.428571428571</v>
      </c>
      <c r="G164" s="36" t="n">
        <v>235</v>
      </c>
      <c r="H164" s="36" t="n">
        <v>154</v>
      </c>
      <c r="I164" s="37" t="n">
        <f aca="false">IFERROR(H164/G164,"")</f>
        <v>0.65531914893617</v>
      </c>
      <c r="J164" s="37" t="n">
        <f aca="false">IFERROR(F164/E164,"")</f>
        <v>1.76517412935323</v>
      </c>
      <c r="K164" s="38" t="n">
        <f aca="false">IFERROR(((F164*G164)/E164)-H164,"")</f>
        <v>260.815920398009</v>
      </c>
      <c r="L164" s="36" t="str">
        <f aca="false">IF(K164&lt;-10,"MUITO ADIANTADO",IF(K164&lt;-6,"ADIANTADO",IF(K164&lt;6,"EM DIAS",IF(K164&lt;12,"ATRASADO","MUITO ATRASADO"))))</f>
        <v>MUITO ATRASADO</v>
      </c>
      <c r="M164" s="39" t="n">
        <v>45451</v>
      </c>
      <c r="N164" s="55" t="n">
        <f aca="false">$B$2-M164</f>
        <v>720</v>
      </c>
      <c r="O164" s="56" t="str">
        <f aca="false">IF(N164&lt;8,"VERIFICADO",IF(N164&lt;15,"VERIFICAR","VERIFICAR URGENTE"))</f>
        <v>VERIFICAR URGENTE</v>
      </c>
      <c r="P164" s="40"/>
      <c r="Q164" s="40"/>
      <c r="R164" s="40"/>
      <c r="S164" s="40"/>
      <c r="T164" s="40"/>
      <c r="U164" s="40"/>
    </row>
    <row r="165" customFormat="false" ht="15.75" hidden="false" customHeight="true" outlineLevel="0" collapsed="false">
      <c r="A165" s="40" t="s">
        <v>264</v>
      </c>
      <c r="B165" s="57" t="n">
        <f aca="false">M165</f>
        <v>45450</v>
      </c>
      <c r="C165" s="34" t="n">
        <v>45254</v>
      </c>
      <c r="D165" s="34" t="n">
        <v>45802</v>
      </c>
      <c r="E165" s="35" t="n">
        <f aca="false">(D165-C165)/7</f>
        <v>78.2857142857143</v>
      </c>
      <c r="F165" s="35" t="n">
        <f aca="false">($B$2-C165)/7</f>
        <v>131</v>
      </c>
      <c r="G165" s="36" t="n">
        <v>80</v>
      </c>
      <c r="H165" s="36" t="n">
        <v>42</v>
      </c>
      <c r="I165" s="37"/>
      <c r="J165" s="37"/>
      <c r="K165" s="38" t="n">
        <f aca="false">IFERROR(((F165*G165)/E165)-H165,"")</f>
        <v>91.8686131386861</v>
      </c>
      <c r="L165" s="36" t="str">
        <f aca="false">IF(K165&lt;-10,"MUITO ADIANTADO",IF(K165&lt;-6,"ADIANTADO",IF(K165&lt;6,"EM DIAS",IF(K165&lt;12,"ATRASADO","MUITO ATRASADO"))))</f>
        <v>MUITO ATRASADO</v>
      </c>
      <c r="M165" s="39" t="n">
        <v>45450</v>
      </c>
      <c r="N165" s="55" t="n">
        <f aca="false">$B$2-M165</f>
        <v>721</v>
      </c>
      <c r="O165" s="56" t="str">
        <f aca="false">IF(N165&lt;8,"VERIFICADO",IF(N165&lt;15,"VERIFICAR","VERIFICAR URGENTE"))</f>
        <v>VERIFICAR URGENTE</v>
      </c>
      <c r="P165" s="40"/>
      <c r="Q165" s="40"/>
      <c r="R165" s="40"/>
      <c r="S165" s="40"/>
      <c r="T165" s="40"/>
      <c r="U165" s="40"/>
    </row>
    <row r="166" customFormat="false" ht="15.75" hidden="false" customHeight="true" outlineLevel="0" collapsed="false">
      <c r="A166" s="40" t="s">
        <v>648</v>
      </c>
      <c r="B166" s="57" t="n">
        <f aca="false">M166</f>
        <v>45451</v>
      </c>
      <c r="C166" s="34" t="n">
        <v>44844</v>
      </c>
      <c r="D166" s="34" t="n">
        <v>46137</v>
      </c>
      <c r="E166" s="35" t="n">
        <f aca="false">(D166-C166)/7</f>
        <v>184.714285714286</v>
      </c>
      <c r="F166" s="35" t="n">
        <f aca="false">($B$2-C166)/7</f>
        <v>189.571428571429</v>
      </c>
      <c r="G166" s="36" t="n">
        <v>251</v>
      </c>
      <c r="H166" s="36" t="n">
        <v>87</v>
      </c>
      <c r="I166" s="37" t="n">
        <f aca="false">IFERROR(H166/G166,"")</f>
        <v>0.346613545816733</v>
      </c>
      <c r="J166" s="37" t="n">
        <f aca="false">IFERROR(F166/E166,"")</f>
        <v>1.02629543696829</v>
      </c>
      <c r="K166" s="38" t="n">
        <f aca="false">IFERROR(((F166*G166)/E166)-H166,"")</f>
        <v>170.600154679041</v>
      </c>
      <c r="L166" s="36" t="str">
        <f aca="false">IF(K166&lt;-10,"MUITO ADIANTADO",IF(K166&lt;-6,"ADIANTADO",IF(K166&lt;6,"EM DIAS",IF(K166&lt;12,"ATRASADO","MUITO ATRASADO"))))</f>
        <v>MUITO ATRASADO</v>
      </c>
      <c r="M166" s="39" t="n">
        <v>45451</v>
      </c>
      <c r="N166" s="55" t="n">
        <f aca="false">$B$2-M166</f>
        <v>720</v>
      </c>
      <c r="O166" s="56" t="str">
        <f aca="false">IF(N166&lt;8,"VERIFICADO",IF(N166&lt;15,"VERIFICAR","VERIFICAR URGENTE"))</f>
        <v>VERIFICAR URGENTE</v>
      </c>
      <c r="P166" s="40"/>
      <c r="Q166" s="40"/>
      <c r="R166" s="40"/>
      <c r="S166" s="40"/>
      <c r="T166" s="40"/>
      <c r="U166" s="40"/>
    </row>
    <row r="167" customFormat="false" ht="15.75" hidden="false" customHeight="true" outlineLevel="0" collapsed="false">
      <c r="A167" s="40" t="s">
        <v>649</v>
      </c>
      <c r="B167" s="57" t="n">
        <f aca="false">M167</f>
        <v>45451</v>
      </c>
      <c r="C167" s="34" t="n">
        <v>45162</v>
      </c>
      <c r="D167" s="34" t="n">
        <v>45771</v>
      </c>
      <c r="E167" s="35" t="n">
        <f aca="false">(D167-C167)/7</f>
        <v>87</v>
      </c>
      <c r="F167" s="35" t="n">
        <f aca="false">($B$2-C167)/7</f>
        <v>144.142857142857</v>
      </c>
      <c r="G167" s="36" t="n">
        <v>132</v>
      </c>
      <c r="H167" s="36" t="n">
        <v>25</v>
      </c>
      <c r="I167" s="37"/>
      <c r="J167" s="37"/>
      <c r="K167" s="38" t="n">
        <f aca="false">IFERROR(((F167*G167)/E167)-H167,"")</f>
        <v>193.699507389163</v>
      </c>
      <c r="L167" s="36" t="str">
        <f aca="false">IF(K167&lt;-10,"MUITO ADIANTADO",IF(K167&lt;-6,"ADIANTADO",IF(K167&lt;6,"EM DIAS",IF(K167&lt;12,"ATRASADO","MUITO ATRASADO"))))</f>
        <v>MUITO ATRASADO</v>
      </c>
      <c r="M167" s="39" t="n">
        <v>45451</v>
      </c>
      <c r="N167" s="55" t="n">
        <f aca="false">$B$2-M167</f>
        <v>720</v>
      </c>
      <c r="O167" s="56" t="str">
        <f aca="false">IF(N167&lt;8,"VERIFICADO",IF(N167&lt;15,"VERIFICAR","VERIFICAR URGENTE"))</f>
        <v>VERIFICAR URGENTE</v>
      </c>
      <c r="P167" s="40"/>
      <c r="Q167" s="40"/>
      <c r="R167" s="40"/>
      <c r="S167" s="40"/>
      <c r="T167" s="40"/>
      <c r="U167" s="40"/>
    </row>
    <row r="168" customFormat="false" ht="15.75" hidden="false" customHeight="true" outlineLevel="0" collapsed="false">
      <c r="A168" s="40" t="s">
        <v>498</v>
      </c>
      <c r="B168" s="57" t="n">
        <f aca="false">M168</f>
        <v>45450</v>
      </c>
      <c r="C168" s="34" t="n">
        <v>45152</v>
      </c>
      <c r="D168" s="34" t="n">
        <v>46762</v>
      </c>
      <c r="E168" s="35" t="n">
        <f aca="false">(D168-C168)/7</f>
        <v>230</v>
      </c>
      <c r="F168" s="35" t="n">
        <f aca="false">($B$2-C168)/7</f>
        <v>145.571428571429</v>
      </c>
      <c r="G168" s="36" t="n">
        <v>256</v>
      </c>
      <c r="H168" s="36" t="n">
        <v>60</v>
      </c>
      <c r="I168" s="37"/>
      <c r="J168" s="37"/>
      <c r="K168" s="38" t="n">
        <f aca="false">IFERROR(((F168*G168)/E168)-H168,"")</f>
        <v>102.027329192547</v>
      </c>
      <c r="L168" s="36" t="str">
        <f aca="false">IF(K168&lt;-10,"MUITO ADIANTADO",IF(K168&lt;-6,"ADIANTADO",IF(K168&lt;6,"EM DIAS",IF(K168&lt;12,"ATRASADO","MUITO ATRASADO"))))</f>
        <v>MUITO ATRASADO</v>
      </c>
      <c r="M168" s="39" t="n">
        <v>45450</v>
      </c>
      <c r="N168" s="55" t="n">
        <f aca="false">$B$2-M168</f>
        <v>721</v>
      </c>
      <c r="O168" s="56" t="str">
        <f aca="false">IF(N168&lt;8,"VERIFICADO",IF(N168&lt;15,"VERIFICAR","VERIFICAR URGENTE"))</f>
        <v>VERIFICAR URGENTE</v>
      </c>
      <c r="P168" s="40"/>
      <c r="Q168" s="40"/>
      <c r="R168" s="40"/>
      <c r="S168" s="40"/>
      <c r="T168" s="40"/>
      <c r="U168" s="40"/>
    </row>
    <row r="169" customFormat="false" ht="15.75" hidden="false" customHeight="true" outlineLevel="0" collapsed="false">
      <c r="A169" s="40" t="s">
        <v>650</v>
      </c>
      <c r="B169" s="57" t="n">
        <f aca="false">M169</f>
        <v>45449</v>
      </c>
      <c r="C169" s="34" t="n">
        <v>45214</v>
      </c>
      <c r="D169" s="34" t="n">
        <v>45798</v>
      </c>
      <c r="E169" s="35" t="n">
        <f aca="false">(D169-C169)/7</f>
        <v>83.4285714285714</v>
      </c>
      <c r="F169" s="35" t="n">
        <f aca="false">($B$2-C169)/7</f>
        <v>136.714285714286</v>
      </c>
      <c r="G169" s="36" t="n">
        <v>112</v>
      </c>
      <c r="H169" s="36" t="n">
        <v>49</v>
      </c>
      <c r="I169" s="37" t="n">
        <f aca="false">IFERROR(H169/G169,"")</f>
        <v>0.4375</v>
      </c>
      <c r="J169" s="37" t="n">
        <f aca="false">IFERROR(F169/E169,"")</f>
        <v>1.63869863013699</v>
      </c>
      <c r="K169" s="38" t="n">
        <f aca="false">IFERROR(((F169*G169)/E169)-H169,"")</f>
        <v>134.534246575343</v>
      </c>
      <c r="L169" s="36" t="str">
        <f aca="false">IF(K169&lt;-10,"MUITO ADIANTADO",IF(K169&lt;-6,"ADIANTADO",IF(K169&lt;6,"EM DIAS",IF(K169&lt;12,"ATRASADO","MUITO ATRASADO"))))</f>
        <v>MUITO ATRASADO</v>
      </c>
      <c r="M169" s="39" t="n">
        <v>45449</v>
      </c>
      <c r="N169" s="55" t="n">
        <f aca="false">$B$2-M169</f>
        <v>722</v>
      </c>
      <c r="O169" s="56" t="str">
        <f aca="false">IF(N169&lt;8,"VERIFICADO",IF(N169&lt;15,"VERIFICAR","VERIFICAR URGENTE"))</f>
        <v>VERIFICAR URGENTE</v>
      </c>
      <c r="P169" s="40"/>
      <c r="Q169" s="40"/>
      <c r="R169" s="40"/>
      <c r="S169" s="40"/>
      <c r="T169" s="40"/>
      <c r="U169" s="40"/>
    </row>
    <row r="170" customFormat="false" ht="15.75" hidden="false" customHeight="true" outlineLevel="0" collapsed="false">
      <c r="A170" s="40" t="s">
        <v>651</v>
      </c>
      <c r="B170" s="57" t="n">
        <f aca="false">M170</f>
        <v>45449</v>
      </c>
      <c r="C170" s="34" t="n">
        <v>44896</v>
      </c>
      <c r="D170" s="34" t="n">
        <v>46204</v>
      </c>
      <c r="E170" s="35" t="n">
        <f aca="false">(D170-C170)/7</f>
        <v>186.857142857143</v>
      </c>
      <c r="F170" s="35" t="n">
        <f aca="false">($B$2-C170)/7</f>
        <v>182.142857142857</v>
      </c>
      <c r="G170" s="36" t="n">
        <v>253</v>
      </c>
      <c r="H170" s="36" t="n">
        <v>42</v>
      </c>
      <c r="I170" s="37" t="n">
        <f aca="false">IFERROR(H170/G170,"")</f>
        <v>0.16600790513834</v>
      </c>
      <c r="J170" s="37" t="n">
        <f aca="false">IFERROR(F170/E170,"")</f>
        <v>0.974770642201834</v>
      </c>
      <c r="K170" s="38" t="n">
        <f aca="false">IFERROR(((F170*G170)/E170)-H170,"")</f>
        <v>204.616972477064</v>
      </c>
      <c r="L170" s="36" t="str">
        <f aca="false">IF(K170&lt;-10,"MUITO ADIANTADO",IF(K170&lt;-6,"ADIANTADO",IF(K170&lt;6,"EM DIAS",IF(K170&lt;12,"ATRASADO","MUITO ATRASADO"))))</f>
        <v>MUITO ATRASADO</v>
      </c>
      <c r="M170" s="39" t="n">
        <v>45449</v>
      </c>
      <c r="N170" s="55" t="n">
        <f aca="false">$B$2-M170</f>
        <v>722</v>
      </c>
      <c r="O170" s="56" t="str">
        <f aca="false">IF(N170&lt;8,"VERIFICADO",IF(N170&lt;15,"VERIFICAR","VERIFICAR URGENTE"))</f>
        <v>VERIFICAR URGENTE</v>
      </c>
      <c r="P170" s="40"/>
      <c r="Q170" s="40"/>
      <c r="R170" s="40"/>
      <c r="S170" s="40"/>
      <c r="T170" s="40"/>
      <c r="U170" s="40"/>
    </row>
    <row r="171" customFormat="false" ht="15.75" hidden="false" customHeight="true" outlineLevel="0" collapsed="false">
      <c r="A171" s="40" t="s">
        <v>652</v>
      </c>
      <c r="B171" s="57" t="n">
        <f aca="false">M171</f>
        <v>45449</v>
      </c>
      <c r="C171" s="34" t="n">
        <v>45337</v>
      </c>
      <c r="D171" s="34" t="n">
        <v>45853</v>
      </c>
      <c r="E171" s="35" t="n">
        <f aca="false">(D171-C171)/7</f>
        <v>73.7142857142857</v>
      </c>
      <c r="F171" s="35" t="n">
        <f aca="false">($B$2-C171)/7</f>
        <v>119.142857142857</v>
      </c>
      <c r="G171" s="36" t="n">
        <v>80</v>
      </c>
      <c r="H171" s="36" t="n">
        <v>13</v>
      </c>
      <c r="I171" s="37"/>
      <c r="J171" s="37"/>
      <c r="K171" s="38" t="n">
        <f aca="false">IFERROR(((F171*G171)/E171)-H171,"")</f>
        <v>116.302325581395</v>
      </c>
      <c r="L171" s="36" t="str">
        <f aca="false">IF(K171&lt;-10,"MUITO ADIANTADO",IF(K171&lt;-6,"ADIANTADO",IF(K171&lt;6,"EM DIAS",IF(K171&lt;12,"ATRASADO","MUITO ATRASADO"))))</f>
        <v>MUITO ATRASADO</v>
      </c>
      <c r="M171" s="39" t="n">
        <v>45449</v>
      </c>
      <c r="N171" s="55" t="n">
        <f aca="false">$B$2-M171</f>
        <v>722</v>
      </c>
      <c r="O171" s="56" t="str">
        <f aca="false">IF(N171&lt;8,"VERIFICADO",IF(N171&lt;15,"VERIFICAR","VERIFICAR URGENTE"))</f>
        <v>VERIFICAR URGENTE</v>
      </c>
      <c r="P171" s="40"/>
      <c r="Q171" s="40"/>
      <c r="R171" s="40"/>
      <c r="S171" s="40"/>
      <c r="T171" s="40"/>
      <c r="U171" s="40"/>
    </row>
    <row r="172" customFormat="false" ht="15.75" hidden="false" customHeight="true" outlineLevel="0" collapsed="false">
      <c r="A172" s="40" t="s">
        <v>653</v>
      </c>
      <c r="B172" s="57" t="n">
        <f aca="false">M172</f>
        <v>45450</v>
      </c>
      <c r="C172" s="34" t="n">
        <v>45325</v>
      </c>
      <c r="D172" s="34" t="n">
        <v>45841</v>
      </c>
      <c r="E172" s="35" t="n">
        <f aca="false">(D172-C172)/7</f>
        <v>73.7142857142857</v>
      </c>
      <c r="F172" s="35" t="n">
        <f aca="false">($B$2-C172)/7</f>
        <v>120.857142857143</v>
      </c>
      <c r="G172" s="36" t="n">
        <v>80</v>
      </c>
      <c r="H172" s="36" t="n">
        <v>10</v>
      </c>
      <c r="I172" s="37"/>
      <c r="J172" s="37"/>
      <c r="K172" s="38" t="n">
        <f aca="false">IFERROR(((F172*G172)/E172)-H172,"")</f>
        <v>121.162790697674</v>
      </c>
      <c r="L172" s="36" t="str">
        <f aca="false">IF(K172&lt;-10,"MUITO ADIANTADO",IF(K172&lt;-6,"ADIANTADO",IF(K172&lt;6,"EM DIAS",IF(K172&lt;12,"ATRASADO","MUITO ATRASADO"))))</f>
        <v>MUITO ATRASADO</v>
      </c>
      <c r="M172" s="39" t="n">
        <v>45450</v>
      </c>
      <c r="N172" s="55" t="n">
        <f aca="false">$B$2-M172</f>
        <v>721</v>
      </c>
      <c r="O172" s="41" t="str">
        <f aca="false">IF(N172&lt;8,"VERIFICADO",IF(N172&lt;15,"VERIFICAR","VERIFICAR URGENTE"))</f>
        <v>VERIFICAR URGENTE</v>
      </c>
      <c r="P172" s="40"/>
      <c r="Q172" s="40"/>
      <c r="R172" s="40"/>
      <c r="S172" s="40"/>
      <c r="T172" s="40"/>
      <c r="U172" s="40"/>
    </row>
    <row r="173" customFormat="false" ht="15.75" hidden="false" customHeight="true" outlineLevel="0" collapsed="false">
      <c r="A173" s="40" t="s">
        <v>654</v>
      </c>
      <c r="B173" s="57" t="n">
        <f aca="false">M173</f>
        <v>45449</v>
      </c>
      <c r="C173" s="34" t="n">
        <v>45323</v>
      </c>
      <c r="D173" s="34" t="n">
        <v>45839</v>
      </c>
      <c r="E173" s="35" t="n">
        <f aca="false">(D173-C173)/7</f>
        <v>73.7142857142857</v>
      </c>
      <c r="F173" s="35" t="n">
        <f aca="false">($B$2-C173)/7</f>
        <v>121.142857142857</v>
      </c>
      <c r="G173" s="36" t="n">
        <v>80</v>
      </c>
      <c r="H173" s="36" t="n">
        <v>17</v>
      </c>
      <c r="I173" s="37"/>
      <c r="J173" s="37"/>
      <c r="K173" s="38" t="n">
        <f aca="false">IFERROR(((F173*G173)/E173)-H173,"")</f>
        <v>114.472868217054</v>
      </c>
      <c r="L173" s="36" t="str">
        <f aca="false">IF(K173&lt;-10,"MUITO ADIANTADO",IF(K173&lt;-6,"ADIANTADO",IF(K173&lt;6,"EM DIAS",IF(K173&lt;12,"ATRASADO","MUITO ATRASADO"))))</f>
        <v>MUITO ATRASADO</v>
      </c>
      <c r="M173" s="39" t="n">
        <v>45449</v>
      </c>
      <c r="N173" s="55" t="n">
        <f aca="false">$B$2-M173</f>
        <v>722</v>
      </c>
      <c r="O173" s="56" t="str">
        <f aca="false">IF(N173&lt;8,"VERIFICADO",IF(N173&lt;15,"VERIFICAR","VERIFICAR URGENTE"))</f>
        <v>VERIFICAR URGENTE</v>
      </c>
      <c r="P173" s="40"/>
      <c r="Q173" s="40"/>
      <c r="R173" s="40"/>
      <c r="S173" s="40"/>
      <c r="T173" s="40"/>
      <c r="U173" s="40"/>
    </row>
    <row r="174" customFormat="false" ht="15.75" hidden="false" customHeight="true" outlineLevel="0" collapsed="false">
      <c r="A174" s="40" t="s">
        <v>655</v>
      </c>
      <c r="B174" s="57" t="n">
        <f aca="false">M174</f>
        <v>45450</v>
      </c>
      <c r="C174" s="34" t="n">
        <v>45070</v>
      </c>
      <c r="D174" s="34" t="n">
        <v>45617</v>
      </c>
      <c r="E174" s="35" t="n">
        <f aca="false">(D174-C174)/7</f>
        <v>78.1428571428571</v>
      </c>
      <c r="F174" s="35" t="n">
        <f aca="false">($B$2-C174)/7</f>
        <v>157.285714285714</v>
      </c>
      <c r="G174" s="36" t="n">
        <v>80</v>
      </c>
      <c r="H174" s="36" t="n">
        <v>8</v>
      </c>
      <c r="I174" s="37" t="n">
        <f aca="false">IFERROR(H174/G174,"")</f>
        <v>0.1</v>
      </c>
      <c r="J174" s="37" t="n">
        <f aca="false">IFERROR(F174/E174,"")</f>
        <v>2.0127970749543</v>
      </c>
      <c r="K174" s="38" t="n">
        <f aca="false">IFERROR(((F174*G174)/E174)-H174,"")</f>
        <v>153.023765996344</v>
      </c>
      <c r="L174" s="36" t="str">
        <f aca="false">IF(K174&lt;-10,"MUITO ADIANTADO",IF(K174&lt;-6,"ADIANTADO",IF(K174&lt;6,"EM DIAS",IF(K174&lt;12,"ATRASADO","MUITO ATRASADO"))))</f>
        <v>MUITO ATRASADO</v>
      </c>
      <c r="M174" s="39" t="n">
        <v>45450</v>
      </c>
      <c r="N174" s="55" t="n">
        <f aca="false">$B$2-M174</f>
        <v>721</v>
      </c>
      <c r="O174" s="56" t="str">
        <f aca="false">IF(N174&lt;8,"VERIFICADO",IF(N174&lt;15,"VERIFICAR","VERIFICAR URGENTE"))</f>
        <v>VERIFICAR URGENTE</v>
      </c>
      <c r="P174" s="40"/>
      <c r="Q174" s="40"/>
      <c r="R174" s="40"/>
      <c r="S174" s="40"/>
      <c r="T174" s="40"/>
      <c r="U174" s="40"/>
    </row>
    <row r="175" customFormat="false" ht="15.75" hidden="false" customHeight="true" outlineLevel="0" collapsed="false">
      <c r="A175" s="40" t="s">
        <v>656</v>
      </c>
      <c r="B175" s="57" t="n">
        <f aca="false">M175</f>
        <v>45451</v>
      </c>
      <c r="C175" s="34" t="n">
        <v>44865</v>
      </c>
      <c r="D175" s="34" t="n">
        <v>46157</v>
      </c>
      <c r="E175" s="35" t="n">
        <f aca="false">(D175-C175)/7</f>
        <v>184.571428571429</v>
      </c>
      <c r="F175" s="35" t="n">
        <f aca="false">($B$2-C175)/7</f>
        <v>186.571428571429</v>
      </c>
      <c r="G175" s="36" t="n">
        <v>173</v>
      </c>
      <c r="H175" s="36" t="n">
        <v>46</v>
      </c>
      <c r="I175" s="37" t="n">
        <f aca="false">IFERROR(H175/G175,"")</f>
        <v>0.265895953757225</v>
      </c>
      <c r="J175" s="37" t="n">
        <f aca="false">IFERROR(F175/E175,"")</f>
        <v>1.01083591331269</v>
      </c>
      <c r="K175" s="38" t="n">
        <f aca="false">IFERROR(((F175*G175)/E175)-H175,"")</f>
        <v>128.874613003096</v>
      </c>
      <c r="L175" s="36" t="str">
        <f aca="false">IF(K175&lt;-10,"MUITO ADIANTADO",IF(K175&lt;-6,"ADIANTADO",IF(K175&lt;6,"EM DIAS",IF(K175&lt;12,"ATRASADO","MUITO ATRASADO"))))</f>
        <v>MUITO ATRASADO</v>
      </c>
      <c r="M175" s="39" t="n">
        <v>45451</v>
      </c>
      <c r="N175" s="55" t="n">
        <f aca="false">$B$2-M175</f>
        <v>720</v>
      </c>
      <c r="O175" s="56" t="str">
        <f aca="false">IF(N175&lt;8,"VERIFICADO",IF(N175&lt;15,"VERIFICAR","VERIFICAR URGENTE"))</f>
        <v>VERIFICAR URGENTE</v>
      </c>
      <c r="P175" s="40"/>
      <c r="Q175" s="40"/>
      <c r="R175" s="40"/>
      <c r="S175" s="40"/>
      <c r="T175" s="40"/>
      <c r="U175" s="40"/>
    </row>
    <row r="176" customFormat="false" ht="15.75" hidden="false" customHeight="true" outlineLevel="0" collapsed="false">
      <c r="A176" s="40" t="s">
        <v>657</v>
      </c>
      <c r="B176" s="57" t="n">
        <f aca="false">M176</f>
        <v>45449</v>
      </c>
      <c r="C176" s="34" t="n">
        <v>45064</v>
      </c>
      <c r="D176" s="34" t="n">
        <v>45583</v>
      </c>
      <c r="E176" s="35" t="n">
        <f aca="false">(D176-C176)/7</f>
        <v>74.1428571428571</v>
      </c>
      <c r="F176" s="35" t="n">
        <f aca="false">($B$2-C176)/7</f>
        <v>158.142857142857</v>
      </c>
      <c r="G176" s="36" t="n">
        <v>132</v>
      </c>
      <c r="H176" s="36" t="n">
        <v>89</v>
      </c>
      <c r="I176" s="37" t="n">
        <f aca="false">IFERROR(H176/G176,"")</f>
        <v>0.674242424242424</v>
      </c>
      <c r="J176" s="37" t="n">
        <f aca="false">IFERROR(F176/E176,"")</f>
        <v>2.13294797687861</v>
      </c>
      <c r="K176" s="38" t="n">
        <f aca="false">IFERROR(((F176*G176)/E176)-H176,"")</f>
        <v>192.549132947977</v>
      </c>
      <c r="L176" s="36" t="str">
        <f aca="false">IF(K176&lt;-10,"MUITO ADIANTADO",IF(K176&lt;-6,"ADIANTADO",IF(K176&lt;6,"EM DIAS",IF(K176&lt;12,"ATRASADO","MUITO ATRASADO"))))</f>
        <v>MUITO ATRASADO</v>
      </c>
      <c r="M176" s="39" t="n">
        <v>45449</v>
      </c>
      <c r="N176" s="55" t="n">
        <f aca="false">$B$2-M176</f>
        <v>722</v>
      </c>
      <c r="O176" s="56" t="str">
        <f aca="false">IF(N176&lt;8,"VERIFICADO",IF(N176&lt;15,"VERIFICAR","VERIFICAR URGENTE"))</f>
        <v>VERIFICAR URGENTE</v>
      </c>
      <c r="P176" s="40"/>
      <c r="Q176" s="40"/>
      <c r="R176" s="40"/>
      <c r="S176" s="40"/>
      <c r="T176" s="40"/>
      <c r="U176" s="40"/>
    </row>
    <row r="177" customFormat="false" ht="15.75" hidden="false" customHeight="true" outlineLevel="0" collapsed="false">
      <c r="A177" s="40" t="s">
        <v>658</v>
      </c>
      <c r="B177" s="57" t="n">
        <f aca="false">M177</f>
        <v>45449</v>
      </c>
      <c r="C177" s="34" t="n">
        <v>45309</v>
      </c>
      <c r="D177" s="34" t="n">
        <v>45400</v>
      </c>
      <c r="E177" s="35" t="n">
        <f aca="false">(D177-C177)/7</f>
        <v>13</v>
      </c>
      <c r="F177" s="35" t="n">
        <f aca="false">($B$2-C177)/7</f>
        <v>123.142857142857</v>
      </c>
      <c r="G177" s="36" t="n">
        <v>16</v>
      </c>
      <c r="H177" s="36" t="n">
        <v>9</v>
      </c>
      <c r="I177" s="37"/>
      <c r="J177" s="37"/>
      <c r="K177" s="38" t="n">
        <f aca="false">IFERROR(((F177*G177)/E177)-H177,"")</f>
        <v>142.56043956044</v>
      </c>
      <c r="L177" s="36" t="str">
        <f aca="false">IF(K177&lt;-10,"MUITO ADIANTADO",IF(K177&lt;-6,"ADIANTADO",IF(K177&lt;6,"EM DIAS",IF(K177&lt;12,"ATRASADO","MUITO ATRASADO"))))</f>
        <v>MUITO ATRASADO</v>
      </c>
      <c r="M177" s="39" t="n">
        <v>45449</v>
      </c>
      <c r="N177" s="55" t="n">
        <f aca="false">$B$2-M177</f>
        <v>722</v>
      </c>
      <c r="O177" s="56" t="str">
        <f aca="false">IF(N177&lt;8,"VERIFICADO",IF(N177&lt;15,"VERIFICAR","VERIFICAR URGENTE"))</f>
        <v>VERIFICAR URGENTE</v>
      </c>
      <c r="P177" s="40"/>
      <c r="Q177" s="40"/>
      <c r="R177" s="40"/>
      <c r="S177" s="40"/>
      <c r="T177" s="40"/>
      <c r="U177" s="40"/>
    </row>
    <row r="178" customFormat="false" ht="15.75" hidden="false" customHeight="true" outlineLevel="0" collapsed="false">
      <c r="A178" s="40" t="s">
        <v>659</v>
      </c>
      <c r="B178" s="57" t="n">
        <f aca="false">M178</f>
        <v>45449</v>
      </c>
      <c r="C178" s="34" t="n">
        <v>45043</v>
      </c>
      <c r="D178" s="34" t="n">
        <v>45570</v>
      </c>
      <c r="E178" s="35" t="n">
        <f aca="false">(D178-C178)/7</f>
        <v>75.2857142857143</v>
      </c>
      <c r="F178" s="35" t="n">
        <f aca="false">($B$2-C178)/7</f>
        <v>161.142857142857</v>
      </c>
      <c r="G178" s="36" t="n">
        <v>80</v>
      </c>
      <c r="H178" s="36" t="n">
        <v>63</v>
      </c>
      <c r="I178" s="37" t="n">
        <f aca="false">IFERROR(H178/G178,"")</f>
        <v>0.7875</v>
      </c>
      <c r="J178" s="37" t="n">
        <f aca="false">IFERROR(F178/E178,"")</f>
        <v>2.1404174573055</v>
      </c>
      <c r="K178" s="38" t="n">
        <f aca="false">IFERROR(((F178*G178)/E178)-H178,"")</f>
        <v>108.23339658444</v>
      </c>
      <c r="L178" s="36" t="str">
        <f aca="false">IF(K178&lt;-10,"MUITO ADIANTADO",IF(K178&lt;-6,"ADIANTADO",IF(K178&lt;6,"EM DIAS",IF(K178&lt;12,"ATRASADO","MUITO ATRASADO"))))</f>
        <v>MUITO ATRASADO</v>
      </c>
      <c r="M178" s="39" t="n">
        <v>45449</v>
      </c>
      <c r="N178" s="55" t="n">
        <f aca="false">$B$2-M178</f>
        <v>722</v>
      </c>
      <c r="O178" s="56" t="str">
        <f aca="false">IF(N178&lt;8,"VERIFICADO",IF(N178&lt;15,"VERIFICAR","VERIFICAR URGENTE"))</f>
        <v>VERIFICAR URGENTE</v>
      </c>
      <c r="P178" s="40"/>
      <c r="Q178" s="40"/>
      <c r="R178" s="40"/>
      <c r="S178" s="40"/>
      <c r="T178" s="40"/>
      <c r="U178" s="40"/>
    </row>
    <row r="179" customFormat="false" ht="15.75" hidden="false" customHeight="true" outlineLevel="0" collapsed="false">
      <c r="A179" s="40" t="s">
        <v>660</v>
      </c>
      <c r="B179" s="57" t="n">
        <f aca="false">M179</f>
        <v>45451</v>
      </c>
      <c r="C179" s="34" t="n">
        <v>45311</v>
      </c>
      <c r="D179" s="34" t="n">
        <v>45823</v>
      </c>
      <c r="E179" s="35" t="n">
        <f aca="false">(D179-C179)/7</f>
        <v>73.1428571428571</v>
      </c>
      <c r="F179" s="35" t="n">
        <f aca="false">($B$2-C179)/7</f>
        <v>122.857142857143</v>
      </c>
      <c r="G179" s="36" t="n">
        <v>96</v>
      </c>
      <c r="H179" s="36" t="n">
        <v>31</v>
      </c>
      <c r="I179" s="37" t="n">
        <f aca="false">IFERROR(H179/G179,"")</f>
        <v>0.322916666666667</v>
      </c>
      <c r="J179" s="37" t="n">
        <f aca="false">IFERROR(F179/E179,"")</f>
        <v>1.6796875</v>
      </c>
      <c r="K179" s="38" t="n">
        <f aca="false">IFERROR(((F179*G179)/E179)-H179,"")</f>
        <v>130.25</v>
      </c>
      <c r="L179" s="36" t="str">
        <f aca="false">IF(K179&lt;-10,"MUITO ADIANTADO",IF(K179&lt;-6,"ADIANTADO",IF(K179&lt;6,"EM DIAS",IF(K179&lt;12,"ATRASADO","MUITO ATRASADO"))))</f>
        <v>MUITO ATRASADO</v>
      </c>
      <c r="M179" s="39" t="n">
        <v>45451</v>
      </c>
      <c r="N179" s="55" t="n">
        <f aca="false">$B$2-M179</f>
        <v>720</v>
      </c>
      <c r="O179" s="56" t="str">
        <f aca="false">IF(N179&lt;8,"VERIFICADO",IF(N179&lt;15,"VERIFICAR","VERIFICAR URGENTE"))</f>
        <v>VERIFICAR URGENTE</v>
      </c>
      <c r="P179" s="40"/>
      <c r="Q179" s="40"/>
      <c r="R179" s="40"/>
      <c r="S179" s="40"/>
      <c r="T179" s="40"/>
      <c r="U179" s="40"/>
    </row>
    <row r="180" customFormat="false" ht="15.75" hidden="false" customHeight="true" outlineLevel="0" collapsed="false">
      <c r="A180" s="40" t="s">
        <v>661</v>
      </c>
      <c r="B180" s="57" t="n">
        <f aca="false">M180</f>
        <v>45449</v>
      </c>
      <c r="C180" s="34" t="n">
        <v>45204</v>
      </c>
      <c r="D180" s="34" t="n">
        <v>46137</v>
      </c>
      <c r="E180" s="35" t="n">
        <f aca="false">(D180-C180)/7</f>
        <v>133.285714285714</v>
      </c>
      <c r="F180" s="35" t="n">
        <f aca="false">($B$2-C180)/7</f>
        <v>138.142857142857</v>
      </c>
      <c r="G180" s="36" t="n">
        <v>144</v>
      </c>
      <c r="H180" s="36" t="n">
        <v>32</v>
      </c>
      <c r="I180" s="37"/>
      <c r="J180" s="37"/>
      <c r="K180" s="38" t="n">
        <f aca="false">IFERROR(((F180*G180)/E180)-H180,"")</f>
        <v>117.247588424438</v>
      </c>
      <c r="L180" s="36" t="str">
        <f aca="false">IF(K180&lt;-10,"MUITO ADIANTADO",IF(K180&lt;-6,"ADIANTADO",IF(K180&lt;6,"EM DIAS",IF(K180&lt;12,"ATRASADO","MUITO ATRASADO"))))</f>
        <v>MUITO ATRASADO</v>
      </c>
      <c r="M180" s="39" t="n">
        <v>45449</v>
      </c>
      <c r="N180" s="55" t="n">
        <f aca="false">$B$2-M180</f>
        <v>722</v>
      </c>
      <c r="O180" s="56" t="str">
        <f aca="false">IF(N180&lt;8,"VERIFICADO",IF(N180&lt;15,"VERIFICAR","VERIFICAR URGENTE"))</f>
        <v>VERIFICAR URGENTE</v>
      </c>
      <c r="P180" s="40"/>
      <c r="Q180" s="40"/>
      <c r="R180" s="40"/>
      <c r="S180" s="40"/>
      <c r="T180" s="40"/>
      <c r="U180" s="40"/>
    </row>
    <row r="181" customFormat="false" ht="15.75" hidden="false" customHeight="true" outlineLevel="0" collapsed="false">
      <c r="A181" s="40" t="s">
        <v>662</v>
      </c>
      <c r="B181" s="57" t="n">
        <f aca="false">M181</f>
        <v>45451</v>
      </c>
      <c r="C181" s="34" t="n">
        <v>45169</v>
      </c>
      <c r="D181" s="34" t="n">
        <v>45955</v>
      </c>
      <c r="E181" s="35" t="n">
        <f aca="false">(D181-C181)/7</f>
        <v>112.285714285714</v>
      </c>
      <c r="F181" s="35" t="n">
        <f aca="false">($B$2-C181)/7</f>
        <v>143.142857142857</v>
      </c>
      <c r="G181" s="36" t="n">
        <v>112</v>
      </c>
      <c r="H181" s="36" t="n">
        <v>7</v>
      </c>
      <c r="I181" s="37"/>
      <c r="J181" s="37"/>
      <c r="K181" s="38" t="n">
        <f aca="false">IFERROR(((F181*G181)/E181)-H181,"")</f>
        <v>135.778625954199</v>
      </c>
      <c r="L181" s="36" t="str">
        <f aca="false">IF(K181&lt;-10,"MUITO ADIANTADO",IF(K181&lt;-6,"ADIANTADO",IF(K181&lt;6,"EM DIAS",IF(K181&lt;12,"ATRASADO","MUITO ATRASADO"))))</f>
        <v>MUITO ATRASADO</v>
      </c>
      <c r="M181" s="39" t="n">
        <v>45451</v>
      </c>
      <c r="N181" s="55" t="n">
        <f aca="false">$B$2-M181</f>
        <v>720</v>
      </c>
      <c r="O181" s="56" t="str">
        <f aca="false">IF(N181&lt;8,"VERIFICADO",IF(N181&lt;15,"VERIFICAR","VERIFICAR URGENTE"))</f>
        <v>VERIFICAR URGENTE</v>
      </c>
      <c r="P181" s="40"/>
      <c r="Q181" s="40"/>
      <c r="R181" s="40"/>
      <c r="S181" s="40"/>
      <c r="T181" s="40"/>
      <c r="U181" s="40"/>
    </row>
    <row r="182" customFormat="false" ht="15.75" hidden="false" customHeight="true" outlineLevel="0" collapsed="false">
      <c r="A182" s="40" t="s">
        <v>663</v>
      </c>
      <c r="B182" s="57" t="n">
        <f aca="false">M182</f>
        <v>45450</v>
      </c>
      <c r="C182" s="34" t="n">
        <v>45204</v>
      </c>
      <c r="D182" s="34" t="n">
        <v>45717</v>
      </c>
      <c r="E182" s="35" t="n">
        <f aca="false">(D182-C182)/7</f>
        <v>73.2857142857143</v>
      </c>
      <c r="F182" s="35" t="n">
        <f aca="false">($B$2-C182)/7</f>
        <v>138.142857142857</v>
      </c>
      <c r="G182" s="36" t="n">
        <v>80</v>
      </c>
      <c r="H182" s="36" t="n">
        <v>30</v>
      </c>
      <c r="I182" s="37"/>
      <c r="J182" s="37"/>
      <c r="K182" s="38" t="n">
        <f aca="false">IFERROR(((F182*G182)/E182)-H182,"")</f>
        <v>120.799220272904</v>
      </c>
      <c r="L182" s="36" t="str">
        <f aca="false">IF(K182&lt;-10,"MUITO ADIANTADO",IF(K182&lt;-6,"ADIANTADO",IF(K182&lt;6,"EM DIAS",IF(K182&lt;12,"ATRASADO","MUITO ATRASADO"))))</f>
        <v>MUITO ATRASADO</v>
      </c>
      <c r="M182" s="39" t="n">
        <v>45450</v>
      </c>
      <c r="N182" s="55" t="n">
        <f aca="false">$B$2-M182</f>
        <v>721</v>
      </c>
      <c r="O182" s="56" t="str">
        <f aca="false">IF(N182&lt;8,"VERIFICADO",IF(N182&lt;15,"VERIFICAR","VERIFICAR URGENTE"))</f>
        <v>VERIFICAR URGENTE</v>
      </c>
      <c r="P182" s="40"/>
      <c r="Q182" s="40"/>
      <c r="R182" s="40"/>
      <c r="S182" s="40"/>
      <c r="T182" s="40"/>
      <c r="U182" s="40"/>
    </row>
    <row r="183" customFormat="false" ht="15.75" hidden="false" customHeight="true" outlineLevel="0" collapsed="false">
      <c r="A183" s="40" t="s">
        <v>664</v>
      </c>
      <c r="B183" s="57" t="n">
        <f aca="false">M183</f>
        <v>45449</v>
      </c>
      <c r="C183" s="34" t="n">
        <v>45239</v>
      </c>
      <c r="D183" s="34" t="n">
        <v>46090</v>
      </c>
      <c r="E183" s="35" t="n">
        <f aca="false">(D183-C183)/7</f>
        <v>121.571428571429</v>
      </c>
      <c r="F183" s="35" t="n">
        <f aca="false">($B$2-C183)/7</f>
        <v>133.142857142857</v>
      </c>
      <c r="G183" s="36" t="n">
        <v>128</v>
      </c>
      <c r="H183" s="36" t="n">
        <v>31</v>
      </c>
      <c r="I183" s="37"/>
      <c r="J183" s="37"/>
      <c r="K183" s="38" t="n">
        <f aca="false">IFERROR(((F183*G183)/E183)-H183,"")</f>
        <v>109.183313748531</v>
      </c>
      <c r="L183" s="36" t="str">
        <f aca="false">IF(K183&lt;-10,"MUITO ADIANTADO",IF(K183&lt;-6,"ADIANTADO",IF(K183&lt;6,"EM DIAS",IF(K183&lt;12,"ATRASADO","MUITO ATRASADO"))))</f>
        <v>MUITO ATRASADO</v>
      </c>
      <c r="M183" s="39" t="n">
        <v>45449</v>
      </c>
      <c r="N183" s="55" t="n">
        <f aca="false">$B$2-M183</f>
        <v>722</v>
      </c>
      <c r="O183" s="56" t="str">
        <f aca="false">IF(N183&lt;8,"VERIFICADO",IF(N183&lt;15,"VERIFICAR","VERIFICAR URGENTE"))</f>
        <v>VERIFICAR URGENTE</v>
      </c>
      <c r="P183" s="40"/>
      <c r="Q183" s="40"/>
      <c r="R183" s="40"/>
      <c r="S183" s="40"/>
      <c r="T183" s="40"/>
      <c r="U183" s="40"/>
    </row>
    <row r="184" customFormat="false" ht="15.75" hidden="false" customHeight="true" outlineLevel="0" collapsed="false">
      <c r="A184" s="40" t="s">
        <v>665</v>
      </c>
      <c r="B184" s="57" t="n">
        <f aca="false">M184</f>
        <v>45451</v>
      </c>
      <c r="C184" s="34" t="n">
        <v>45339</v>
      </c>
      <c r="D184" s="34" t="n">
        <v>45855</v>
      </c>
      <c r="E184" s="35" t="n">
        <f aca="false">(D184-C184)/7</f>
        <v>73.7142857142857</v>
      </c>
      <c r="F184" s="35" t="n">
        <f aca="false">($B$2-C184)/7</f>
        <v>118.857142857143</v>
      </c>
      <c r="G184" s="36" t="n">
        <v>80</v>
      </c>
      <c r="H184" s="36" t="n">
        <v>26</v>
      </c>
      <c r="I184" s="37"/>
      <c r="J184" s="37"/>
      <c r="K184" s="38" t="n">
        <f aca="false">IFERROR(((F184*G184)/E184)-H184,"")</f>
        <v>102.992248062016</v>
      </c>
      <c r="L184" s="36" t="str">
        <f aca="false">IF(K184&lt;-10,"MUITO ADIANTADO",IF(K184&lt;-6,"ADIANTADO",IF(K184&lt;6,"EM DIAS",IF(K184&lt;12,"ATRASADO","MUITO ATRASADO"))))</f>
        <v>MUITO ATRASADO</v>
      </c>
      <c r="M184" s="39" t="n">
        <v>45451</v>
      </c>
      <c r="N184" s="55" t="n">
        <f aca="false">$B$2-M184</f>
        <v>720</v>
      </c>
      <c r="O184" s="56" t="str">
        <f aca="false">IF(N184&lt;8,"VERIFICADO",IF(N184&lt;15,"VERIFICAR","VERIFICAR URGENTE"))</f>
        <v>VERIFICAR URGENTE</v>
      </c>
      <c r="P184" s="40"/>
      <c r="Q184" s="40"/>
      <c r="R184" s="40"/>
      <c r="S184" s="40"/>
      <c r="T184" s="40"/>
      <c r="U184" s="40"/>
    </row>
    <row r="185" customFormat="false" ht="15.75" hidden="false" customHeight="true" outlineLevel="0" collapsed="false">
      <c r="A185" s="40" t="s">
        <v>113</v>
      </c>
      <c r="B185" s="57" t="n">
        <f aca="false">M185</f>
        <v>45453</v>
      </c>
      <c r="C185" s="34" t="n">
        <v>44853</v>
      </c>
      <c r="D185" s="34" t="n">
        <v>46122</v>
      </c>
      <c r="E185" s="35" t="n">
        <f aca="false">(D185-C185)/7</f>
        <v>181.285714285714</v>
      </c>
      <c r="F185" s="35" t="n">
        <f aca="false">($B$2-C185)/7</f>
        <v>188.285714285714</v>
      </c>
      <c r="G185" s="36" t="n">
        <v>253</v>
      </c>
      <c r="H185" s="36" t="n">
        <v>88</v>
      </c>
      <c r="I185" s="37" t="n">
        <f aca="false">IFERROR(H185/G185,"")</f>
        <v>0.347826086956522</v>
      </c>
      <c r="J185" s="37" t="n">
        <f aca="false">IFERROR(F185/E185,"")</f>
        <v>1.03861308116627</v>
      </c>
      <c r="K185" s="38" t="n">
        <f aca="false">IFERROR(((F185*G185)/E185)-H185,"")</f>
        <v>174.769109535067</v>
      </c>
      <c r="L185" s="36" t="str">
        <f aca="false">IF(K185&lt;-10,"MUITO ADIANTADO",IF(K185&lt;-6,"ADIANTADO",IF(K185&lt;6,"EM DIAS",IF(K185&lt;12,"ATRASADO","MUITO ATRASADO"))))</f>
        <v>MUITO ATRASADO</v>
      </c>
      <c r="M185" s="39" t="n">
        <v>45453</v>
      </c>
      <c r="N185" s="55" t="n">
        <f aca="false">$B$2-M185</f>
        <v>718</v>
      </c>
      <c r="O185" s="56" t="str">
        <f aca="false">IF(N185&lt;8,"VERIFICADO",IF(N185&lt;15,"VERIFICAR","VERIFICAR URGENTE"))</f>
        <v>VERIFICAR URGENTE</v>
      </c>
      <c r="P185" s="40"/>
      <c r="Q185" s="40"/>
      <c r="R185" s="40"/>
      <c r="S185" s="40"/>
      <c r="T185" s="40"/>
      <c r="U185" s="40"/>
    </row>
    <row r="186" customFormat="false" ht="15.75" hidden="false" customHeight="true" outlineLevel="0" collapsed="false">
      <c r="A186" s="40" t="s">
        <v>666</v>
      </c>
      <c r="B186" s="57" t="n">
        <f aca="false">M186</f>
        <v>45449</v>
      </c>
      <c r="C186" s="34" t="n">
        <v>45246</v>
      </c>
      <c r="D186" s="34" t="n">
        <v>45802</v>
      </c>
      <c r="E186" s="35" t="n">
        <f aca="false">(D186-C186)/7</f>
        <v>79.4285714285714</v>
      </c>
      <c r="F186" s="35" t="n">
        <f aca="false">($B$2-C186)/7</f>
        <v>132.142857142857</v>
      </c>
      <c r="G186" s="36" t="n">
        <v>80</v>
      </c>
      <c r="H186" s="36" t="n">
        <v>27</v>
      </c>
      <c r="I186" s="37"/>
      <c r="J186" s="37"/>
      <c r="K186" s="38" t="n">
        <f aca="false">IFERROR(((F186*G186)/E186)-H186,"")</f>
        <v>106.093525179856</v>
      </c>
      <c r="L186" s="36" t="str">
        <f aca="false">IF(K186&lt;-10,"MUITO ADIANTADO",IF(K186&lt;-6,"ADIANTADO",IF(K186&lt;6,"EM DIAS",IF(K186&lt;12,"ATRASADO","MUITO ATRASADO"))))</f>
        <v>MUITO ATRASADO</v>
      </c>
      <c r="M186" s="39" t="n">
        <v>45449</v>
      </c>
      <c r="N186" s="55" t="n">
        <f aca="false">$B$2-M186</f>
        <v>722</v>
      </c>
      <c r="O186" s="56" t="str">
        <f aca="false">IF(N186&lt;8,"VERIFICADO",IF(N186&lt;15,"VERIFICAR","VERIFICAR URGENTE"))</f>
        <v>VERIFICAR URGENTE</v>
      </c>
      <c r="P186" s="40"/>
      <c r="Q186" s="40"/>
      <c r="R186" s="40"/>
      <c r="S186" s="40"/>
      <c r="T186" s="40"/>
      <c r="U186" s="40"/>
    </row>
    <row r="187" customFormat="false" ht="15.75" hidden="false" customHeight="true" outlineLevel="0" collapsed="false">
      <c r="A187" s="40" t="s">
        <v>667</v>
      </c>
      <c r="B187" s="57" t="n">
        <f aca="false">M187</f>
        <v>45449</v>
      </c>
      <c r="C187" s="34" t="n">
        <v>45134</v>
      </c>
      <c r="D187" s="34" t="n">
        <v>45711</v>
      </c>
      <c r="E187" s="35" t="n">
        <f aca="false">(D187-C187)/7</f>
        <v>82.4285714285714</v>
      </c>
      <c r="F187" s="35" t="n">
        <f aca="false">($B$2-C187)/7</f>
        <v>148.142857142857</v>
      </c>
      <c r="G187" s="36" t="n">
        <v>96</v>
      </c>
      <c r="H187" s="36" t="n">
        <v>63</v>
      </c>
      <c r="I187" s="37" t="n">
        <f aca="false">IFERROR(H187/G187,"")</f>
        <v>0.65625</v>
      </c>
      <c r="J187" s="37" t="n">
        <f aca="false">IFERROR(F187/E187,"")</f>
        <v>1.79722703639515</v>
      </c>
      <c r="K187" s="38" t="n">
        <f aca="false">IFERROR(((F187*G187)/E187)-H187,"")</f>
        <v>109.533795493934</v>
      </c>
      <c r="L187" s="36" t="str">
        <f aca="false">IF(K187&lt;-10,"MUITO ADIANTADO",IF(K187&lt;-6,"ADIANTADO",IF(K187&lt;6,"EM DIAS",IF(K187&lt;12,"ATRASADO","MUITO ATRASADO"))))</f>
        <v>MUITO ATRASADO</v>
      </c>
      <c r="M187" s="39" t="n">
        <v>45449</v>
      </c>
      <c r="N187" s="55" t="n">
        <f aca="false">$B$2-M187</f>
        <v>722</v>
      </c>
      <c r="O187" s="56" t="str">
        <f aca="false">IF(N187&lt;8,"VERIFICADO",IF(N187&lt;15,"VERIFICAR","VERIFICAR URGENTE"))</f>
        <v>VERIFICAR URGENTE</v>
      </c>
      <c r="P187" s="40"/>
      <c r="Q187" s="40"/>
      <c r="R187" s="40"/>
      <c r="S187" s="40"/>
      <c r="T187" s="40"/>
      <c r="U187" s="40"/>
    </row>
    <row r="188" customFormat="false" ht="15.75" hidden="false" customHeight="true" outlineLevel="0" collapsed="false">
      <c r="A188" s="40" t="s">
        <v>668</v>
      </c>
      <c r="B188" s="57" t="n">
        <f aca="false">M188</f>
        <v>45449</v>
      </c>
      <c r="C188" s="34" t="n">
        <v>44937</v>
      </c>
      <c r="D188" s="34" t="n">
        <v>45551</v>
      </c>
      <c r="E188" s="35" t="n">
        <f aca="false">(D188-C188)/7</f>
        <v>87.7142857142857</v>
      </c>
      <c r="F188" s="35" t="n">
        <f aca="false">($B$2-C188)/7</f>
        <v>176.285714285714</v>
      </c>
      <c r="G188" s="36" t="n">
        <v>112</v>
      </c>
      <c r="H188" s="36" t="n">
        <v>77</v>
      </c>
      <c r="I188" s="37" t="n">
        <f aca="false">IFERROR(H188/G188,"")</f>
        <v>0.6875</v>
      </c>
      <c r="J188" s="37" t="n">
        <f aca="false">IFERROR(F188/E188,"")</f>
        <v>2.00977198697068</v>
      </c>
      <c r="K188" s="38" t="n">
        <f aca="false">IFERROR(((F188*G188)/E188)-H188,"")</f>
        <v>148.094462540717</v>
      </c>
      <c r="L188" s="36" t="str">
        <f aca="false">IF(K188&lt;-10,"MUITO ADIANTADO",IF(K188&lt;-6,"ADIANTADO",IF(K188&lt;6,"EM DIAS",IF(K188&lt;12,"ATRASADO","MUITO ATRASADO"))))</f>
        <v>MUITO ATRASADO</v>
      </c>
      <c r="M188" s="39" t="n">
        <v>45449</v>
      </c>
      <c r="N188" s="55" t="n">
        <f aca="false">$B$2-M188</f>
        <v>722</v>
      </c>
      <c r="O188" s="56" t="str">
        <f aca="false">IF(N188&lt;8,"VERIFICADO",IF(N188&lt;15,"VERIFICAR","VERIFICAR URGENTE"))</f>
        <v>VERIFICAR URGENTE</v>
      </c>
      <c r="P188" s="40"/>
      <c r="Q188" s="40"/>
      <c r="R188" s="40"/>
      <c r="S188" s="40"/>
      <c r="T188" s="40"/>
      <c r="U188" s="40"/>
    </row>
    <row r="189" customFormat="false" ht="15.75" hidden="false" customHeight="true" outlineLevel="0" collapsed="false">
      <c r="A189" s="40" t="s">
        <v>253</v>
      </c>
      <c r="B189" s="57" t="n">
        <f aca="false">M189</f>
        <v>45451</v>
      </c>
      <c r="C189" s="34" t="n">
        <v>45141</v>
      </c>
      <c r="D189" s="34" t="n">
        <v>46244</v>
      </c>
      <c r="E189" s="35" t="n">
        <f aca="false">(D189-C189)/7</f>
        <v>157.571428571429</v>
      </c>
      <c r="F189" s="35" t="n">
        <f aca="false">($B$2-C189)/7</f>
        <v>147.142857142857</v>
      </c>
      <c r="G189" s="36" t="n">
        <v>196</v>
      </c>
      <c r="H189" s="36" t="n">
        <v>55</v>
      </c>
      <c r="I189" s="37" t="n">
        <f aca="false">IFERROR(H189/G189,"")</f>
        <v>0.280612244897959</v>
      </c>
      <c r="J189" s="37" t="n">
        <f aca="false">IFERROR(F189/E189,"")</f>
        <v>0.933816863100632</v>
      </c>
      <c r="K189" s="38" t="n">
        <f aca="false">IFERROR(((F189*G189)/E189)-H189,"")</f>
        <v>128.028105167724</v>
      </c>
      <c r="L189" s="36" t="str">
        <f aca="false">IF(K189&lt;-10,"MUITO ADIANTADO",IF(K189&lt;-6,"ADIANTADO",IF(K189&lt;6,"EM DIAS",IF(K189&lt;12,"ATRASADO","MUITO ATRASADO"))))</f>
        <v>MUITO ATRASADO</v>
      </c>
      <c r="M189" s="39" t="n">
        <v>45451</v>
      </c>
      <c r="N189" s="55" t="n">
        <f aca="false">$B$2-M189</f>
        <v>720</v>
      </c>
      <c r="O189" s="56" t="str">
        <f aca="false">IF(N189&lt;8,"VERIFICADO",IF(N189&lt;15,"VERIFICAR","VERIFICAR URGENTE"))</f>
        <v>VERIFICAR URGENTE</v>
      </c>
      <c r="P189" s="40"/>
      <c r="Q189" s="40"/>
      <c r="R189" s="40"/>
      <c r="S189" s="40"/>
      <c r="T189" s="40"/>
      <c r="U189" s="40"/>
    </row>
    <row r="190" customFormat="false" ht="15.75" hidden="false" customHeight="true" outlineLevel="0" collapsed="false">
      <c r="A190" s="40" t="s">
        <v>669</v>
      </c>
      <c r="B190" s="57" t="n">
        <f aca="false">M190</f>
        <v>45449</v>
      </c>
      <c r="C190" s="34" t="n">
        <v>45323</v>
      </c>
      <c r="D190" s="34" t="n">
        <v>45853</v>
      </c>
      <c r="E190" s="35" t="n">
        <f aca="false">(D190-C190)/7</f>
        <v>75.7142857142857</v>
      </c>
      <c r="F190" s="35" t="n">
        <f aca="false">($B$2-C190)/7</f>
        <v>121.142857142857</v>
      </c>
      <c r="G190" s="36" t="n">
        <v>80</v>
      </c>
      <c r="H190" s="36" t="n">
        <v>22</v>
      </c>
      <c r="I190" s="37"/>
      <c r="J190" s="37"/>
      <c r="K190" s="38" t="n">
        <f aca="false">IFERROR(((F190*G190)/E190)-H190,"")</f>
        <v>106</v>
      </c>
      <c r="L190" s="36" t="str">
        <f aca="false">IF(K190&lt;-10,"MUITO ADIANTADO",IF(K190&lt;-6,"ADIANTADO",IF(K190&lt;6,"EM DIAS",IF(K190&lt;12,"ATRASADO","MUITO ATRASADO"))))</f>
        <v>MUITO ATRASADO</v>
      </c>
      <c r="M190" s="39" t="n">
        <v>45449</v>
      </c>
      <c r="N190" s="55" t="n">
        <f aca="false">$B$2-M190</f>
        <v>722</v>
      </c>
      <c r="O190" s="56" t="str">
        <f aca="false">IF(N190&lt;8,"VERIFICADO",IF(N190&lt;15,"VERIFICAR","VERIFICAR URGENTE"))</f>
        <v>VERIFICAR URGENTE</v>
      </c>
      <c r="P190" s="40"/>
      <c r="Q190" s="40"/>
      <c r="R190" s="40"/>
      <c r="S190" s="40"/>
      <c r="T190" s="40"/>
      <c r="U190" s="40"/>
    </row>
    <row r="191" customFormat="false" ht="15.75" hidden="false" customHeight="true" outlineLevel="0" collapsed="false">
      <c r="A191" s="41" t="s">
        <v>670</v>
      </c>
      <c r="B191" s="57" t="n">
        <f aca="false">M191</f>
        <v>45451</v>
      </c>
      <c r="C191" s="34" t="n">
        <v>45160</v>
      </c>
      <c r="D191" s="34" t="n">
        <v>45670</v>
      </c>
      <c r="E191" s="35" t="n">
        <f aca="false">(D191-C191)/7</f>
        <v>72.8571428571429</v>
      </c>
      <c r="F191" s="35" t="n">
        <f aca="false">($B$2-C191)/7</f>
        <v>144.428571428571</v>
      </c>
      <c r="G191" s="36" t="n">
        <v>80</v>
      </c>
      <c r="H191" s="36" t="n">
        <v>51</v>
      </c>
      <c r="I191" s="37"/>
      <c r="J191" s="37"/>
      <c r="K191" s="38" t="n">
        <f aca="false">IFERROR(((F191*G191)/E191)-H191,"")</f>
        <v>107.588235294118</v>
      </c>
      <c r="L191" s="36" t="str">
        <f aca="false">IF(K191&lt;-10,"MUITO ADIANTADO",IF(K191&lt;-6,"ADIANTADO",IF(K191&lt;6,"EM DIAS",IF(K191&lt;12,"ATRASADO","MUITO ATRASADO"))))</f>
        <v>MUITO ATRASADO</v>
      </c>
      <c r="M191" s="39" t="n">
        <v>45451</v>
      </c>
      <c r="N191" s="55" t="n">
        <f aca="false">$B$2-M191</f>
        <v>720</v>
      </c>
      <c r="O191" s="56" t="str">
        <f aca="false">IF(N191&lt;8,"VERIFICADO",IF(N191&lt;15,"VERIFICAR","VERIFICAR URGENTE"))</f>
        <v>VERIFICAR URGENTE</v>
      </c>
      <c r="P191" s="40"/>
      <c r="Q191" s="40"/>
      <c r="R191" s="40"/>
      <c r="S191" s="40"/>
      <c r="T191" s="40"/>
      <c r="U191" s="40"/>
    </row>
    <row r="192" customFormat="false" ht="15.75" hidden="false" customHeight="true" outlineLevel="0" collapsed="false">
      <c r="A192" s="40" t="s">
        <v>671</v>
      </c>
      <c r="B192" s="57" t="n">
        <f aca="false">M192</f>
        <v>45449</v>
      </c>
      <c r="C192" s="34" t="n">
        <v>44914</v>
      </c>
      <c r="D192" s="34" t="n">
        <v>45767</v>
      </c>
      <c r="E192" s="35" t="n">
        <f aca="false">(D192-C192)/7</f>
        <v>121.857142857143</v>
      </c>
      <c r="F192" s="35" t="n">
        <f aca="false">($B$2-C192)/7</f>
        <v>179.571428571429</v>
      </c>
      <c r="G192" s="36" t="n">
        <v>193</v>
      </c>
      <c r="H192" s="36" t="n">
        <v>76</v>
      </c>
      <c r="I192" s="37" t="n">
        <f aca="false">IFERROR(H193/G192,"")</f>
        <v>0.145077720207254</v>
      </c>
      <c r="J192" s="37" t="n">
        <f aca="false">IFERROR(F192/E192,"")</f>
        <v>1.4736225087925</v>
      </c>
      <c r="K192" s="38" t="n">
        <f aca="false">IFERROR(((F192*G192)/E192)-H192,"")</f>
        <v>208.409144196952</v>
      </c>
      <c r="L192" s="36" t="str">
        <f aca="false">IF(K192&lt;-10,"MUITO ADIANTADO",IF(K192&lt;-6,"ADIANTADO",IF(K192&lt;6,"EM DIAS",IF(K192&lt;12,"ATRASADO","MUITO ATRASADO"))))</f>
        <v>MUITO ATRASADO</v>
      </c>
      <c r="M192" s="39" t="n">
        <v>45449</v>
      </c>
      <c r="N192" s="55" t="n">
        <f aca="false">$B$2-M192</f>
        <v>722</v>
      </c>
      <c r="O192" s="56" t="str">
        <f aca="false">IF(N192&lt;8,"VERIFICADO",IF(N192&lt;15,"VERIFICAR","VERIFICAR URGENTE"))</f>
        <v>VERIFICAR URGENTE</v>
      </c>
      <c r="P192" s="40"/>
      <c r="Q192" s="40"/>
      <c r="R192" s="40"/>
      <c r="S192" s="40"/>
      <c r="T192" s="40"/>
      <c r="U192" s="40"/>
    </row>
    <row r="193" customFormat="false" ht="15.75" hidden="false" customHeight="true" outlineLevel="0" collapsed="false">
      <c r="A193" s="40" t="s">
        <v>672</v>
      </c>
      <c r="B193" s="57" t="n">
        <f aca="false">M193</f>
        <v>45449</v>
      </c>
      <c r="C193" s="34" t="n">
        <v>45129</v>
      </c>
      <c r="D193" s="34" t="n">
        <v>45639</v>
      </c>
      <c r="E193" s="35" t="n">
        <f aca="false">(D193-C193)/7</f>
        <v>72.8571428571429</v>
      </c>
      <c r="F193" s="35" t="n">
        <f aca="false">($B$2-C193)/7</f>
        <v>148.857142857143</v>
      </c>
      <c r="G193" s="36" t="n">
        <v>80</v>
      </c>
      <c r="H193" s="36" t="n">
        <v>28</v>
      </c>
      <c r="I193" s="37" t="str">
        <f aca="false">IFERROR(#REF!/G193,"")</f>
        <v/>
      </c>
      <c r="J193" s="37" t="n">
        <f aca="false">IFERROR(F193/E193,"")</f>
        <v>2.04313725490196</v>
      </c>
      <c r="K193" s="38" t="n">
        <f aca="false">IFERROR(((F193*G193)/E193)-H193,"")</f>
        <v>135.450980392157</v>
      </c>
      <c r="L193" s="36" t="str">
        <f aca="false">IF(K193&lt;-10,"MUITO ADIANTADO",IF(K193&lt;-6,"ADIANTADO",IF(K193&lt;6,"EM DIAS",IF(K193&lt;12,"ATRASADO","MUITO ATRASADO"))))</f>
        <v>MUITO ATRASADO</v>
      </c>
      <c r="M193" s="39" t="n">
        <v>45449</v>
      </c>
      <c r="N193" s="55" t="n">
        <f aca="false">$B$2-M193</f>
        <v>722</v>
      </c>
      <c r="O193" s="56" t="str">
        <f aca="false">IF(N193&lt;8,"VERIFICADO",IF(N193&lt;15,"VERIFICAR","VERIFICAR URGENTE"))</f>
        <v>VERIFICAR URGENTE</v>
      </c>
      <c r="P193" s="40"/>
      <c r="Q193" s="40"/>
      <c r="R193" s="40"/>
      <c r="S193" s="40"/>
      <c r="T193" s="40"/>
      <c r="U193" s="40"/>
    </row>
    <row r="194" customFormat="false" ht="15.75" hidden="false" customHeight="true" outlineLevel="0" collapsed="false">
      <c r="A194" s="40" t="s">
        <v>673</v>
      </c>
      <c r="B194" s="57" t="n">
        <f aca="false">M194</f>
        <v>45449</v>
      </c>
      <c r="C194" s="34" t="n">
        <v>45171</v>
      </c>
      <c r="D194" s="34" t="n">
        <v>45698</v>
      </c>
      <c r="E194" s="35" t="n">
        <f aca="false">(D194-C194)/7</f>
        <v>75.2857142857143</v>
      </c>
      <c r="F194" s="35" t="n">
        <f aca="false">($B$2-C194)/7</f>
        <v>142.857142857143</v>
      </c>
      <c r="G194" s="36" t="n">
        <v>80</v>
      </c>
      <c r="H194" s="36" t="n">
        <v>40</v>
      </c>
      <c r="I194" s="37"/>
      <c r="J194" s="37"/>
      <c r="K194" s="38" t="n">
        <f aca="false">IFERROR(((F194*G194)/E194)-H194,"")</f>
        <v>111.80265654649</v>
      </c>
      <c r="L194" s="36" t="str">
        <f aca="false">IF(K194&lt;-10,"MUITO ADIANTADO",IF(K194&lt;-6,"ADIANTADO",IF(K194&lt;6,"EM DIAS",IF(K194&lt;12,"ATRASADO","MUITO ATRASADO"))))</f>
        <v>MUITO ATRASADO</v>
      </c>
      <c r="M194" s="39" t="n">
        <v>45449</v>
      </c>
      <c r="N194" s="55" t="n">
        <f aca="false">$B$2-M194</f>
        <v>722</v>
      </c>
      <c r="O194" s="56" t="str">
        <f aca="false">IF(N194&lt;8,"VERIFICADO",IF(N194&lt;15,"VERIFICAR","VERIFICAR URGENTE"))</f>
        <v>VERIFICAR URGENTE</v>
      </c>
      <c r="P194" s="40"/>
      <c r="Q194" s="40"/>
      <c r="R194" s="40"/>
      <c r="S194" s="40"/>
      <c r="T194" s="40"/>
      <c r="U194" s="40"/>
    </row>
    <row r="195" customFormat="false" ht="15.75" hidden="false" customHeight="true" outlineLevel="0" collapsed="false">
      <c r="A195" s="40" t="s">
        <v>301</v>
      </c>
      <c r="B195" s="57" t="n">
        <f aca="false">M195</f>
        <v>45449</v>
      </c>
      <c r="C195" s="34" t="n">
        <v>44910</v>
      </c>
      <c r="D195" s="34" t="n">
        <v>46214</v>
      </c>
      <c r="E195" s="35" t="n">
        <f aca="false">(D195-C195)/7</f>
        <v>186.285714285714</v>
      </c>
      <c r="F195" s="35" t="n">
        <f aca="false">($B$2-C195)/7</f>
        <v>180.142857142857</v>
      </c>
      <c r="G195" s="36" t="n">
        <v>253</v>
      </c>
      <c r="H195" s="36" t="n">
        <v>86</v>
      </c>
      <c r="I195" s="37"/>
      <c r="J195" s="37"/>
      <c r="K195" s="38" t="n">
        <f aca="false">IFERROR(((F195*G195)/E195)-H195,"")</f>
        <v>158.657208588957</v>
      </c>
      <c r="L195" s="36" t="str">
        <f aca="false">IF(K195&lt;-10,"MUITO ADIANTADO",IF(K195&lt;-6,"ADIANTADO",IF(K195&lt;6,"EM DIAS",IF(K195&lt;12,"ATRASADO","MUITO ATRASADO"))))</f>
        <v>MUITO ATRASADO</v>
      </c>
      <c r="M195" s="39" t="n">
        <v>45449</v>
      </c>
      <c r="N195" s="55" t="n">
        <f aca="false">$B$2-M195</f>
        <v>722</v>
      </c>
      <c r="O195" s="56" t="str">
        <f aca="false">IF(N195&lt;8,"VERIFICADO",IF(N195&lt;15,"VERIFICAR","VERIFICAR URGENTE"))</f>
        <v>VERIFICAR URGENTE</v>
      </c>
      <c r="P195" s="40"/>
      <c r="Q195" s="40"/>
      <c r="R195" s="40"/>
      <c r="S195" s="40"/>
      <c r="T195" s="40"/>
      <c r="U195" s="40"/>
    </row>
    <row r="196" customFormat="false" ht="15.75" hidden="false" customHeight="true" outlineLevel="0" collapsed="false">
      <c r="A196" s="40" t="s">
        <v>674</v>
      </c>
      <c r="B196" s="57" t="n">
        <f aca="false">M196</f>
        <v>45447</v>
      </c>
      <c r="C196" s="34" t="n">
        <v>44890</v>
      </c>
      <c r="D196" s="34" t="n">
        <v>46137</v>
      </c>
      <c r="E196" s="35" t="n">
        <f aca="false">(D196-C196)/7</f>
        <v>178.142857142857</v>
      </c>
      <c r="F196" s="35" t="n">
        <f aca="false">($B$2-C196)/7</f>
        <v>183</v>
      </c>
      <c r="G196" s="36" t="n">
        <v>251</v>
      </c>
      <c r="H196" s="36" t="n">
        <v>96</v>
      </c>
      <c r="I196" s="37" t="n">
        <f aca="false">IFERROR(H196/G196,"")</f>
        <v>0.382470119521912</v>
      </c>
      <c r="J196" s="37" t="n">
        <f aca="false">IFERROR(F196/E196,"")</f>
        <v>1.02726543704892</v>
      </c>
      <c r="K196" s="38" t="n">
        <f aca="false">IFERROR(((F196*G196)/E196)-H196,"")</f>
        <v>161.843624699279</v>
      </c>
      <c r="L196" s="36" t="str">
        <f aca="false">IF(K196&lt;-10,"MUITO ADIANTADO",IF(K196&lt;-6,"ADIANTADO",IF(K196&lt;6,"EM DIAS",IF(K196&lt;12,"ATRASADO","MUITO ATRASADO"))))</f>
        <v>MUITO ATRASADO</v>
      </c>
      <c r="M196" s="39" t="n">
        <v>45447</v>
      </c>
      <c r="N196" s="55" t="n">
        <f aca="false">$B$2-M196</f>
        <v>724</v>
      </c>
      <c r="O196" s="56" t="str">
        <f aca="false">IF(N196&lt;8,"VERIFICADO",IF(N196&lt;15,"VERIFICAR","VERIFICAR URGENTE"))</f>
        <v>VERIFICAR URGENTE</v>
      </c>
      <c r="P196" s="40"/>
      <c r="Q196" s="40"/>
      <c r="R196" s="40"/>
      <c r="S196" s="40"/>
      <c r="T196" s="40"/>
      <c r="U196" s="40"/>
    </row>
    <row r="197" customFormat="false" ht="15.75" hidden="false" customHeight="true" outlineLevel="0" collapsed="false">
      <c r="A197" s="40" t="s">
        <v>675</v>
      </c>
      <c r="B197" s="57" t="n">
        <f aca="false">M197</f>
        <v>45449</v>
      </c>
      <c r="C197" s="34" t="n">
        <v>45328</v>
      </c>
      <c r="D197" s="34" t="n">
        <v>45875</v>
      </c>
      <c r="E197" s="35" t="n">
        <f aca="false">(D197-C197)/7</f>
        <v>78.1428571428571</v>
      </c>
      <c r="F197" s="35" t="n">
        <f aca="false">($B$2-C197)/7</f>
        <v>120.428571428571</v>
      </c>
      <c r="G197" s="36" t="n">
        <v>80</v>
      </c>
      <c r="H197" s="36" t="n">
        <v>15</v>
      </c>
      <c r="I197" s="37"/>
      <c r="J197" s="37"/>
      <c r="K197" s="38" t="n">
        <f aca="false">IFERROR(((F197*G197)/E197)-H197,"")</f>
        <v>108.290676416819</v>
      </c>
      <c r="L197" s="36" t="str">
        <f aca="false">IF(K197&lt;-10,"MUITO ADIANTADO",IF(K197&lt;-6,"ADIANTADO",IF(K197&lt;6,"EM DIAS",IF(K197&lt;12,"ATRASADO","MUITO ATRASADO"))))</f>
        <v>MUITO ATRASADO</v>
      </c>
      <c r="M197" s="39" t="n">
        <v>45449</v>
      </c>
      <c r="N197" s="55" t="n">
        <f aca="false">$B$2-M197</f>
        <v>722</v>
      </c>
      <c r="O197" s="41" t="str">
        <f aca="false">IF(N197&lt;8,"VERIFICADO",IF(N197&lt;15,"VERIFICAR","VERIFICAR URGENTE"))</f>
        <v>VERIFICAR URGENTE</v>
      </c>
      <c r="P197" s="40"/>
      <c r="Q197" s="40"/>
      <c r="R197" s="40"/>
      <c r="S197" s="40"/>
      <c r="T197" s="40"/>
      <c r="U197" s="40"/>
    </row>
    <row r="198" customFormat="false" ht="15.75" hidden="false" customHeight="true" outlineLevel="0" collapsed="false">
      <c r="A198" s="40" t="s">
        <v>676</v>
      </c>
      <c r="B198" s="57" t="n">
        <f aca="false">M198</f>
        <v>45449</v>
      </c>
      <c r="C198" s="34" t="n">
        <v>45102</v>
      </c>
      <c r="D198" s="34" t="n">
        <v>45646</v>
      </c>
      <c r="E198" s="35" t="n">
        <f aca="false">(D198-C198)/7</f>
        <v>77.7142857142857</v>
      </c>
      <c r="F198" s="35" t="n">
        <f aca="false">($B$2-C198)/7</f>
        <v>152.714285714286</v>
      </c>
      <c r="G198" s="36" t="n">
        <v>80</v>
      </c>
      <c r="H198" s="36" t="n">
        <v>66</v>
      </c>
      <c r="I198" s="37" t="n">
        <f aca="false">IFERROR(H198/G198,"")</f>
        <v>0.825</v>
      </c>
      <c r="J198" s="37" t="n">
        <f aca="false">IFERROR(F198/E198,"")</f>
        <v>1.96507352941177</v>
      </c>
      <c r="K198" s="38" t="n">
        <f aca="false">IFERROR(((F198*G198)/E198)-H198,"")</f>
        <v>91.2058823529413</v>
      </c>
      <c r="L198" s="36" t="str">
        <f aca="false">IF(K198&lt;-10,"MUITO ADIANTADO",IF(K198&lt;-6,"ADIANTADO",IF(K198&lt;6,"EM DIAS",IF(K198&lt;12,"ATRASADO","MUITO ATRASADO"))))</f>
        <v>MUITO ATRASADO</v>
      </c>
      <c r="M198" s="39" t="n">
        <v>45449</v>
      </c>
      <c r="N198" s="55" t="n">
        <f aca="false">$B$2-M198</f>
        <v>722</v>
      </c>
      <c r="O198" s="56" t="str">
        <f aca="false">IF(N198&lt;8,"VERIFICADO",IF(N198&lt;15,"VERIFICAR","VERIFICAR URGENTE"))</f>
        <v>VERIFICAR URGENTE</v>
      </c>
      <c r="P198" s="40"/>
      <c r="Q198" s="40"/>
      <c r="R198" s="40"/>
      <c r="S198" s="40"/>
      <c r="T198" s="40"/>
      <c r="U198" s="40"/>
    </row>
    <row r="199" customFormat="false" ht="15.75" hidden="false" customHeight="true" outlineLevel="0" collapsed="false">
      <c r="A199" s="40" t="s">
        <v>677</v>
      </c>
      <c r="B199" s="57" t="n">
        <f aca="false">M199</f>
        <v>45449</v>
      </c>
      <c r="C199" s="34" t="n">
        <v>45031</v>
      </c>
      <c r="D199" s="34" t="n">
        <v>46645</v>
      </c>
      <c r="E199" s="35" t="n">
        <f aca="false">(D199-C199)/7</f>
        <v>230.571428571429</v>
      </c>
      <c r="F199" s="35" t="n">
        <f aca="false">($B$2-C199)/7</f>
        <v>162.857142857143</v>
      </c>
      <c r="G199" s="36" t="n">
        <v>257</v>
      </c>
      <c r="H199" s="36" t="n">
        <v>35</v>
      </c>
      <c r="I199" s="37" t="n">
        <f aca="false">IFERROR(H199/G199,"")</f>
        <v>0.136186770428016</v>
      </c>
      <c r="J199" s="37" t="n">
        <f aca="false">IFERROR(F199/E199,"")</f>
        <v>0.706319702602229</v>
      </c>
      <c r="K199" s="38" t="n">
        <f aca="false">IFERROR(((F199*G199)/E199)-H199,"")</f>
        <v>146.524163568773</v>
      </c>
      <c r="L199" s="36" t="str">
        <f aca="false">IF(K199&lt;-10,"MUITO ADIANTADO",IF(K199&lt;-6,"ADIANTADO",IF(K199&lt;6,"EM DIAS",IF(K199&lt;12,"ATRASADO","MUITO ATRASADO"))))</f>
        <v>MUITO ATRASADO</v>
      </c>
      <c r="M199" s="39" t="n">
        <v>45449</v>
      </c>
      <c r="N199" s="55" t="n">
        <f aca="false">$B$2-M199</f>
        <v>722</v>
      </c>
      <c r="O199" s="56" t="str">
        <f aca="false">IF(N199&lt;8,"VERIFICADO",IF(N199&lt;15,"VERIFICAR","VERIFICAR URGENTE"))</f>
        <v>VERIFICAR URGENTE</v>
      </c>
      <c r="P199" s="40"/>
      <c r="Q199" s="40"/>
      <c r="R199" s="40"/>
      <c r="S199" s="40"/>
      <c r="T199" s="40"/>
      <c r="U199" s="40"/>
    </row>
    <row r="200" customFormat="false" ht="15.75" hidden="false" customHeight="true" outlineLevel="0" collapsed="false">
      <c r="A200" s="40" t="s">
        <v>394</v>
      </c>
      <c r="B200" s="57" t="n">
        <f aca="false">M200</f>
        <v>45451</v>
      </c>
      <c r="C200" s="34" t="n">
        <v>44890</v>
      </c>
      <c r="D200" s="34" t="n">
        <v>46137</v>
      </c>
      <c r="E200" s="35" t="n">
        <f aca="false">(D200-C200)/7</f>
        <v>178.142857142857</v>
      </c>
      <c r="F200" s="35" t="n">
        <f aca="false">($B$2-C200)/7</f>
        <v>183</v>
      </c>
      <c r="G200" s="36" t="n">
        <v>253</v>
      </c>
      <c r="H200" s="36" t="n">
        <v>76</v>
      </c>
      <c r="I200" s="37" t="n">
        <f aca="false">IFERROR(H200/G200,"")</f>
        <v>0.300395256916996</v>
      </c>
      <c r="J200" s="37" t="n">
        <f aca="false">IFERROR(F200/E200,"")</f>
        <v>1.02726543704892</v>
      </c>
      <c r="K200" s="38" t="n">
        <f aca="false">IFERROR(((F200*G200)/E200)-H200,"")</f>
        <v>183.898155573376</v>
      </c>
      <c r="L200" s="36" t="str">
        <f aca="false">IF(K200&lt;-10,"MUITO ADIANTADO",IF(K200&lt;-6,"ADIANTADO",IF(K200&lt;6,"EM DIAS",IF(K200&lt;12,"ATRASADO","MUITO ATRASADO"))))</f>
        <v>MUITO ATRASADO</v>
      </c>
      <c r="M200" s="39" t="n">
        <v>45451</v>
      </c>
      <c r="N200" s="55" t="n">
        <f aca="false">$B$2-M200</f>
        <v>720</v>
      </c>
      <c r="O200" s="56" t="str">
        <f aca="false">IF(N200&lt;8,"VERIFICADO",IF(N200&lt;15,"VERIFICAR","VERIFICAR URGENTE"))</f>
        <v>VERIFICAR URGENTE</v>
      </c>
      <c r="P200" s="40"/>
      <c r="Q200" s="40"/>
      <c r="R200" s="40"/>
      <c r="S200" s="40"/>
      <c r="T200" s="40"/>
      <c r="U200" s="40"/>
    </row>
    <row r="201" customFormat="false" ht="15.75" hidden="false" customHeight="true" outlineLevel="0" collapsed="false">
      <c r="A201" s="70" t="s">
        <v>678</v>
      </c>
      <c r="B201" s="57" t="n">
        <f aca="false">M201</f>
        <v>45449</v>
      </c>
      <c r="C201" s="34" t="n">
        <v>45155</v>
      </c>
      <c r="D201" s="34" t="n">
        <v>45674</v>
      </c>
      <c r="E201" s="35" t="n">
        <f aca="false">(D201-C201)/7</f>
        <v>74.1428571428571</v>
      </c>
      <c r="F201" s="35" t="n">
        <f aca="false">($B$2-C201)/7</f>
        <v>145.142857142857</v>
      </c>
      <c r="G201" s="36" t="n">
        <v>80</v>
      </c>
      <c r="H201" s="36" t="n">
        <v>49</v>
      </c>
      <c r="I201" s="37"/>
      <c r="J201" s="37"/>
      <c r="K201" s="38" t="n">
        <f aca="false">IFERROR(((F201*G201)/E201)-H201,"")</f>
        <v>107.608863198459</v>
      </c>
      <c r="L201" s="36" t="str">
        <f aca="false">IF(K201&lt;-10,"MUITO ADIANTADO",IF(K201&lt;-6,"ADIANTADO",IF(K201&lt;6,"EM DIAS",IF(K201&lt;12,"ATRASADO","MUITO ATRASADO"))))</f>
        <v>MUITO ATRASADO</v>
      </c>
      <c r="M201" s="39" t="n">
        <v>45449</v>
      </c>
      <c r="N201" s="55" t="n">
        <f aca="false">$B$2-M201</f>
        <v>722</v>
      </c>
      <c r="O201" s="56" t="str">
        <f aca="false">IF(N201&lt;8,"VERIFICADO",IF(N201&lt;15,"VERIFICAR","VERIFICAR URGENTE"))</f>
        <v>VERIFICAR URGENTE</v>
      </c>
      <c r="P201" s="40"/>
      <c r="Q201" s="40"/>
      <c r="R201" s="40"/>
      <c r="S201" s="40"/>
      <c r="T201" s="40"/>
      <c r="U201" s="40"/>
    </row>
    <row r="202" customFormat="false" ht="15.75" hidden="false" customHeight="true" outlineLevel="0" collapsed="false">
      <c r="A202" s="40" t="s">
        <v>679</v>
      </c>
      <c r="B202" s="57" t="n">
        <f aca="false">M202</f>
        <v>45449</v>
      </c>
      <c r="C202" s="34" t="n">
        <v>45120</v>
      </c>
      <c r="D202" s="34" t="n">
        <v>45651</v>
      </c>
      <c r="E202" s="35" t="n">
        <f aca="false">(D202-C202)/7</f>
        <v>75.8571428571429</v>
      </c>
      <c r="F202" s="35" t="n">
        <f aca="false">($B$2-C202)/7</f>
        <v>150.142857142857</v>
      </c>
      <c r="G202" s="36" t="n">
        <v>80</v>
      </c>
      <c r="H202" s="36" t="n">
        <v>43</v>
      </c>
      <c r="I202" s="37" t="n">
        <f aca="false">IFERROR(H202/G202,"")</f>
        <v>0.5375</v>
      </c>
      <c r="J202" s="37" t="n">
        <f aca="false">IFERROR(F202/E202,"")</f>
        <v>1.97928436911488</v>
      </c>
      <c r="K202" s="38" t="n">
        <f aca="false">IFERROR(((F202*G202)/E202)-H202,"")</f>
        <v>115.34274952919</v>
      </c>
      <c r="L202" s="36" t="str">
        <f aca="false">IF(K202&lt;-10,"MUITO ADIANTADO",IF(K202&lt;-6,"ADIANTADO",IF(K202&lt;6,"EM DIAS",IF(K202&lt;12,"ATRASADO","MUITO ATRASADO"))))</f>
        <v>MUITO ATRASADO</v>
      </c>
      <c r="M202" s="39" t="n">
        <v>45449</v>
      </c>
      <c r="N202" s="55" t="n">
        <f aca="false">$B$2-M202</f>
        <v>722</v>
      </c>
      <c r="O202" s="56" t="str">
        <f aca="false">IF(N202&lt;8,"VERIFICADO",IF(N202&lt;15,"VERIFICAR","VERIFICAR URGENTE"))</f>
        <v>VERIFICAR URGENTE</v>
      </c>
      <c r="P202" s="40"/>
      <c r="Q202" s="40"/>
      <c r="R202" s="40"/>
      <c r="S202" s="40"/>
      <c r="T202" s="40"/>
      <c r="U202" s="40"/>
    </row>
    <row r="203" customFormat="false" ht="15.75" hidden="false" customHeight="true" outlineLevel="0" collapsed="false">
      <c r="A203" s="40" t="s">
        <v>680</v>
      </c>
      <c r="B203" s="57" t="n">
        <f aca="false">M203</f>
        <v>45449</v>
      </c>
      <c r="C203" s="34" t="n">
        <v>45057</v>
      </c>
      <c r="D203" s="34" t="n">
        <v>45575</v>
      </c>
      <c r="E203" s="35" t="n">
        <f aca="false">(D203-C203)/7</f>
        <v>74</v>
      </c>
      <c r="F203" s="35" t="n">
        <f aca="false">($B$2-C203)/7</f>
        <v>159.142857142857</v>
      </c>
      <c r="G203" s="36" t="n">
        <v>80</v>
      </c>
      <c r="H203" s="36" t="n">
        <v>42</v>
      </c>
      <c r="I203" s="37" t="n">
        <f aca="false">IFERROR(H203/G203,"")</f>
        <v>0.525</v>
      </c>
      <c r="J203" s="37" t="n">
        <f aca="false">IFERROR(F203/E203,"")</f>
        <v>2.15057915057915</v>
      </c>
      <c r="K203" s="38" t="n">
        <f aca="false">IFERROR(((F203*G203)/E203)-H203,"")</f>
        <v>130.046332046332</v>
      </c>
      <c r="L203" s="36" t="str">
        <f aca="false">IF(K203&lt;-10,"MUITO ADIANTADO",IF(K203&lt;-6,"ADIANTADO",IF(K203&lt;6,"EM DIAS",IF(K203&lt;12,"ATRASADO","MUITO ATRASADO"))))</f>
        <v>MUITO ATRASADO</v>
      </c>
      <c r="M203" s="39" t="n">
        <v>45449</v>
      </c>
      <c r="N203" s="55" t="n">
        <f aca="false">$B$2-M203</f>
        <v>722</v>
      </c>
      <c r="O203" s="56" t="str">
        <f aca="false">IF(N203&lt;8,"VERIFICADO",IF(N203&lt;15,"VERIFICAR","VERIFICAR URGENTE"))</f>
        <v>VERIFICAR URGENTE</v>
      </c>
      <c r="P203" s="40"/>
      <c r="Q203" s="40"/>
      <c r="R203" s="40"/>
      <c r="S203" s="40"/>
      <c r="T203" s="40"/>
      <c r="U203" s="40"/>
    </row>
    <row r="204" customFormat="false" ht="15.75" hidden="false" customHeight="true" outlineLevel="0" collapsed="false">
      <c r="A204" s="40" t="s">
        <v>681</v>
      </c>
      <c r="B204" s="57" t="n">
        <f aca="false">M204</f>
        <v>45449</v>
      </c>
      <c r="C204" s="34" t="n">
        <v>45133</v>
      </c>
      <c r="D204" s="34" t="n">
        <v>45634</v>
      </c>
      <c r="E204" s="35" t="n">
        <f aca="false">(D204-C204)/7</f>
        <v>71.5714285714286</v>
      </c>
      <c r="F204" s="35" t="n">
        <f aca="false">($B$2-C204)/7</f>
        <v>148.285714285714</v>
      </c>
      <c r="G204" s="36" t="n">
        <v>80</v>
      </c>
      <c r="H204" s="36" t="n">
        <v>50</v>
      </c>
      <c r="I204" s="37" t="n">
        <f aca="false">IFERROR(H204/G204,"")</f>
        <v>0.625</v>
      </c>
      <c r="J204" s="37" t="n">
        <f aca="false">IFERROR(F204/E204,"")</f>
        <v>2.07185628742515</v>
      </c>
      <c r="K204" s="38" t="n">
        <f aca="false">IFERROR(((F204*G204)/E204)-H204,"")</f>
        <v>115.748502994012</v>
      </c>
      <c r="L204" s="36" t="str">
        <f aca="false">IF(K204&lt;-10,"MUITO ADIANTADO",IF(K204&lt;-6,"ADIANTADO",IF(K204&lt;6,"EM DIAS",IF(K204&lt;12,"ATRASADO","MUITO ATRASADO"))))</f>
        <v>MUITO ATRASADO</v>
      </c>
      <c r="M204" s="39" t="n">
        <v>45449</v>
      </c>
      <c r="N204" s="55" t="n">
        <f aca="false">$B$2-M204</f>
        <v>722</v>
      </c>
      <c r="O204" s="56" t="str">
        <f aca="false">IF(N204&lt;8,"VERIFICADO",IF(N204&lt;15,"VERIFICAR","VERIFICAR URGENTE"))</f>
        <v>VERIFICAR URGENTE</v>
      </c>
      <c r="P204" s="40"/>
      <c r="Q204" s="40"/>
      <c r="R204" s="40"/>
      <c r="S204" s="40"/>
      <c r="T204" s="40"/>
      <c r="U204" s="40"/>
    </row>
    <row r="205" customFormat="false" ht="15.75" hidden="false" customHeight="true" outlineLevel="0" collapsed="false">
      <c r="A205" s="40" t="s">
        <v>682</v>
      </c>
      <c r="B205" s="57" t="n">
        <f aca="false">M205</f>
        <v>45453</v>
      </c>
      <c r="C205" s="34" t="n">
        <v>44952</v>
      </c>
      <c r="D205" s="34" t="n">
        <v>45514</v>
      </c>
      <c r="E205" s="35" t="n">
        <f aca="false">(D205-C205)/7</f>
        <v>80.2857142857143</v>
      </c>
      <c r="F205" s="35" t="n">
        <f aca="false">($B$2-C205)/7</f>
        <v>174.142857142857</v>
      </c>
      <c r="G205" s="36" t="n">
        <v>76</v>
      </c>
      <c r="H205" s="36" t="n">
        <v>60</v>
      </c>
      <c r="I205" s="37" t="n">
        <f aca="false">IFERROR(H205/G205,"")</f>
        <v>0.789473684210526</v>
      </c>
      <c r="J205" s="37" t="n">
        <f aca="false">IFERROR(F205/E205,"")</f>
        <v>2.16903914590747</v>
      </c>
      <c r="K205" s="38" t="n">
        <f aca="false">IFERROR(((F205*G205)/E205)-H205,"")</f>
        <v>104.846975088968</v>
      </c>
      <c r="L205" s="36" t="str">
        <f aca="false">IF(K205&lt;-10,"MUITO ADIANTADO",IF(K205&lt;-6,"ADIANTADO",IF(K205&lt;6,"EM DIAS",IF(K205&lt;12,"ATRASADO","MUITO ATRASADO"))))</f>
        <v>MUITO ATRASADO</v>
      </c>
      <c r="M205" s="39" t="n">
        <v>45453</v>
      </c>
      <c r="N205" s="55" t="n">
        <f aca="false">$B$2-M205</f>
        <v>718</v>
      </c>
      <c r="O205" s="56" t="str">
        <f aca="false">IF(N205&lt;8,"VERIFICADO",IF(N205&lt;15,"VERIFICAR","VERIFICAR URGENTE"))</f>
        <v>VERIFICAR URGENTE</v>
      </c>
      <c r="P205" s="40"/>
      <c r="Q205" s="40"/>
      <c r="R205" s="40"/>
      <c r="S205" s="40"/>
      <c r="T205" s="40"/>
      <c r="U205" s="40"/>
    </row>
    <row r="206" customFormat="false" ht="15.75" hidden="false" customHeight="true" outlineLevel="0" collapsed="false">
      <c r="A206" s="40" t="s">
        <v>683</v>
      </c>
      <c r="B206" s="57" t="n">
        <f aca="false">M206</f>
        <v>45449</v>
      </c>
      <c r="C206" s="34" t="n">
        <v>44812</v>
      </c>
      <c r="D206" s="34" t="n">
        <v>46108</v>
      </c>
      <c r="E206" s="35" t="n">
        <f aca="false">(D206-C206)/7</f>
        <v>185.142857142857</v>
      </c>
      <c r="F206" s="35" t="n">
        <f aca="false">($B$2-C206)/7</f>
        <v>194.142857142857</v>
      </c>
      <c r="G206" s="36" t="n">
        <v>251</v>
      </c>
      <c r="H206" s="36" t="n">
        <v>107</v>
      </c>
      <c r="I206" s="37" t="n">
        <f aca="false">IFERROR(H206/G206,"")</f>
        <v>0.426294820717132</v>
      </c>
      <c r="J206" s="37" t="n">
        <f aca="false">IFERROR(F206/E206,"")</f>
        <v>1.04861111111111</v>
      </c>
      <c r="K206" s="38" t="n">
        <f aca="false">IFERROR(((F206*G206)/E206)-H206,"")</f>
        <v>156.201388888889</v>
      </c>
      <c r="L206" s="36" t="str">
        <f aca="false">IF(K206&lt;-10,"MUITO ADIANTADO",IF(K206&lt;-6,"ADIANTADO",IF(K206&lt;6,"EM DIAS",IF(K206&lt;12,"ATRASADO","MUITO ATRASADO"))))</f>
        <v>MUITO ATRASADO</v>
      </c>
      <c r="M206" s="39" t="n">
        <v>45449</v>
      </c>
      <c r="N206" s="55" t="n">
        <f aca="false">$B$2-M206</f>
        <v>722</v>
      </c>
      <c r="O206" s="56" t="str">
        <f aca="false">IF(N206&lt;8,"VERIFICADO",IF(N206&lt;15,"VERIFICAR","VERIFICAR URGENTE"))</f>
        <v>VERIFICAR URGENTE</v>
      </c>
      <c r="P206" s="68"/>
      <c r="Q206" s="68"/>
      <c r="R206" s="68"/>
      <c r="S206" s="68"/>
      <c r="T206" s="68"/>
      <c r="U206" s="68"/>
    </row>
    <row r="207" customFormat="false" ht="15.75" hidden="false" customHeight="true" outlineLevel="0" collapsed="false">
      <c r="A207" s="71" t="s">
        <v>684</v>
      </c>
      <c r="B207" s="48" t="n">
        <f aca="false">M207</f>
        <v>45449</v>
      </c>
      <c r="C207" s="49" t="n">
        <v>44711</v>
      </c>
      <c r="D207" s="49" t="n">
        <v>45813</v>
      </c>
      <c r="E207" s="50" t="n">
        <f aca="false">(D207-C207)/7</f>
        <v>157.428571428571</v>
      </c>
      <c r="F207" s="35" t="n">
        <f aca="false">($B$2-C207)/7</f>
        <v>208.571428571429</v>
      </c>
      <c r="G207" s="51" t="n">
        <v>178</v>
      </c>
      <c r="H207" s="51" t="n">
        <v>124</v>
      </c>
      <c r="I207" s="52" t="n">
        <f aca="false">IFERROR(H207/G207,"")</f>
        <v>0.696629213483146</v>
      </c>
      <c r="J207" s="52" t="n">
        <f aca="false">IFERROR(F207/E207,"")</f>
        <v>1.32486388384755</v>
      </c>
      <c r="K207" s="53" t="n">
        <f aca="false">IFERROR(((F207*G207)/E207)-H207,"")</f>
        <v>111.825771324865</v>
      </c>
      <c r="L207" s="36" t="str">
        <f aca="false">IF(K207&lt;-10,"MUITO ADIANTADO",IF(K207&lt;-6,"ADIANTADO",IF(K207&lt;6,"EM DIAS",IF(K207&lt;12,"ATRASADO","MUITO ATRASADO"))))</f>
        <v>MUITO ATRASADO</v>
      </c>
      <c r="M207" s="39" t="n">
        <v>45449</v>
      </c>
      <c r="N207" s="55" t="n">
        <f aca="false">$B$2-M207</f>
        <v>722</v>
      </c>
      <c r="O207" s="56" t="str">
        <f aca="false">IF(N207&lt;8,"VERIFICADO",IF(N207&lt;15,"VERIFICAR","VERIFICAR URGENTE"))</f>
        <v>VERIFICAR URGENTE</v>
      </c>
      <c r="P207" s="40"/>
      <c r="Q207" s="40"/>
      <c r="R207" s="40"/>
      <c r="S207" s="40"/>
      <c r="T207" s="40"/>
      <c r="U207" s="40"/>
    </row>
    <row r="208" customFormat="false" ht="15.75" hidden="false" customHeight="true" outlineLevel="0" collapsed="false">
      <c r="A208" s="40" t="s">
        <v>685</v>
      </c>
      <c r="B208" s="57" t="n">
        <f aca="false">M208</f>
        <v>45449</v>
      </c>
      <c r="C208" s="34" t="n">
        <v>45350</v>
      </c>
      <c r="D208" s="34" t="n">
        <v>45471</v>
      </c>
      <c r="E208" s="35" t="n">
        <f aca="false">(D208-C208)/7</f>
        <v>17.2857142857143</v>
      </c>
      <c r="F208" s="35" t="n">
        <f aca="false">($B$2-C208)/7</f>
        <v>117.285714285714</v>
      </c>
      <c r="G208" s="36" t="n">
        <v>16</v>
      </c>
      <c r="H208" s="36" t="n">
        <v>12</v>
      </c>
      <c r="I208" s="37"/>
      <c r="J208" s="37"/>
      <c r="K208" s="38" t="n">
        <f aca="false">IFERROR(((F208*G208)/E208)-H208,"")</f>
        <v>96.5619834710743</v>
      </c>
      <c r="L208" s="36" t="str">
        <f aca="false">IF(K208&lt;-10,"MUITO ADIANTADO",IF(K208&lt;-6,"ADIANTADO",IF(K208&lt;6,"EM DIAS",IF(K208&lt;12,"ATRASADO","MUITO ATRASADO"))))</f>
        <v>MUITO ATRASADO</v>
      </c>
      <c r="M208" s="39" t="n">
        <v>45449</v>
      </c>
      <c r="N208" s="55" t="n">
        <f aca="false">$B$2-M208</f>
        <v>722</v>
      </c>
      <c r="O208" s="56" t="str">
        <f aca="false">IF(N208&lt;8,"VERIFICADO",IF(N208&lt;15,"VERIFICAR","VERIFICAR URGENTE"))</f>
        <v>VERIFICAR URGENTE</v>
      </c>
      <c r="P208" s="40"/>
      <c r="Q208" s="40"/>
      <c r="R208" s="40"/>
      <c r="S208" s="40"/>
      <c r="T208" s="40"/>
      <c r="U208" s="40"/>
    </row>
    <row r="209" customFormat="false" ht="15.75" hidden="false" customHeight="true" outlineLevel="0" collapsed="false">
      <c r="A209" s="40" t="s">
        <v>686</v>
      </c>
      <c r="B209" s="57" t="n">
        <f aca="false">M209</f>
        <v>45449</v>
      </c>
      <c r="C209" s="34" t="n">
        <v>44645</v>
      </c>
      <c r="D209" s="34" t="n">
        <v>45843</v>
      </c>
      <c r="E209" s="35" t="n">
        <f aca="false">(D209-C209)/7</f>
        <v>171.142857142857</v>
      </c>
      <c r="F209" s="35" t="n">
        <f aca="false">($B$2-C209)/7</f>
        <v>218</v>
      </c>
      <c r="G209" s="36" t="n">
        <v>80</v>
      </c>
      <c r="H209" s="36" t="n">
        <v>64</v>
      </c>
      <c r="I209" s="37" t="n">
        <f aca="false">IFERROR(H209/G209,"")</f>
        <v>0.8</v>
      </c>
      <c r="J209" s="37" t="n">
        <f aca="false">IFERROR(F209/E209,"")</f>
        <v>1.27378964941569</v>
      </c>
      <c r="K209" s="38" t="n">
        <f aca="false">IFERROR(((F209*G209)/E209)-H209,"")</f>
        <v>37.9031719532555</v>
      </c>
      <c r="L209" s="36" t="str">
        <f aca="false">IF(K209&lt;-10,"MUITO ADIANTADO",IF(K209&lt;-6,"ADIANTADO",IF(K209&lt;6,"EM DIAS",IF(K209&lt;12,"ATRASADO","MUITO ATRASADO"))))</f>
        <v>MUITO ATRASADO</v>
      </c>
      <c r="M209" s="39" t="n">
        <v>45449</v>
      </c>
      <c r="N209" s="55" t="n">
        <f aca="false">$B$2-M209</f>
        <v>722</v>
      </c>
      <c r="O209" s="56" t="str">
        <f aca="false">IF(N209&lt;8,"VERIFICADO",IF(N209&lt;15,"VERIFICAR","VERIFICAR URGENTE"))</f>
        <v>VERIFICAR URGENTE</v>
      </c>
      <c r="P209" s="40"/>
      <c r="Q209" s="40"/>
      <c r="R209" s="40"/>
      <c r="S209" s="40"/>
      <c r="T209" s="40"/>
      <c r="U209" s="40"/>
    </row>
    <row r="210" customFormat="false" ht="15.75" hidden="false" customHeight="true" outlineLevel="0" collapsed="false">
      <c r="A210" s="40" t="s">
        <v>687</v>
      </c>
      <c r="B210" s="57" t="n">
        <f aca="false">M210</f>
        <v>45449</v>
      </c>
      <c r="C210" s="34" t="n">
        <v>45337</v>
      </c>
      <c r="D210" s="34" t="n">
        <v>46101</v>
      </c>
      <c r="E210" s="35" t="n">
        <f aca="false">(D210-C210)/7</f>
        <v>109.142857142857</v>
      </c>
      <c r="F210" s="35" t="n">
        <f aca="false">($B$2-C210)/7</f>
        <v>119.142857142857</v>
      </c>
      <c r="G210" s="36" t="n">
        <v>96</v>
      </c>
      <c r="H210" s="36" t="n">
        <v>22</v>
      </c>
      <c r="I210" s="37"/>
      <c r="J210" s="37"/>
      <c r="K210" s="38" t="n">
        <f aca="false">IFERROR(((F210*G210)/E210)-H210,"")</f>
        <v>82.7958115183248</v>
      </c>
      <c r="L210" s="36" t="str">
        <f aca="false">IF(K210&lt;-10,"MUITO ADIANTADO",IF(K210&lt;-6,"ADIANTADO",IF(K210&lt;6,"EM DIAS",IF(K210&lt;12,"ATRASADO","MUITO ATRASADO"))))</f>
        <v>MUITO ATRASADO</v>
      </c>
      <c r="M210" s="39" t="n">
        <v>45449</v>
      </c>
      <c r="N210" s="55" t="n">
        <f aca="false">$B$2-M210</f>
        <v>722</v>
      </c>
      <c r="O210" s="56" t="str">
        <f aca="false">IF(N210&lt;8,"VERIFICADO",IF(N210&lt;15,"VERIFICAR","VERIFICAR URGENTE"))</f>
        <v>VERIFICAR URGENTE</v>
      </c>
      <c r="P210" s="40"/>
      <c r="Q210" s="40"/>
      <c r="R210" s="40"/>
      <c r="S210" s="40"/>
      <c r="T210" s="40"/>
      <c r="U210" s="40"/>
    </row>
    <row r="211" customFormat="false" ht="15.75" hidden="false" customHeight="true" outlineLevel="0" collapsed="false">
      <c r="A211" s="40" t="s">
        <v>688</v>
      </c>
      <c r="B211" s="57" t="n">
        <f aca="false">M211</f>
        <v>45449</v>
      </c>
      <c r="C211" s="34" t="n">
        <v>45068</v>
      </c>
      <c r="D211" s="34" t="n">
        <v>45618</v>
      </c>
      <c r="E211" s="35" t="n">
        <f aca="false">(D211-C211)/7</f>
        <v>78.5714285714286</v>
      </c>
      <c r="F211" s="35" t="n">
        <f aca="false">($B$2-C211)/7</f>
        <v>157.571428571429</v>
      </c>
      <c r="G211" s="36" t="n">
        <v>132</v>
      </c>
      <c r="H211" s="36" t="n">
        <v>88</v>
      </c>
      <c r="I211" s="37" t="n">
        <f aca="false">IFERROR(H211/G211,"")</f>
        <v>0.666666666666667</v>
      </c>
      <c r="J211" s="37" t="n">
        <f aca="false">IFERROR(F211/E211,"")</f>
        <v>2.00545454545455</v>
      </c>
      <c r="K211" s="38" t="n">
        <f aca="false">IFERROR(((F211*G211)/E211)-H211,"")</f>
        <v>176.72</v>
      </c>
      <c r="L211" s="36" t="str">
        <f aca="false">IF(K211&lt;-10,"MUITO ADIANTADO",IF(K211&lt;-6,"ADIANTADO",IF(K211&lt;6,"EM DIAS",IF(K211&lt;12,"ATRASADO","MUITO ATRASADO"))))</f>
        <v>MUITO ATRASADO</v>
      </c>
      <c r="M211" s="39" t="n">
        <v>45449</v>
      </c>
      <c r="N211" s="55" t="n">
        <f aca="false">$B$2-M211</f>
        <v>722</v>
      </c>
      <c r="O211" s="56" t="str">
        <f aca="false">IF(N211&lt;8,"VERIFICADO",IF(N211&lt;15,"VERIFICAR","VERIFICAR URGENTE"))</f>
        <v>VERIFICAR URGENTE</v>
      </c>
      <c r="P211" s="40"/>
      <c r="Q211" s="40"/>
      <c r="R211" s="40"/>
      <c r="S211" s="40"/>
      <c r="T211" s="40"/>
      <c r="U211" s="40"/>
    </row>
    <row r="212" customFormat="false" ht="15.75" hidden="false" customHeight="true" outlineLevel="0" collapsed="false">
      <c r="A212" s="40" t="s">
        <v>471</v>
      </c>
      <c r="B212" s="57" t="n">
        <f aca="false">M212</f>
        <v>45449</v>
      </c>
      <c r="C212" s="34" t="n">
        <v>45064</v>
      </c>
      <c r="D212" s="34" t="n">
        <v>46677</v>
      </c>
      <c r="E212" s="35" t="n">
        <f aca="false">(D212-C212)/7</f>
        <v>230.428571428571</v>
      </c>
      <c r="F212" s="35" t="n">
        <f aca="false">($B$2-C212)/7</f>
        <v>158.142857142857</v>
      </c>
      <c r="G212" s="36" t="n">
        <v>272</v>
      </c>
      <c r="H212" s="36" t="n">
        <v>33</v>
      </c>
      <c r="I212" s="37" t="n">
        <f aca="false">IFERROR(H212/G212,"")</f>
        <v>0.121323529411765</v>
      </c>
      <c r="J212" s="37" t="n">
        <f aca="false">IFERROR(F212/E212,"")</f>
        <v>0.686298822070677</v>
      </c>
      <c r="K212" s="38" t="n">
        <f aca="false">IFERROR(((F212*G212)/E212)-H212,"")</f>
        <v>153.673279603224</v>
      </c>
      <c r="L212" s="36" t="str">
        <f aca="false">IF(K212&lt;-10,"MUITO ADIANTADO",IF(K212&lt;-6,"ADIANTADO",IF(K212&lt;6,"EM DIAS",IF(K212&lt;12,"ATRASADO","MUITO ATRASADO"))))</f>
        <v>MUITO ATRASADO</v>
      </c>
      <c r="M212" s="39" t="n">
        <v>45449</v>
      </c>
      <c r="N212" s="55" t="n">
        <f aca="false">$B$2-M212</f>
        <v>722</v>
      </c>
      <c r="O212" s="56" t="str">
        <f aca="false">IF(N212&lt;8,"VERIFICADO",IF(N212&lt;15,"VERIFICAR","VERIFICAR URGENTE"))</f>
        <v>VERIFICAR URGENTE</v>
      </c>
      <c r="P212" s="40"/>
      <c r="Q212" s="40"/>
      <c r="R212" s="40"/>
      <c r="S212" s="40"/>
      <c r="T212" s="40"/>
      <c r="U212" s="40"/>
    </row>
    <row r="213" customFormat="false" ht="15.75" hidden="false" customHeight="true" outlineLevel="0" collapsed="false">
      <c r="A213" s="40" t="s">
        <v>689</v>
      </c>
      <c r="B213" s="57" t="n">
        <f aca="false">M213</f>
        <v>45449</v>
      </c>
      <c r="C213" s="34" t="n">
        <v>44988</v>
      </c>
      <c r="D213" s="34" t="n">
        <v>46336</v>
      </c>
      <c r="E213" s="35" t="n">
        <f aca="false">(D213-C213)/7</f>
        <v>192.571428571429</v>
      </c>
      <c r="F213" s="35" t="n">
        <f aca="false">($B$2-C213)/7</f>
        <v>169</v>
      </c>
      <c r="G213" s="36" t="n">
        <v>253</v>
      </c>
      <c r="H213" s="36" t="n">
        <v>45</v>
      </c>
      <c r="I213" s="37"/>
      <c r="J213" s="37"/>
      <c r="K213" s="38" t="n">
        <f aca="false">IFERROR(((F213*G213)/E213)-H213,"")</f>
        <v>177.031899109792</v>
      </c>
      <c r="L213" s="36" t="str">
        <f aca="false">IF(K213&lt;-10,"MUITO ADIANTADO",IF(K213&lt;-6,"ADIANTADO",IF(K213&lt;6,"EM DIAS",IF(K213&lt;12,"ATRASADO","MUITO ATRASADO"))))</f>
        <v>MUITO ATRASADO</v>
      </c>
      <c r="M213" s="39" t="n">
        <v>45449</v>
      </c>
      <c r="N213" s="55" t="n">
        <f aca="false">$B$2-M213</f>
        <v>722</v>
      </c>
      <c r="O213" s="56" t="str">
        <f aca="false">IF(N213&lt;8,"VERIFICADO",IF(N213&lt;15,"VERIFICAR","VERIFICAR URGENTE"))</f>
        <v>VERIFICAR URGENTE</v>
      </c>
      <c r="P213" s="40"/>
      <c r="Q213" s="40"/>
      <c r="R213" s="40"/>
      <c r="S213" s="40"/>
      <c r="T213" s="40"/>
      <c r="U213" s="40"/>
    </row>
    <row r="214" customFormat="false" ht="15.75" hidden="false" customHeight="true" outlineLevel="0" collapsed="false">
      <c r="A214" s="41" t="s">
        <v>690</v>
      </c>
      <c r="B214" s="57" t="n">
        <f aca="false">M214</f>
        <v>45449</v>
      </c>
      <c r="C214" s="34" t="n">
        <v>45030</v>
      </c>
      <c r="D214" s="34" t="n">
        <v>45528</v>
      </c>
      <c r="E214" s="35" t="n">
        <f aca="false">(D214-C214)/7</f>
        <v>71.1428571428571</v>
      </c>
      <c r="F214" s="35" t="n">
        <f aca="false">($B$2-C214)/7</f>
        <v>163</v>
      </c>
      <c r="G214" s="36" t="n">
        <v>80</v>
      </c>
      <c r="H214" s="36" t="n">
        <v>26</v>
      </c>
      <c r="I214" s="37" t="n">
        <f aca="false">IFERROR(H214/G214,"")</f>
        <v>0.325</v>
      </c>
      <c r="J214" s="37" t="n">
        <f aca="false">IFERROR(F214/E214,"")</f>
        <v>2.29116465863454</v>
      </c>
      <c r="K214" s="38" t="n">
        <f aca="false">IFERROR(((F214*G214)/E214)-H214,"")</f>
        <v>157.293172690763</v>
      </c>
      <c r="L214" s="36" t="str">
        <f aca="false">IF(K214&lt;-10,"MUITO ADIANTADO",IF(K214&lt;-6,"ADIANTADO",IF(K214&lt;6,"EM DIAS",IF(K214&lt;12,"ATRASADO","MUITO ATRASADO"))))</f>
        <v>MUITO ATRASADO</v>
      </c>
      <c r="M214" s="39" t="n">
        <v>45449</v>
      </c>
      <c r="N214" s="55" t="n">
        <f aca="false">$B$2-M214</f>
        <v>722</v>
      </c>
      <c r="O214" s="56" t="str">
        <f aca="false">IF(N214&lt;8,"VERIFICADO",IF(N214&lt;15,"VERIFICAR","VERIFICAR URGENTE"))</f>
        <v>VERIFICAR URGENTE</v>
      </c>
      <c r="P214" s="40"/>
      <c r="Q214" s="40"/>
      <c r="R214" s="40"/>
      <c r="S214" s="40"/>
      <c r="T214" s="40"/>
      <c r="U214" s="40"/>
    </row>
    <row r="215" customFormat="false" ht="15.75" hidden="false" customHeight="true" outlineLevel="0" collapsed="false">
      <c r="A215" s="41" t="s">
        <v>690</v>
      </c>
      <c r="B215" s="57" t="n">
        <f aca="false">M215</f>
        <v>45449</v>
      </c>
      <c r="C215" s="34" t="n">
        <v>45252</v>
      </c>
      <c r="D215" s="34" t="n">
        <v>46244</v>
      </c>
      <c r="E215" s="35" t="n">
        <f aca="false">(D215-C215)/7</f>
        <v>141.714285714286</v>
      </c>
      <c r="F215" s="35" t="n">
        <f aca="false">($B$2-C215)/7</f>
        <v>131.285714285714</v>
      </c>
      <c r="G215" s="36" t="n">
        <v>144</v>
      </c>
      <c r="H215" s="36" t="n">
        <v>24</v>
      </c>
      <c r="I215" s="37"/>
      <c r="J215" s="37"/>
      <c r="K215" s="38" t="n">
        <f aca="false">IFERROR(((F215*G215)/E215)-H215,"")</f>
        <v>109.403225806451</v>
      </c>
      <c r="L215" s="36" t="str">
        <f aca="false">IF(K215&lt;-10,"MUITO ADIANTADO",IF(K215&lt;-6,"ADIANTADO",IF(K215&lt;6,"EM DIAS",IF(K215&lt;12,"ATRASADO","MUITO ATRASADO"))))</f>
        <v>MUITO ATRASADO</v>
      </c>
      <c r="M215" s="39" t="n">
        <v>45449</v>
      </c>
      <c r="N215" s="55" t="n">
        <f aca="false">$B$2-M215</f>
        <v>722</v>
      </c>
      <c r="O215" s="56" t="str">
        <f aca="false">IF(N215&lt;8,"VERIFICADO",IF(N215&lt;15,"VERIFICAR","VERIFICAR URGENTE"))</f>
        <v>VERIFICAR URGENTE</v>
      </c>
      <c r="P215" s="40"/>
      <c r="Q215" s="40"/>
      <c r="R215" s="40"/>
      <c r="S215" s="40"/>
      <c r="T215" s="40"/>
      <c r="U215" s="40"/>
    </row>
    <row r="216" customFormat="false" ht="15.75" hidden="false" customHeight="true" outlineLevel="0" collapsed="false">
      <c r="A216" s="40" t="s">
        <v>691</v>
      </c>
      <c r="B216" s="57" t="n">
        <f aca="false">M216</f>
        <v>45448</v>
      </c>
      <c r="C216" s="34" t="n">
        <v>45322</v>
      </c>
      <c r="D216" s="34" t="n">
        <v>45503</v>
      </c>
      <c r="E216" s="35" t="n">
        <f aca="false">(D216-C216)/7</f>
        <v>25.8571428571429</v>
      </c>
      <c r="F216" s="35" t="n">
        <f aca="false">($B$2-C216)/7</f>
        <v>121.285714285714</v>
      </c>
      <c r="G216" s="36" t="n">
        <v>16</v>
      </c>
      <c r="H216" s="36" t="n">
        <v>14</v>
      </c>
      <c r="I216" s="37"/>
      <c r="J216" s="37"/>
      <c r="K216" s="38" t="n">
        <f aca="false">IFERROR(((F216*G216)/E216)-H216,"")</f>
        <v>61.049723756906</v>
      </c>
      <c r="L216" s="36" t="str">
        <f aca="false">IF(K216&lt;-10,"MUITO ADIANTADO",IF(K216&lt;-6,"ADIANTADO",IF(K216&lt;6,"EM DIAS",IF(K216&lt;12,"ATRASADO","MUITO ATRASADO"))))</f>
        <v>MUITO ATRASADO</v>
      </c>
      <c r="M216" s="39" t="n">
        <v>45448</v>
      </c>
      <c r="N216" s="55" t="n">
        <f aca="false">$B$2-M216</f>
        <v>723</v>
      </c>
      <c r="O216" s="41" t="str">
        <f aca="false">IF(N216&lt;8,"VERIFICADO",IF(N216&lt;15,"VERIFICAR","VERIFICAR URGENTE"))</f>
        <v>VERIFICAR URGENTE</v>
      </c>
      <c r="P216" s="40"/>
      <c r="Q216" s="40"/>
      <c r="R216" s="40"/>
      <c r="S216" s="40"/>
      <c r="T216" s="40"/>
      <c r="U216" s="40"/>
    </row>
    <row r="217" customFormat="false" ht="15.75" hidden="false" customHeight="true" outlineLevel="0" collapsed="false">
      <c r="A217" s="40" t="s">
        <v>692</v>
      </c>
      <c r="B217" s="57" t="n">
        <f aca="false">M217</f>
        <v>45448</v>
      </c>
      <c r="C217" s="34" t="n">
        <v>45072</v>
      </c>
      <c r="D217" s="34" t="n">
        <v>45987</v>
      </c>
      <c r="E217" s="35" t="n">
        <f aca="false">(D217-C217)/7</f>
        <v>130.714285714286</v>
      </c>
      <c r="F217" s="35" t="n">
        <f aca="false">($B$2-C217)/7</f>
        <v>157</v>
      </c>
      <c r="G217" s="36" t="n">
        <v>192</v>
      </c>
      <c r="H217" s="36" t="n">
        <v>73</v>
      </c>
      <c r="I217" s="37" t="n">
        <f aca="false">IFERROR(H217/G217,"")</f>
        <v>0.380208333333333</v>
      </c>
      <c r="J217" s="37" t="n">
        <f aca="false">IFERROR(F217/E217,"")</f>
        <v>1.20109289617486</v>
      </c>
      <c r="K217" s="38" t="n">
        <f aca="false">IFERROR(((F217*G217)/E217)-H217,"")</f>
        <v>157.609836065573</v>
      </c>
      <c r="L217" s="36" t="str">
        <f aca="false">IF(K217&lt;-10,"MUITO ADIANTADO",IF(K217&lt;-6,"ADIANTADO",IF(K217&lt;6,"EM DIAS",IF(K217&lt;12,"ATRASADO","MUITO ATRASADO"))))</f>
        <v>MUITO ATRASADO</v>
      </c>
      <c r="M217" s="39" t="n">
        <v>45448</v>
      </c>
      <c r="N217" s="55" t="n">
        <f aca="false">$B$2-M217</f>
        <v>723</v>
      </c>
      <c r="O217" s="56" t="str">
        <f aca="false">IF(N217&lt;8,"VERIFICADO",IF(N217&lt;15,"VERIFICAR","VERIFICAR URGENTE"))</f>
        <v>VERIFICAR URGENTE</v>
      </c>
      <c r="P217" s="40"/>
      <c r="Q217" s="40"/>
      <c r="R217" s="40"/>
      <c r="S217" s="40"/>
      <c r="T217" s="40"/>
      <c r="U217" s="40"/>
    </row>
    <row r="218" customFormat="false" ht="15.75" hidden="false" customHeight="true" outlineLevel="0" collapsed="false">
      <c r="A218" s="40" t="s">
        <v>693</v>
      </c>
      <c r="B218" s="57" t="n">
        <f aca="false">M218</f>
        <v>45448</v>
      </c>
      <c r="C218" s="34" t="n">
        <v>45161</v>
      </c>
      <c r="D218" s="34" t="n">
        <v>45711</v>
      </c>
      <c r="E218" s="35" t="n">
        <f aca="false">(D218-C218)/7</f>
        <v>78.5714285714286</v>
      </c>
      <c r="F218" s="35" t="n">
        <f aca="false">($B$2-C218)/7</f>
        <v>144.285714285714</v>
      </c>
      <c r="G218" s="36" t="n">
        <v>80</v>
      </c>
      <c r="H218" s="36" t="n">
        <v>39</v>
      </c>
      <c r="I218" s="37"/>
      <c r="J218" s="37"/>
      <c r="K218" s="38" t="n">
        <f aca="false">IFERROR(((F218*G218)/E218)-H218,"")</f>
        <v>107.909090909091</v>
      </c>
      <c r="L218" s="36" t="str">
        <f aca="false">IF(K218&lt;-10,"MUITO ADIANTADO",IF(K218&lt;-6,"ADIANTADO",IF(K218&lt;6,"EM DIAS",IF(K218&lt;12,"ATRASADO","MUITO ATRASADO"))))</f>
        <v>MUITO ATRASADO</v>
      </c>
      <c r="M218" s="39" t="n">
        <v>45448</v>
      </c>
      <c r="N218" s="55" t="n">
        <f aca="false">$B$2-M218</f>
        <v>723</v>
      </c>
      <c r="O218" s="56" t="str">
        <f aca="false">IF(N218&lt;8,"VERIFICADO",IF(N218&lt;15,"VERIFICAR","VERIFICAR URGENTE"))</f>
        <v>VERIFICAR URGENTE</v>
      </c>
      <c r="P218" s="40"/>
      <c r="Q218" s="40"/>
      <c r="R218" s="40"/>
      <c r="S218" s="40"/>
      <c r="T218" s="40"/>
      <c r="U218" s="40"/>
    </row>
    <row r="219" customFormat="false" ht="15.75" hidden="false" customHeight="true" outlineLevel="0" collapsed="false">
      <c r="A219" s="40" t="s">
        <v>694</v>
      </c>
      <c r="B219" s="57" t="n">
        <f aca="false">M219</f>
        <v>45454</v>
      </c>
      <c r="C219" s="34" t="n">
        <v>45160</v>
      </c>
      <c r="D219" s="34" t="n">
        <v>45710</v>
      </c>
      <c r="E219" s="35" t="n">
        <f aca="false">(D219-C219)/7</f>
        <v>78.5714285714286</v>
      </c>
      <c r="F219" s="35" t="n">
        <f aca="false">($B$2-C219)/7</f>
        <v>144.428571428571</v>
      </c>
      <c r="G219" s="36" t="n">
        <v>80</v>
      </c>
      <c r="H219" s="36" t="n">
        <v>37</v>
      </c>
      <c r="I219" s="37"/>
      <c r="J219" s="37"/>
      <c r="K219" s="38" t="n">
        <f aca="false">IFERROR(((F219*G219)/E219)-H219,"")</f>
        <v>110.054545454545</v>
      </c>
      <c r="L219" s="36" t="str">
        <f aca="false">IF(K219&lt;-10,"MUITO ADIANTADO",IF(K219&lt;-6,"ADIANTADO",IF(K219&lt;6,"EM DIAS",IF(K219&lt;12,"ATRASADO","MUITO ATRASADO"))))</f>
        <v>MUITO ATRASADO</v>
      </c>
      <c r="M219" s="39" t="n">
        <v>45454</v>
      </c>
      <c r="N219" s="55" t="n">
        <f aca="false">$B$2-M219</f>
        <v>717</v>
      </c>
      <c r="O219" s="56" t="str">
        <f aca="false">IF(N219&lt;8,"VERIFICADO",IF(N219&lt;15,"VERIFICAR","VERIFICAR URGENTE"))</f>
        <v>VERIFICAR URGENTE</v>
      </c>
      <c r="P219" s="40"/>
      <c r="Q219" s="40"/>
      <c r="R219" s="40"/>
      <c r="S219" s="40"/>
      <c r="T219" s="40"/>
      <c r="U219" s="40"/>
    </row>
    <row r="220" customFormat="false" ht="15.75" hidden="false" customHeight="true" outlineLevel="0" collapsed="false">
      <c r="A220" s="68" t="s">
        <v>695</v>
      </c>
      <c r="B220" s="57" t="n">
        <f aca="false">M220</f>
        <v>45449</v>
      </c>
      <c r="C220" s="34" t="n">
        <v>45206</v>
      </c>
      <c r="D220" s="34" t="n">
        <v>45741</v>
      </c>
      <c r="E220" s="35" t="n">
        <f aca="false">(D220-C220)/7</f>
        <v>76.4285714285714</v>
      </c>
      <c r="F220" s="35" t="n">
        <f aca="false">($B$2-C220)/7</f>
        <v>137.857142857143</v>
      </c>
      <c r="G220" s="36" t="n">
        <v>80</v>
      </c>
      <c r="H220" s="36" t="n">
        <v>32</v>
      </c>
      <c r="I220" s="37"/>
      <c r="J220" s="37"/>
      <c r="K220" s="38" t="n">
        <f aca="false">IFERROR(((F220*G220)/E220)-H220,"")</f>
        <v>112.299065420561</v>
      </c>
      <c r="L220" s="36" t="str">
        <f aca="false">IF(K220&lt;-10,"MUITO ADIANTADO",IF(K220&lt;-6,"ADIANTADO",IF(K220&lt;6,"EM DIAS",IF(K220&lt;12,"ATRASADO","MUITO ATRASADO"))))</f>
        <v>MUITO ATRASADO</v>
      </c>
      <c r="M220" s="39" t="n">
        <v>45449</v>
      </c>
      <c r="N220" s="55" t="n">
        <f aca="false">$B$2-M220</f>
        <v>722</v>
      </c>
      <c r="O220" s="56" t="str">
        <f aca="false">IF(N220&lt;8,"VERIFICADO",IF(N220&lt;15,"VERIFICAR","VERIFICAR URGENTE"))</f>
        <v>VERIFICAR URGENTE</v>
      </c>
      <c r="P220" s="40"/>
      <c r="Q220" s="40"/>
      <c r="R220" s="40"/>
      <c r="S220" s="40"/>
      <c r="T220" s="40"/>
      <c r="U220" s="40"/>
    </row>
    <row r="221" customFormat="false" ht="15.75" hidden="false" customHeight="true" outlineLevel="0" collapsed="false">
      <c r="A221" s="40" t="s">
        <v>696</v>
      </c>
      <c r="B221" s="57" t="n">
        <f aca="false">M221</f>
        <v>45450</v>
      </c>
      <c r="C221" s="34" t="n">
        <v>45049</v>
      </c>
      <c r="D221" s="34" t="n">
        <v>45511</v>
      </c>
      <c r="E221" s="35" t="n">
        <f aca="false">(D221-C221)/7</f>
        <v>66</v>
      </c>
      <c r="F221" s="35" t="n">
        <f aca="false">($B$2-C221)/7</f>
        <v>160.285714285714</v>
      </c>
      <c r="G221" s="36" t="n">
        <v>80</v>
      </c>
      <c r="H221" s="36" t="n">
        <v>41</v>
      </c>
      <c r="I221" s="37" t="n">
        <f aca="false">IFERROR(H221/G221,"")</f>
        <v>0.5125</v>
      </c>
      <c r="J221" s="37" t="n">
        <f aca="false">IFERROR(F221/E221,"")</f>
        <v>2.42857142857143</v>
      </c>
      <c r="K221" s="38" t="n">
        <f aca="false">IFERROR(((F221*G221)/E221)-H221,"")</f>
        <v>153.285714285714</v>
      </c>
      <c r="L221" s="36" t="str">
        <f aca="false">IF(K221&lt;-10,"MUITO ADIANTADO",IF(K221&lt;-6,"ADIANTADO",IF(K221&lt;6,"EM DIAS",IF(K221&lt;12,"ATRASADO","MUITO ATRASADO"))))</f>
        <v>MUITO ATRASADO</v>
      </c>
      <c r="M221" s="39" t="n">
        <v>45450</v>
      </c>
      <c r="N221" s="55" t="n">
        <f aca="false">$B$2-M221</f>
        <v>721</v>
      </c>
      <c r="O221" s="56" t="str">
        <f aca="false">IF(N221&lt;8,"VERIFICADO",IF(N221&lt;15,"VERIFICAR","VERIFICAR URGENTE"))</f>
        <v>VERIFICAR URGENTE</v>
      </c>
      <c r="P221" s="40"/>
      <c r="Q221" s="40"/>
      <c r="R221" s="40"/>
      <c r="S221" s="40"/>
      <c r="T221" s="40"/>
      <c r="U221" s="40"/>
    </row>
    <row r="222" customFormat="false" ht="15.75" hidden="false" customHeight="true" outlineLevel="0" collapsed="false">
      <c r="A222" s="40" t="s">
        <v>697</v>
      </c>
      <c r="B222" s="57" t="n">
        <f aca="false">M222</f>
        <v>45451</v>
      </c>
      <c r="C222" s="34" t="n">
        <v>45073</v>
      </c>
      <c r="D222" s="34" t="n">
        <v>45592</v>
      </c>
      <c r="E222" s="35" t="n">
        <f aca="false">(D222-C222)/7</f>
        <v>74.1428571428571</v>
      </c>
      <c r="F222" s="35" t="n">
        <f aca="false">($B$2-C222)/7</f>
        <v>156.857142857143</v>
      </c>
      <c r="G222" s="36" t="n">
        <v>80</v>
      </c>
      <c r="H222" s="36" t="n">
        <v>56</v>
      </c>
      <c r="I222" s="37" t="n">
        <f aca="false">IFERROR(H222/G222,"")</f>
        <v>0.7</v>
      </c>
      <c r="J222" s="37" t="n">
        <f aca="false">IFERROR(F222/E222,"")</f>
        <v>2.11560693641619</v>
      </c>
      <c r="K222" s="38" t="n">
        <f aca="false">IFERROR(((F222*G222)/E222)-H222,"")</f>
        <v>113.248554913295</v>
      </c>
      <c r="L222" s="36" t="str">
        <f aca="false">IF(K222&lt;-10,"MUITO ADIANTADO",IF(K222&lt;-6,"ADIANTADO",IF(K222&lt;6,"EM DIAS",IF(K222&lt;12,"ATRASADO","MUITO ATRASADO"))))</f>
        <v>MUITO ATRASADO</v>
      </c>
      <c r="M222" s="39" t="n">
        <v>45451</v>
      </c>
      <c r="N222" s="55" t="n">
        <f aca="false">$B$2-M222</f>
        <v>720</v>
      </c>
      <c r="O222" s="56" t="str">
        <f aca="false">IF(N222&lt;8,"VERIFICADO",IF(N222&lt;15,"VERIFICAR","VERIFICAR URGENTE"))</f>
        <v>VERIFICAR URGENTE</v>
      </c>
      <c r="P222" s="40"/>
      <c r="Q222" s="40"/>
      <c r="R222" s="40"/>
      <c r="S222" s="40"/>
      <c r="T222" s="40"/>
      <c r="U222" s="40"/>
    </row>
    <row r="223" customFormat="false" ht="15.75" hidden="false" customHeight="true" outlineLevel="0" collapsed="false">
      <c r="A223" s="40" t="s">
        <v>698</v>
      </c>
      <c r="B223" s="57" t="n">
        <f aca="false">M223</f>
        <v>45453</v>
      </c>
      <c r="C223" s="34" t="n">
        <v>44457</v>
      </c>
      <c r="D223" s="34" t="n">
        <v>45488</v>
      </c>
      <c r="E223" s="35" t="n">
        <f aca="false">(D223-C223)/7</f>
        <v>147.285714285714</v>
      </c>
      <c r="F223" s="35" t="n">
        <f aca="false">($B$2-C223)/7</f>
        <v>244.857142857143</v>
      </c>
      <c r="G223" s="36" t="n">
        <v>202</v>
      </c>
      <c r="H223" s="36" t="n">
        <v>186</v>
      </c>
      <c r="I223" s="37" t="n">
        <f aca="false">IFERROR(H223/G223,"")</f>
        <v>0.920792079207921</v>
      </c>
      <c r="J223" s="37" t="n">
        <f aca="false">IFERROR(F223/E223,"")</f>
        <v>1.66246362754608</v>
      </c>
      <c r="K223" s="38" t="n">
        <f aca="false">IFERROR(((F223*G223)/E223)-H223,"")</f>
        <v>149.817652764307</v>
      </c>
      <c r="L223" s="36" t="str">
        <f aca="false">IF(K223&lt;-10,"MUITO ADIANTADO",IF(K223&lt;-6,"ADIANTADO",IF(K223&lt;6,"EM DIAS",IF(K223&lt;12,"ATRASADO","MUITO ATRASADO"))))</f>
        <v>MUITO ATRASADO</v>
      </c>
      <c r="M223" s="39" t="n">
        <v>45453</v>
      </c>
      <c r="N223" s="55" t="n">
        <f aca="false">$B$2-M223</f>
        <v>718</v>
      </c>
      <c r="O223" s="56" t="str">
        <f aca="false">IF(N223&lt;8,"VERIFICADO",IF(N223&lt;15,"VERIFICAR","VERIFICAR URGENTE"))</f>
        <v>VERIFICAR URGENTE</v>
      </c>
      <c r="P223" s="40"/>
      <c r="Q223" s="40"/>
      <c r="R223" s="40"/>
      <c r="S223" s="40"/>
      <c r="T223" s="40"/>
      <c r="U223" s="40"/>
    </row>
    <row r="224" customFormat="false" ht="15.75" hidden="false" customHeight="true" outlineLevel="0" collapsed="false">
      <c r="A224" s="40" t="s">
        <v>699</v>
      </c>
      <c r="B224" s="57" t="n">
        <f aca="false">M224</f>
        <v>45448</v>
      </c>
      <c r="C224" s="34" t="n">
        <v>45180</v>
      </c>
      <c r="D224" s="34" t="n">
        <v>45514</v>
      </c>
      <c r="E224" s="35" t="n">
        <f aca="false">(D224-C224)/7</f>
        <v>47.7142857142857</v>
      </c>
      <c r="F224" s="35" t="n">
        <f aca="false">($B$2-C224)/7</f>
        <v>141.571428571429</v>
      </c>
      <c r="G224" s="36" t="n">
        <v>64</v>
      </c>
      <c r="H224" s="36" t="n">
        <v>45</v>
      </c>
      <c r="I224" s="37"/>
      <c r="J224" s="37"/>
      <c r="K224" s="38" t="n">
        <f aca="false">IFERROR(((F224*G224)/E224)-H224,"")</f>
        <v>144.892215568862</v>
      </c>
      <c r="L224" s="36" t="str">
        <f aca="false">IF(K224&lt;-10,"MUITO ADIANTADO",IF(K224&lt;-6,"ADIANTADO",IF(K224&lt;6,"EM DIAS",IF(K224&lt;12,"ATRASADO","MUITO ATRASADO"))))</f>
        <v>MUITO ATRASADO</v>
      </c>
      <c r="M224" s="39" t="n">
        <v>45448</v>
      </c>
      <c r="N224" s="55" t="n">
        <f aca="false">$B$2-M224</f>
        <v>723</v>
      </c>
      <c r="O224" s="56" t="str">
        <f aca="false">IF(N224&lt;8,"VERIFICADO",IF(N224&lt;15,"VERIFICAR","VERIFICAR URGENTE"))</f>
        <v>VERIFICAR URGENTE</v>
      </c>
      <c r="P224" s="40"/>
      <c r="Q224" s="40"/>
      <c r="R224" s="40"/>
      <c r="S224" s="40"/>
      <c r="T224" s="40"/>
      <c r="U224" s="40"/>
    </row>
    <row r="225" customFormat="false" ht="15.75" hidden="false" customHeight="true" outlineLevel="0" collapsed="false">
      <c r="A225" s="40" t="s">
        <v>700</v>
      </c>
      <c r="B225" s="57" t="n">
        <f aca="false">M225</f>
        <v>45449</v>
      </c>
      <c r="C225" s="34" t="n">
        <v>45098</v>
      </c>
      <c r="D225" s="34" t="n">
        <v>45982</v>
      </c>
      <c r="E225" s="35" t="n">
        <f aca="false">(D225-C225)/7</f>
        <v>126.285714285714</v>
      </c>
      <c r="F225" s="35" t="n">
        <f aca="false">($B$2-C225)/7</f>
        <v>153.285714285714</v>
      </c>
      <c r="G225" s="36" t="n">
        <v>160</v>
      </c>
      <c r="H225" s="36" t="n">
        <v>59</v>
      </c>
      <c r="I225" s="37" t="n">
        <f aca="false">IFERROR(H225/G225,"")</f>
        <v>0.36875</v>
      </c>
      <c r="J225" s="37" t="n">
        <f aca="false">IFERROR(F225/E225,"")</f>
        <v>1.21380090497738</v>
      </c>
      <c r="K225" s="38" t="n">
        <f aca="false">IFERROR(((F225*G225)/E225)-H225,"")</f>
        <v>135.208144796381</v>
      </c>
      <c r="L225" s="36" t="str">
        <f aca="false">IF(K225&lt;-10,"MUITO ADIANTADO",IF(K225&lt;-6,"ADIANTADO",IF(K225&lt;6,"EM DIAS",IF(K225&lt;12,"ATRASADO","MUITO ATRASADO"))))</f>
        <v>MUITO ATRASADO</v>
      </c>
      <c r="M225" s="39" t="n">
        <v>45449</v>
      </c>
      <c r="N225" s="55" t="n">
        <f aca="false">$B$2-M225</f>
        <v>722</v>
      </c>
      <c r="O225" s="56" t="str">
        <f aca="false">IF(N225&lt;8,"VERIFICADO",IF(N225&lt;15,"VERIFICAR","VERIFICAR URGENTE"))</f>
        <v>VERIFICAR URGENTE</v>
      </c>
      <c r="P225" s="40"/>
      <c r="Q225" s="40"/>
      <c r="R225" s="40"/>
      <c r="S225" s="40"/>
      <c r="T225" s="40"/>
      <c r="U225" s="40"/>
    </row>
    <row r="226" customFormat="false" ht="15.75" hidden="false" customHeight="true" outlineLevel="0" collapsed="false">
      <c r="A226" s="40" t="s">
        <v>701</v>
      </c>
      <c r="B226" s="57" t="n">
        <f aca="false">M226</f>
        <v>45449</v>
      </c>
      <c r="C226" s="34" t="n">
        <v>44691</v>
      </c>
      <c r="D226" s="34" t="n">
        <v>45839</v>
      </c>
      <c r="E226" s="35" t="n">
        <f aca="false">(D226-C226)/7</f>
        <v>164</v>
      </c>
      <c r="F226" s="35" t="n">
        <f aca="false">($B$2-C226)/7</f>
        <v>211.428571428571</v>
      </c>
      <c r="G226" s="36" t="n">
        <v>249</v>
      </c>
      <c r="H226" s="36" t="n">
        <v>101</v>
      </c>
      <c r="I226" s="37" t="n">
        <f aca="false">IFERROR(H226/G226,"")</f>
        <v>0.405622489959839</v>
      </c>
      <c r="J226" s="37" t="n">
        <f aca="false">IFERROR(F226/E226,"")</f>
        <v>1.28919860627178</v>
      </c>
      <c r="K226" s="38" t="n">
        <f aca="false">IFERROR(((F226*G226)/E226)-H226,"")</f>
        <v>220.010452961672</v>
      </c>
      <c r="L226" s="36" t="str">
        <f aca="false">IF(K226&lt;-10,"MUITO ADIANTADO",IF(K226&lt;-6,"ADIANTADO",IF(K226&lt;6,"EM DIAS",IF(K226&lt;12,"ATRASADO","MUITO ATRASADO"))))</f>
        <v>MUITO ATRASADO</v>
      </c>
      <c r="M226" s="39" t="n">
        <v>45449</v>
      </c>
      <c r="N226" s="55" t="n">
        <f aca="false">$B$2-M226</f>
        <v>722</v>
      </c>
      <c r="O226" s="56" t="str">
        <f aca="false">IF(N226&lt;8,"VERIFICADO",IF(N226&lt;15,"VERIFICAR","VERIFICAR URGENTE"))</f>
        <v>VERIFICAR URGENTE</v>
      </c>
      <c r="P226" s="40"/>
      <c r="Q226" s="40"/>
      <c r="R226" s="40"/>
      <c r="S226" s="40"/>
      <c r="T226" s="40"/>
      <c r="U226" s="40"/>
    </row>
    <row r="227" customFormat="false" ht="15.75" hidden="false" customHeight="true" outlineLevel="0" collapsed="false">
      <c r="A227" s="40" t="s">
        <v>702</v>
      </c>
      <c r="B227" s="57" t="n">
        <f aca="false">M227</f>
        <v>45448</v>
      </c>
      <c r="C227" s="34" t="n">
        <v>45063</v>
      </c>
      <c r="D227" s="34" t="n">
        <v>45548</v>
      </c>
      <c r="E227" s="35" t="n">
        <f aca="false">(D227-C227)/7</f>
        <v>69.2857142857143</v>
      </c>
      <c r="F227" s="35" t="n">
        <f aca="false">($B$2-C227)/7</f>
        <v>158.285714285714</v>
      </c>
      <c r="G227" s="36" t="n">
        <v>96</v>
      </c>
      <c r="H227" s="36" t="n">
        <v>72</v>
      </c>
      <c r="I227" s="37" t="n">
        <f aca="false">IFERROR(H227/G227,"")</f>
        <v>0.75</v>
      </c>
      <c r="J227" s="37" t="n">
        <f aca="false">IFERROR(F227/E227,"")</f>
        <v>2.28453608247423</v>
      </c>
      <c r="K227" s="38" t="n">
        <f aca="false">IFERROR(((F227*G227)/E227)-H227,"")</f>
        <v>147.315463917526</v>
      </c>
      <c r="L227" s="36" t="str">
        <f aca="false">IF(K227&lt;-10,"MUITO ADIANTADO",IF(K227&lt;-6,"ADIANTADO",IF(K227&lt;6,"EM DIAS",IF(K227&lt;12,"ATRASADO","MUITO ATRASADO"))))</f>
        <v>MUITO ATRASADO</v>
      </c>
      <c r="M227" s="39" t="n">
        <v>45448</v>
      </c>
      <c r="N227" s="55" t="n">
        <f aca="false">$B$2-M227</f>
        <v>723</v>
      </c>
      <c r="O227" s="56" t="str">
        <f aca="false">IF(N227&lt;8,"VERIFICADO",IF(N227&lt;15,"VERIFICAR","VERIFICAR URGENTE"))</f>
        <v>VERIFICAR URGENTE</v>
      </c>
      <c r="P227" s="40"/>
      <c r="Q227" s="40"/>
      <c r="R227" s="40"/>
      <c r="S227" s="40"/>
      <c r="T227" s="40"/>
      <c r="U227" s="40"/>
    </row>
    <row r="228" customFormat="false" ht="15.75" hidden="false" customHeight="true" outlineLevel="0" collapsed="false">
      <c r="A228" s="40" t="s">
        <v>703</v>
      </c>
      <c r="B228" s="57" t="n">
        <f aca="false">M228</f>
        <v>45448</v>
      </c>
      <c r="C228" s="34" t="n">
        <v>45210</v>
      </c>
      <c r="D228" s="34" t="n">
        <v>45780</v>
      </c>
      <c r="E228" s="35" t="n">
        <f aca="false">(D228-C228)/7</f>
        <v>81.4285714285714</v>
      </c>
      <c r="F228" s="35" t="n">
        <f aca="false">($B$2-C228)/7</f>
        <v>137.285714285714</v>
      </c>
      <c r="G228" s="36" t="n">
        <v>112</v>
      </c>
      <c r="H228" s="36" t="n">
        <v>38</v>
      </c>
      <c r="I228" s="37"/>
      <c r="J228" s="37"/>
      <c r="K228" s="38" t="n">
        <f aca="false">IFERROR(((F228*G228)/E228)-H228,"")</f>
        <v>150.828070175439</v>
      </c>
      <c r="L228" s="36" t="str">
        <f aca="false">IF(K228&lt;-10,"MUITO ADIANTADO",IF(K228&lt;-6,"ADIANTADO",IF(K228&lt;6,"EM DIAS",IF(K228&lt;12,"ATRASADO","MUITO ATRASADO"))))</f>
        <v>MUITO ATRASADO</v>
      </c>
      <c r="M228" s="39" t="n">
        <v>45448</v>
      </c>
      <c r="N228" s="55" t="n">
        <f aca="false">$B$2-M228</f>
        <v>723</v>
      </c>
      <c r="O228" s="56" t="str">
        <f aca="false">IF(N228&lt;8,"VERIFICADO",IF(N228&lt;15,"VERIFICAR","VERIFICAR URGENTE"))</f>
        <v>VERIFICAR URGENTE</v>
      </c>
      <c r="P228" s="40"/>
      <c r="Q228" s="40"/>
      <c r="R228" s="40"/>
      <c r="S228" s="40"/>
      <c r="T228" s="40"/>
      <c r="U228" s="40"/>
    </row>
    <row r="229" customFormat="false" ht="15.75" hidden="false" customHeight="true" outlineLevel="0" collapsed="false">
      <c r="A229" s="40" t="s">
        <v>174</v>
      </c>
      <c r="B229" s="57" t="n">
        <f aca="false">M229</f>
        <v>45449</v>
      </c>
      <c r="C229" s="34" t="n">
        <v>44994</v>
      </c>
      <c r="D229" s="34" t="n">
        <v>46218</v>
      </c>
      <c r="E229" s="35" t="n">
        <f aca="false">(D229-C229)/7</f>
        <v>174.857142857143</v>
      </c>
      <c r="F229" s="35" t="n">
        <f aca="false">($B$2-C229)/7</f>
        <v>168.142857142857</v>
      </c>
      <c r="G229" s="36" t="n">
        <v>168</v>
      </c>
      <c r="H229" s="36" t="n">
        <v>69</v>
      </c>
      <c r="I229" s="37" t="n">
        <f aca="false">IFERROR(H229/G229,"")</f>
        <v>0.410714285714286</v>
      </c>
      <c r="J229" s="37" t="n">
        <f aca="false">IFERROR(F229/E229,"")</f>
        <v>0.961601307189542</v>
      </c>
      <c r="K229" s="38" t="n">
        <f aca="false">IFERROR(((F229*G229)/E229)-H229,"")</f>
        <v>92.549019607843</v>
      </c>
      <c r="L229" s="36" t="str">
        <f aca="false">IF(K229&lt;-10,"MUITO ADIANTADO",IF(K229&lt;-6,"ADIANTADO",IF(K229&lt;6,"EM DIAS",IF(K229&lt;12,"ATRASADO","MUITO ATRASADO"))))</f>
        <v>MUITO ATRASADO</v>
      </c>
      <c r="M229" s="39" t="n">
        <v>45449</v>
      </c>
      <c r="N229" s="55" t="n">
        <f aca="false">$B$2-M229</f>
        <v>722</v>
      </c>
      <c r="O229" s="56" t="str">
        <f aca="false">IF(N229&lt;8,"VERIFICADO",IF(N229&lt;15,"VERIFICAR","VERIFICAR URGENTE"))</f>
        <v>VERIFICAR URGENTE</v>
      </c>
      <c r="P229" s="40"/>
      <c r="Q229" s="40"/>
      <c r="R229" s="40"/>
      <c r="S229" s="40"/>
      <c r="T229" s="40"/>
      <c r="U229" s="40"/>
    </row>
    <row r="230" customFormat="false" ht="15.75" hidden="false" customHeight="true" outlineLevel="0" collapsed="false">
      <c r="A230" s="40" t="s">
        <v>704</v>
      </c>
      <c r="B230" s="57" t="n">
        <f aca="false">M230</f>
        <v>45448</v>
      </c>
      <c r="C230" s="34" t="n">
        <v>44571</v>
      </c>
      <c r="D230" s="34" t="n">
        <v>45726</v>
      </c>
      <c r="E230" s="35" t="n">
        <f aca="false">(D230-C230)/7</f>
        <v>165</v>
      </c>
      <c r="F230" s="35" t="n">
        <f aca="false">($B$2-C230)/7</f>
        <v>228.571428571429</v>
      </c>
      <c r="G230" s="36" t="n">
        <v>235</v>
      </c>
      <c r="H230" s="36" t="n">
        <v>130</v>
      </c>
      <c r="I230" s="37" t="n">
        <f aca="false">IFERROR(H230/G230,"")</f>
        <v>0.553191489361702</v>
      </c>
      <c r="J230" s="37" t="n">
        <f aca="false">IFERROR(F230/E230,"")</f>
        <v>1.38528138528139</v>
      </c>
      <c r="K230" s="38" t="n">
        <f aca="false">IFERROR(((F230*G230)/E230)-H230,"")</f>
        <v>195.541125541126</v>
      </c>
      <c r="L230" s="36" t="str">
        <f aca="false">IF(K230&lt;-10,"MUITO ADIANTADO",IF(K230&lt;-6,"ADIANTADO",IF(K230&lt;6,"EM DIAS",IF(K230&lt;12,"ATRASADO","MUITO ATRASADO"))))</f>
        <v>MUITO ATRASADO</v>
      </c>
      <c r="M230" s="39" t="n">
        <v>45448</v>
      </c>
      <c r="N230" s="55" t="n">
        <f aca="false">$B$2-M230</f>
        <v>723</v>
      </c>
      <c r="O230" s="56" t="str">
        <f aca="false">IF(N230&lt;8,"VERIFICADO",IF(N230&lt;15,"VERIFICAR","VERIFICAR URGENTE"))</f>
        <v>VERIFICAR URGENTE</v>
      </c>
      <c r="P230" s="40"/>
      <c r="Q230" s="40"/>
      <c r="R230" s="40"/>
      <c r="S230" s="40"/>
      <c r="T230" s="40"/>
      <c r="U230" s="40"/>
    </row>
    <row r="231" customFormat="false" ht="15.75" hidden="false" customHeight="true" outlineLevel="0" collapsed="false">
      <c r="A231" s="40" t="s">
        <v>705</v>
      </c>
      <c r="B231" s="57" t="n">
        <f aca="false">M231</f>
        <v>45449</v>
      </c>
      <c r="C231" s="34" t="n">
        <v>45075</v>
      </c>
      <c r="D231" s="34" t="n">
        <v>45714</v>
      </c>
      <c r="E231" s="35" t="n">
        <f aca="false">(D231-C231)/7</f>
        <v>91.2857142857143</v>
      </c>
      <c r="F231" s="35" t="n">
        <f aca="false">($B$2-C231)/7</f>
        <v>156.571428571429</v>
      </c>
      <c r="G231" s="36" t="n">
        <v>96</v>
      </c>
      <c r="H231" s="36" t="n">
        <v>49</v>
      </c>
      <c r="I231" s="37" t="n">
        <f aca="false">IFERROR(H231/G231,"")</f>
        <v>0.510416666666667</v>
      </c>
      <c r="J231" s="37" t="n">
        <f aca="false">IFERROR(F231/E231,"")</f>
        <v>1.7151799687011</v>
      </c>
      <c r="K231" s="38" t="n">
        <f aca="false">IFERROR(((F231*G231)/E231)-H231,"")</f>
        <v>115.657276995305</v>
      </c>
      <c r="L231" s="36" t="str">
        <f aca="false">IF(K231&lt;-10,"MUITO ADIANTADO",IF(K231&lt;-6,"ADIANTADO",IF(K231&lt;6,"EM DIAS",IF(K231&lt;12,"ATRASADO","MUITO ATRASADO"))))</f>
        <v>MUITO ATRASADO</v>
      </c>
      <c r="M231" s="39" t="n">
        <v>45449</v>
      </c>
      <c r="N231" s="55" t="n">
        <f aca="false">$B$2-M231</f>
        <v>722</v>
      </c>
      <c r="O231" s="56" t="str">
        <f aca="false">IF(N231&lt;8,"VERIFICADO",IF(N231&lt;15,"VERIFICAR","VERIFICAR URGENTE"))</f>
        <v>VERIFICAR URGENTE</v>
      </c>
      <c r="P231" s="40"/>
      <c r="Q231" s="40"/>
      <c r="R231" s="40"/>
      <c r="S231" s="40"/>
      <c r="T231" s="40"/>
      <c r="U231" s="40"/>
    </row>
    <row r="232" customFormat="false" ht="15.75" hidden="false" customHeight="true" outlineLevel="0" collapsed="false">
      <c r="A232" s="40" t="s">
        <v>201</v>
      </c>
      <c r="B232" s="57" t="n">
        <f aca="false">M232</f>
        <v>45453</v>
      </c>
      <c r="C232" s="34" t="n">
        <v>45175</v>
      </c>
      <c r="D232" s="34" t="n">
        <v>46808</v>
      </c>
      <c r="E232" s="35" t="n">
        <f aca="false">(D232-C232)/7</f>
        <v>233.285714285714</v>
      </c>
      <c r="F232" s="35" t="n">
        <f aca="false">($B$2-C232)/7</f>
        <v>142.285714285714</v>
      </c>
      <c r="G232" s="36" t="n">
        <v>256</v>
      </c>
      <c r="H232" s="36" t="n">
        <v>39</v>
      </c>
      <c r="I232" s="37"/>
      <c r="J232" s="37"/>
      <c r="K232" s="38" t="n">
        <f aca="false">IFERROR(((F232*G232)/E232)-H232,"")</f>
        <v>117.13962033068</v>
      </c>
      <c r="L232" s="36" t="str">
        <f aca="false">IF(K232&lt;-10,"MUITO ADIANTADO",IF(K232&lt;-6,"ADIANTADO",IF(K232&lt;6,"EM DIAS",IF(K232&lt;12,"ATRASADO","MUITO ATRASADO"))))</f>
        <v>MUITO ATRASADO</v>
      </c>
      <c r="M232" s="39" t="n">
        <v>45453</v>
      </c>
      <c r="N232" s="55" t="n">
        <f aca="false">$B$2-M232</f>
        <v>718</v>
      </c>
      <c r="O232" s="56" t="str">
        <f aca="false">IF(N232&lt;8,"VERIFICADO",IF(N232&lt;15,"VERIFICAR","VERIFICAR URGENTE"))</f>
        <v>VERIFICAR URGENTE</v>
      </c>
      <c r="P232" s="40"/>
      <c r="Q232" s="40"/>
      <c r="R232" s="40"/>
      <c r="S232" s="40"/>
      <c r="T232" s="40"/>
      <c r="U232" s="40"/>
    </row>
    <row r="233" customFormat="false" ht="15.75" hidden="false" customHeight="true" outlineLevel="0" collapsed="false">
      <c r="A233" s="40" t="s">
        <v>706</v>
      </c>
      <c r="B233" s="57" t="n">
        <f aca="false">M233</f>
        <v>45448</v>
      </c>
      <c r="C233" s="34" t="n">
        <v>45329</v>
      </c>
      <c r="D233" s="34" t="n">
        <v>45420</v>
      </c>
      <c r="E233" s="35" t="n">
        <f aca="false">(D233-C233)/7</f>
        <v>13</v>
      </c>
      <c r="F233" s="35" t="n">
        <f aca="false">($B$2-C233)/7</f>
        <v>120.285714285714</v>
      </c>
      <c r="G233" s="36" t="n">
        <v>0</v>
      </c>
      <c r="H233" s="36" t="n">
        <v>0</v>
      </c>
      <c r="I233" s="37"/>
      <c r="J233" s="37"/>
      <c r="K233" s="38" t="n">
        <f aca="false">IFERROR(((F233*G233)/E233)-H233,"")</f>
        <v>0</v>
      </c>
      <c r="L233" s="36" t="str">
        <f aca="false">IF(K233&lt;-10,"MUITO ADIANTADO",IF(K233&lt;-6,"ADIANTADO",IF(K233&lt;6,"EM DIAS",IF(K233&lt;12,"ATRASADO","MUITO ATRASADO"))))</f>
        <v>EM DIAS</v>
      </c>
      <c r="M233" s="39" t="n">
        <v>45448</v>
      </c>
      <c r="N233" s="55" t="n">
        <f aca="false">$B$2-M233</f>
        <v>723</v>
      </c>
      <c r="O233" s="41" t="str">
        <f aca="false">IF(N233&lt;8,"VERIFICADO",IF(N233&lt;15,"VERIFICAR","VERIFICAR URGENTE"))</f>
        <v>VERIFICAR URGENTE</v>
      </c>
      <c r="P233" s="40"/>
      <c r="Q233" s="40"/>
      <c r="R233" s="40"/>
      <c r="S233" s="40"/>
      <c r="T233" s="40"/>
      <c r="U233" s="40"/>
    </row>
    <row r="234" customFormat="false" ht="15.75" hidden="false" customHeight="true" outlineLevel="0" collapsed="false">
      <c r="A234" s="40" t="s">
        <v>707</v>
      </c>
      <c r="B234" s="57" t="n">
        <f aca="false">M234</f>
        <v>45448</v>
      </c>
      <c r="C234" s="34" t="n">
        <v>45147</v>
      </c>
      <c r="D234" s="34" t="n">
        <v>45888</v>
      </c>
      <c r="E234" s="35" t="n">
        <f aca="false">(D234-C234)/7</f>
        <v>105.857142857143</v>
      </c>
      <c r="F234" s="35" t="n">
        <f aca="false">($B$2-C234)/7</f>
        <v>146.285714285714</v>
      </c>
      <c r="G234" s="36" t="n">
        <v>88</v>
      </c>
      <c r="H234" s="36" t="n">
        <v>9</v>
      </c>
      <c r="I234" s="37" t="n">
        <f aca="false">IFERROR(H234/G234,"")</f>
        <v>0.102272727272727</v>
      </c>
      <c r="J234" s="37" t="n">
        <f aca="false">IFERROR(F234/E234,"")</f>
        <v>1.38191632928475</v>
      </c>
      <c r="K234" s="38" t="n">
        <f aca="false">IFERROR(((F234*G234)/E234)-H234,"")</f>
        <v>112.608636977058</v>
      </c>
      <c r="L234" s="36" t="str">
        <f aca="false">IF(K234&lt;-10,"MUITO ADIANTADO",IF(K234&lt;-6,"ADIANTADO",IF(K234&lt;6,"EM DIAS",IF(K234&lt;12,"ATRASADO","MUITO ATRASADO"))))</f>
        <v>MUITO ATRASADO</v>
      </c>
      <c r="M234" s="39" t="n">
        <v>45448</v>
      </c>
      <c r="N234" s="55" t="n">
        <f aca="false">$B$2-M234</f>
        <v>723</v>
      </c>
      <c r="O234" s="56" t="str">
        <f aca="false">IF(N234&lt;8,"VERIFICADO",IF(N234&lt;15,"VERIFICAR","VERIFICAR URGENTE"))</f>
        <v>VERIFICAR URGENTE</v>
      </c>
      <c r="P234" s="40"/>
      <c r="Q234" s="40"/>
      <c r="R234" s="40"/>
      <c r="S234" s="40"/>
      <c r="T234" s="40"/>
      <c r="U234" s="40"/>
    </row>
    <row r="235" customFormat="false" ht="15.75" hidden="false" customHeight="true" outlineLevel="0" collapsed="false">
      <c r="A235" s="40" t="s">
        <v>708</v>
      </c>
      <c r="B235" s="57" t="n">
        <f aca="false">M235</f>
        <v>45448</v>
      </c>
      <c r="C235" s="34" t="n">
        <v>45044</v>
      </c>
      <c r="D235" s="34" t="n">
        <v>45593</v>
      </c>
      <c r="E235" s="35" t="n">
        <f aca="false">(D235-C235)/7</f>
        <v>78.4285714285714</v>
      </c>
      <c r="F235" s="35" t="n">
        <f aca="false">($B$2-C235)/7</f>
        <v>161</v>
      </c>
      <c r="G235" s="36" t="n">
        <v>70</v>
      </c>
      <c r="H235" s="36" t="n">
        <v>52</v>
      </c>
      <c r="I235" s="37" t="n">
        <f aca="false">IFERROR(H235/G235,"")</f>
        <v>0.742857142857143</v>
      </c>
      <c r="J235" s="37" t="n">
        <f aca="false">IFERROR(F235/E235,"")</f>
        <v>2.0528233151184</v>
      </c>
      <c r="K235" s="38" t="n">
        <f aca="false">IFERROR(((F235*G235)/E235)-H235,"")</f>
        <v>91.6976320582878</v>
      </c>
      <c r="L235" s="36" t="str">
        <f aca="false">IF(K235&lt;-10,"MUITO ADIANTADO",IF(K235&lt;-6,"ADIANTADO",IF(K235&lt;6,"EM DIAS",IF(K235&lt;12,"ATRASADO","MUITO ATRASADO"))))</f>
        <v>MUITO ATRASADO</v>
      </c>
      <c r="M235" s="39" t="n">
        <v>45448</v>
      </c>
      <c r="N235" s="55" t="n">
        <f aca="false">$B$2-M235</f>
        <v>723</v>
      </c>
      <c r="O235" s="56" t="str">
        <f aca="false">IF(N235&lt;8,"VERIFICADO",IF(N235&lt;15,"VERIFICAR","VERIFICAR URGENTE"))</f>
        <v>VERIFICAR URGENTE</v>
      </c>
      <c r="P235" s="40"/>
      <c r="Q235" s="40"/>
      <c r="R235" s="40"/>
      <c r="S235" s="40"/>
      <c r="T235" s="40"/>
      <c r="U235" s="40"/>
    </row>
    <row r="236" customFormat="false" ht="15.75" hidden="false" customHeight="true" outlineLevel="0" collapsed="false">
      <c r="A236" s="40" t="s">
        <v>218</v>
      </c>
      <c r="B236" s="57" t="n">
        <f aca="false">M236</f>
        <v>45448</v>
      </c>
      <c r="C236" s="34" t="n">
        <v>45343</v>
      </c>
      <c r="D236" s="34" t="n">
        <v>46424</v>
      </c>
      <c r="E236" s="35" t="n">
        <f aca="false">(D236-C236)/7</f>
        <v>154.428571428571</v>
      </c>
      <c r="F236" s="35" t="n">
        <f aca="false">($B$2-C236)/7</f>
        <v>118.285714285714</v>
      </c>
      <c r="G236" s="36" t="n">
        <v>144</v>
      </c>
      <c r="H236" s="36" t="n">
        <v>16</v>
      </c>
      <c r="I236" s="37"/>
      <c r="J236" s="37"/>
      <c r="K236" s="38" t="n">
        <f aca="false">IFERROR(((F236*G236)/E236)-H236,"")</f>
        <v>94.2978723404259</v>
      </c>
      <c r="L236" s="36" t="str">
        <f aca="false">IF(K236&lt;-10,"MUITO ADIANTADO",IF(K236&lt;-6,"ADIANTADO",IF(K236&lt;6,"EM DIAS",IF(K236&lt;12,"ATRASADO","MUITO ATRASADO"))))</f>
        <v>MUITO ATRASADO</v>
      </c>
      <c r="M236" s="39" t="n">
        <v>45448</v>
      </c>
      <c r="N236" s="55" t="n">
        <f aca="false">$B$2-M236</f>
        <v>723</v>
      </c>
      <c r="O236" s="56" t="str">
        <f aca="false">IF(N236&lt;8,"VERIFICADO",IF(N236&lt;15,"VERIFICAR","VERIFICAR URGENTE"))</f>
        <v>VERIFICAR URGENTE</v>
      </c>
      <c r="P236" s="40"/>
      <c r="Q236" s="40"/>
      <c r="R236" s="40"/>
      <c r="S236" s="40"/>
      <c r="T236" s="40"/>
      <c r="U236" s="40"/>
    </row>
    <row r="237" customFormat="false" ht="15.75" hidden="false" customHeight="true" outlineLevel="0" collapsed="false">
      <c r="A237" s="40" t="s">
        <v>709</v>
      </c>
      <c r="B237" s="57" t="n">
        <f aca="false">M237</f>
        <v>45448</v>
      </c>
      <c r="C237" s="34" t="n">
        <v>44893</v>
      </c>
      <c r="D237" s="34" t="n">
        <v>45432</v>
      </c>
      <c r="E237" s="35" t="n">
        <f aca="false">(D237-C237)/7</f>
        <v>77</v>
      </c>
      <c r="F237" s="35" t="n">
        <f aca="false">($B$2-C237)/7</f>
        <v>182.571428571429</v>
      </c>
      <c r="G237" s="36" t="n">
        <v>96</v>
      </c>
      <c r="H237" s="36" t="n">
        <v>60</v>
      </c>
      <c r="I237" s="37" t="n">
        <f aca="false">IFERROR(H237/G237,"")</f>
        <v>0.625</v>
      </c>
      <c r="J237" s="37" t="n">
        <f aca="false">IFERROR(F237/E237,"")</f>
        <v>2.37105751391466</v>
      </c>
      <c r="K237" s="38" t="n">
        <f aca="false">IFERROR(((F237*G237)/E237)-H237,"")</f>
        <v>167.621521335807</v>
      </c>
      <c r="L237" s="36" t="str">
        <f aca="false">IF(K237&lt;-10,"MUITO ADIANTADO",IF(K237&lt;-6,"ADIANTADO",IF(K237&lt;6,"EM DIAS",IF(K237&lt;12,"ATRASADO","MUITO ATRASADO"))))</f>
        <v>MUITO ATRASADO</v>
      </c>
      <c r="M237" s="39" t="n">
        <v>45448</v>
      </c>
      <c r="N237" s="55" t="n">
        <f aca="false">$B$2-M237</f>
        <v>723</v>
      </c>
      <c r="O237" s="56" t="str">
        <f aca="false">IF(N237&lt;8,"VERIFICADO",IF(N237&lt;15,"VERIFICAR","VERIFICAR URGENTE"))</f>
        <v>VERIFICAR URGENTE</v>
      </c>
      <c r="P237" s="40"/>
      <c r="Q237" s="40"/>
      <c r="R237" s="40"/>
      <c r="S237" s="40"/>
      <c r="T237" s="40"/>
      <c r="U237" s="40"/>
    </row>
    <row r="238" customFormat="false" ht="15.75" hidden="false" customHeight="true" outlineLevel="0" collapsed="false">
      <c r="A238" s="40" t="s">
        <v>219</v>
      </c>
      <c r="B238" s="57" t="n">
        <f aca="false">M238</f>
        <v>45448</v>
      </c>
      <c r="C238" s="34" t="n">
        <v>45056</v>
      </c>
      <c r="D238" s="34" t="n">
        <v>46706</v>
      </c>
      <c r="E238" s="35" t="n">
        <f aca="false">(D238-C238)/7</f>
        <v>235.714285714286</v>
      </c>
      <c r="F238" s="35" t="n">
        <f aca="false">($B$2-C238)/7</f>
        <v>159.285714285714</v>
      </c>
      <c r="G238" s="36" t="n">
        <v>257</v>
      </c>
      <c r="H238" s="36" t="n">
        <v>57</v>
      </c>
      <c r="I238" s="37" t="n">
        <f aca="false">IFERROR(H238/G238,"")</f>
        <v>0.221789883268482</v>
      </c>
      <c r="J238" s="37" t="n">
        <f aca="false">IFERROR(F238/E238,"")</f>
        <v>0.675757575757575</v>
      </c>
      <c r="K238" s="38" t="n">
        <f aca="false">IFERROR(((F238*G238)/E238)-H238,"")</f>
        <v>116.669696969697</v>
      </c>
      <c r="L238" s="36" t="str">
        <f aca="false">IF(K238&lt;-10,"MUITO ADIANTADO",IF(K238&lt;-6,"ADIANTADO",IF(K238&lt;6,"EM DIAS",IF(K238&lt;12,"ATRASADO","MUITO ATRASADO"))))</f>
        <v>MUITO ATRASADO</v>
      </c>
      <c r="M238" s="39" t="n">
        <v>45448</v>
      </c>
      <c r="N238" s="55" t="n">
        <f aca="false">$B$2-M238</f>
        <v>723</v>
      </c>
      <c r="O238" s="56" t="str">
        <f aca="false">IF(N238&lt;8,"VERIFICADO",IF(N238&lt;15,"VERIFICAR","VERIFICAR URGENTE"))</f>
        <v>VERIFICAR URGENTE</v>
      </c>
      <c r="P238" s="40"/>
      <c r="Q238" s="40"/>
      <c r="R238" s="40"/>
      <c r="S238" s="40"/>
      <c r="T238" s="40"/>
      <c r="U238" s="40"/>
    </row>
    <row r="239" customFormat="false" ht="15.75" hidden="false" customHeight="true" outlineLevel="0" collapsed="false">
      <c r="A239" s="40" t="s">
        <v>710</v>
      </c>
      <c r="B239" s="57" t="n">
        <f aca="false">M239</f>
        <v>45448</v>
      </c>
      <c r="C239" s="34" t="n">
        <v>45161</v>
      </c>
      <c r="D239" s="34" t="n">
        <v>45818</v>
      </c>
      <c r="E239" s="35" t="n">
        <f aca="false">(D239-C239)/7</f>
        <v>93.8571428571429</v>
      </c>
      <c r="F239" s="35" t="n">
        <f aca="false">($B$2-C239)/7</f>
        <v>144.285714285714</v>
      </c>
      <c r="G239" s="36" t="n">
        <v>128</v>
      </c>
      <c r="H239" s="36" t="n">
        <v>34</v>
      </c>
      <c r="I239" s="37"/>
      <c r="J239" s="37"/>
      <c r="K239" s="38" t="n">
        <f aca="false">IFERROR(((F239*G239)/E239)-H239,"")</f>
        <v>162.773211567732</v>
      </c>
      <c r="L239" s="36" t="str">
        <f aca="false">IF(K239&lt;-10,"MUITO ADIANTADO",IF(K239&lt;-6,"ADIANTADO",IF(K239&lt;6,"EM DIAS",IF(K239&lt;12,"ATRASADO","MUITO ATRASADO"))))</f>
        <v>MUITO ATRASADO</v>
      </c>
      <c r="M239" s="39" t="n">
        <v>45448</v>
      </c>
      <c r="N239" s="55" t="n">
        <f aca="false">$B$2-M239</f>
        <v>723</v>
      </c>
      <c r="O239" s="56" t="str">
        <f aca="false">IF(N239&lt;8,"VERIFICADO",IF(N239&lt;15,"VERIFICAR","VERIFICAR URGENTE"))</f>
        <v>VERIFICAR URGENTE</v>
      </c>
      <c r="P239" s="40"/>
      <c r="Q239" s="40"/>
      <c r="R239" s="40"/>
      <c r="S239" s="40"/>
      <c r="T239" s="40"/>
      <c r="U239" s="40"/>
    </row>
    <row r="240" customFormat="false" ht="15.75" hidden="false" customHeight="true" outlineLevel="0" collapsed="false">
      <c r="A240" s="40" t="s">
        <v>711</v>
      </c>
      <c r="B240" s="57" t="n">
        <f aca="false">M240</f>
        <v>45448</v>
      </c>
      <c r="C240" s="34" t="n">
        <v>45324</v>
      </c>
      <c r="D240" s="34" t="n">
        <v>46228</v>
      </c>
      <c r="E240" s="35" t="n">
        <f aca="false">(D240-C240)/7</f>
        <v>129.142857142857</v>
      </c>
      <c r="F240" s="35" t="n">
        <f aca="false">($B$2-C240)/7</f>
        <v>121</v>
      </c>
      <c r="G240" s="36" t="n">
        <v>128</v>
      </c>
      <c r="H240" s="36" t="n">
        <v>5</v>
      </c>
      <c r="I240" s="37"/>
      <c r="J240" s="37"/>
      <c r="K240" s="38" t="n">
        <v>0</v>
      </c>
      <c r="L240" s="36" t="str">
        <f aca="false">IF(K240&lt;-10,"MUITO ADIANTADO",IF(K240&lt;-6,"ADIANTADO",IF(K240&lt;6,"EM DIAS",IF(K240&lt;12,"ATRASADO","MUITO ATRASADO"))))</f>
        <v>EM DIAS</v>
      </c>
      <c r="M240" s="39" t="n">
        <v>45448</v>
      </c>
      <c r="N240" s="55" t="n">
        <f aca="false">$B$2-M240</f>
        <v>723</v>
      </c>
      <c r="O240" s="41" t="str">
        <f aca="false">IF(N240&lt;8,"VERIFICADO",IF(N240&lt;15,"VERIFICAR","VERIFICAR URGENTE"))</f>
        <v>VERIFICAR URGENTE</v>
      </c>
      <c r="P240" s="40"/>
      <c r="Q240" s="40"/>
      <c r="R240" s="40"/>
      <c r="S240" s="40"/>
      <c r="T240" s="40"/>
      <c r="U240" s="40"/>
    </row>
    <row r="241" customFormat="false" ht="15.75" hidden="false" customHeight="true" outlineLevel="0" collapsed="false">
      <c r="A241" s="40" t="s">
        <v>712</v>
      </c>
      <c r="B241" s="57" t="n">
        <f aca="false">M241</f>
        <v>45449</v>
      </c>
      <c r="C241" s="34" t="n">
        <v>44960</v>
      </c>
      <c r="D241" s="34" t="n">
        <v>46366</v>
      </c>
      <c r="E241" s="35" t="n">
        <f aca="false">(D241-C241)/7</f>
        <v>200.857142857143</v>
      </c>
      <c r="F241" s="35" t="n">
        <f aca="false">($B$2-C241)/7</f>
        <v>173</v>
      </c>
      <c r="G241" s="36" t="n">
        <v>267</v>
      </c>
      <c r="H241" s="36" t="n">
        <v>21</v>
      </c>
      <c r="I241" s="37" t="n">
        <f aca="false">IFERROR(H241/G241,"")</f>
        <v>0.0786516853932584</v>
      </c>
      <c r="J241" s="37" t="n">
        <f aca="false">IFERROR(F241/E241,"")</f>
        <v>0.86130867709815</v>
      </c>
      <c r="K241" s="38" t="n">
        <f aca="false">IFERROR(((F241*G241)/E241)-H241,"")</f>
        <v>208.969416785206</v>
      </c>
      <c r="L241" s="36" t="str">
        <f aca="false">IF(K241&lt;-10,"MUITO ADIANTADO",IF(K241&lt;-6,"ADIANTADO",IF(K241&lt;6,"EM DIAS",IF(K241&lt;12,"ATRASADO","MUITO ATRASADO"))))</f>
        <v>MUITO ATRASADO</v>
      </c>
      <c r="M241" s="39" t="n">
        <v>45449</v>
      </c>
      <c r="N241" s="55" t="n">
        <f aca="false">$B$2-M241</f>
        <v>722</v>
      </c>
      <c r="O241" s="56" t="str">
        <f aca="false">IF(N241&lt;8,"VERIFICADO",IF(N241&lt;15,"VERIFICAR","VERIFICAR URGENTE"))</f>
        <v>VERIFICAR URGENTE</v>
      </c>
      <c r="P241" s="40"/>
      <c r="Q241" s="40"/>
      <c r="R241" s="40"/>
      <c r="S241" s="40"/>
      <c r="T241" s="40"/>
      <c r="U241" s="40"/>
    </row>
    <row r="242" customFormat="false" ht="15.75" hidden="false" customHeight="true" outlineLevel="0" collapsed="false">
      <c r="A242" s="40" t="s">
        <v>713</v>
      </c>
      <c r="B242" s="57" t="n">
        <f aca="false">M242</f>
        <v>45448</v>
      </c>
      <c r="C242" s="34" t="n">
        <v>44945</v>
      </c>
      <c r="D242" s="34" t="n">
        <v>46188</v>
      </c>
      <c r="E242" s="35" t="n">
        <f aca="false">(D242-C242)/7</f>
        <v>177.571428571429</v>
      </c>
      <c r="F242" s="35" t="n">
        <f aca="false">($B$2-C242)/7</f>
        <v>175.142857142857</v>
      </c>
      <c r="G242" s="36" t="n">
        <v>221</v>
      </c>
      <c r="H242" s="36" t="n">
        <v>69</v>
      </c>
      <c r="I242" s="37" t="n">
        <f aca="false">IFERROR(H242/G242,"")</f>
        <v>0.312217194570136</v>
      </c>
      <c r="J242" s="37" t="n">
        <f aca="false">IFERROR(F242/E242,"")</f>
        <v>0.98632341110217</v>
      </c>
      <c r="K242" s="38" t="n">
        <f aca="false">IFERROR(((F242*G242)/E242)-H242,"")</f>
        <v>148.97747385358</v>
      </c>
      <c r="L242" s="36" t="str">
        <f aca="false">IF(K242&lt;-10,"MUITO ADIANTADO",IF(K242&lt;-6,"ADIANTADO",IF(K242&lt;6,"EM DIAS",IF(K242&lt;12,"ATRASADO","MUITO ATRASADO"))))</f>
        <v>MUITO ATRASADO</v>
      </c>
      <c r="M242" s="39" t="n">
        <v>45448</v>
      </c>
      <c r="N242" s="55" t="n">
        <f aca="false">$B$2-M242</f>
        <v>723</v>
      </c>
      <c r="O242" s="56" t="str">
        <f aca="false">IF(N242&lt;8,"VERIFICADO",IF(N242&lt;15,"VERIFICAR","VERIFICAR URGENTE"))</f>
        <v>VERIFICAR URGENTE</v>
      </c>
      <c r="P242" s="40"/>
      <c r="Q242" s="40"/>
      <c r="R242" s="40"/>
      <c r="S242" s="40"/>
      <c r="T242" s="40"/>
      <c r="U242" s="40"/>
    </row>
    <row r="243" customFormat="false" ht="15.75" hidden="false" customHeight="true" outlineLevel="0" collapsed="false">
      <c r="A243" s="40" t="s">
        <v>714</v>
      </c>
      <c r="B243" s="57" t="n">
        <f aca="false">M243</f>
        <v>45448</v>
      </c>
      <c r="C243" s="34" t="n">
        <v>45301</v>
      </c>
      <c r="D243" s="34" t="n">
        <v>45910</v>
      </c>
      <c r="E243" s="35" t="n">
        <f aca="false">(D243-C243)/7</f>
        <v>87</v>
      </c>
      <c r="F243" s="35" t="n">
        <f aca="false">($B$2-C243)/7</f>
        <v>124.285714285714</v>
      </c>
      <c r="G243" s="36" t="n">
        <v>96</v>
      </c>
      <c r="H243" s="36" t="n">
        <v>31</v>
      </c>
      <c r="I243" s="37"/>
      <c r="J243" s="37"/>
      <c r="K243" s="38" t="n">
        <f aca="false">IFERROR(((F243*G243)/E243)-H243,"")</f>
        <v>106.142857142857</v>
      </c>
      <c r="L243" s="36" t="str">
        <f aca="false">IF(K243&lt;-10,"MUITO ADIANTADO",IF(K243&lt;-6,"ADIANTADO",IF(K243&lt;6,"EM DIAS",IF(K243&lt;12,"ATRASADO","MUITO ATRASADO"))))</f>
        <v>MUITO ATRASADO</v>
      </c>
      <c r="M243" s="39" t="n">
        <v>45448</v>
      </c>
      <c r="N243" s="55" t="n">
        <f aca="false">$B$2-M243</f>
        <v>723</v>
      </c>
      <c r="O243" s="56" t="str">
        <f aca="false">IF(N243&lt;8,"VERIFICADO",IF(N243&lt;15,"VERIFICAR","VERIFICAR URGENTE"))</f>
        <v>VERIFICAR URGENTE</v>
      </c>
      <c r="P243" s="40"/>
      <c r="Q243" s="40"/>
      <c r="R243" s="40"/>
      <c r="S243" s="40"/>
      <c r="T243" s="40"/>
      <c r="U243" s="40"/>
    </row>
    <row r="244" customFormat="false" ht="15.75" hidden="false" customHeight="true" outlineLevel="0" collapsed="false">
      <c r="A244" s="40" t="s">
        <v>715</v>
      </c>
      <c r="B244" s="57" t="n">
        <f aca="false">M244</f>
        <v>45448</v>
      </c>
      <c r="C244" s="34" t="n">
        <v>44757</v>
      </c>
      <c r="D244" s="34" t="n">
        <v>46037</v>
      </c>
      <c r="E244" s="35" t="n">
        <f aca="false">(D244-C244)/7</f>
        <v>182.857142857143</v>
      </c>
      <c r="F244" s="35" t="n">
        <f aca="false">($B$2-C244)/7</f>
        <v>202</v>
      </c>
      <c r="G244" s="36" t="n">
        <v>253</v>
      </c>
      <c r="H244" s="36" t="n">
        <v>132</v>
      </c>
      <c r="I244" s="37" t="n">
        <f aca="false">IFERROR(H244/G244,"")</f>
        <v>0.521739130434783</v>
      </c>
      <c r="J244" s="37" t="n">
        <f aca="false">IFERROR(F244/E244,"")</f>
        <v>1.1046875</v>
      </c>
      <c r="K244" s="38" t="n">
        <f aca="false">IFERROR(((F244*G244)/E244)-H244,"")</f>
        <v>147.4859375</v>
      </c>
      <c r="L244" s="36" t="str">
        <f aca="false">IF(K244&lt;-10,"MUITO ADIANTADO",IF(K244&lt;-6,"ADIANTADO",IF(K244&lt;6,"EM DIAS",IF(K244&lt;12,"ATRASADO","MUITO ATRASADO"))))</f>
        <v>MUITO ATRASADO</v>
      </c>
      <c r="M244" s="39" t="n">
        <v>45448</v>
      </c>
      <c r="N244" s="55" t="n">
        <f aca="false">$B$2-M244</f>
        <v>723</v>
      </c>
      <c r="O244" s="56" t="str">
        <f aca="false">IF(N244&lt;8,"VERIFICADO",IF(N244&lt;15,"VERIFICAR","VERIFICAR URGENTE"))</f>
        <v>VERIFICAR URGENTE</v>
      </c>
      <c r="P244" s="40"/>
      <c r="Q244" s="40"/>
      <c r="R244" s="40"/>
      <c r="S244" s="40"/>
      <c r="T244" s="40"/>
      <c r="U244" s="40"/>
    </row>
    <row r="245" customFormat="false" ht="15.75" hidden="false" customHeight="true" outlineLevel="0" collapsed="false">
      <c r="A245" s="40" t="s">
        <v>716</v>
      </c>
      <c r="B245" s="57" t="n">
        <f aca="false">M245</f>
        <v>45448</v>
      </c>
      <c r="C245" s="34" t="n">
        <v>45147</v>
      </c>
      <c r="D245" s="34" t="n">
        <v>45742</v>
      </c>
      <c r="E245" s="35" t="n">
        <f aca="false">(D245-C245)/7</f>
        <v>85</v>
      </c>
      <c r="F245" s="35" t="n">
        <f aca="false">($B$2-C245)/7</f>
        <v>146.285714285714</v>
      </c>
      <c r="G245" s="36" t="n">
        <v>80</v>
      </c>
      <c r="H245" s="36" t="n">
        <v>35</v>
      </c>
      <c r="I245" s="37"/>
      <c r="J245" s="37"/>
      <c r="K245" s="38" t="n">
        <f aca="false">IFERROR(((F245*G245)/E245)-H245,"")</f>
        <v>102.680672268908</v>
      </c>
      <c r="L245" s="36" t="str">
        <f aca="false">IF(K245&lt;-10,"MUITO ADIANTADO",IF(K245&lt;-6,"ADIANTADO",IF(K245&lt;6,"EM DIAS",IF(K245&lt;12,"ATRASADO","MUITO ATRASADO"))))</f>
        <v>MUITO ATRASADO</v>
      </c>
      <c r="M245" s="39" t="n">
        <v>45448</v>
      </c>
      <c r="N245" s="55" t="n">
        <f aca="false">$B$2-M245</f>
        <v>723</v>
      </c>
      <c r="O245" s="56" t="str">
        <f aca="false">IF(N245&lt;8,"VERIFICADO",IF(N245&lt;15,"VERIFICAR","VERIFICAR URGENTE"))</f>
        <v>VERIFICAR URGENTE</v>
      </c>
      <c r="P245" s="40"/>
      <c r="Q245" s="40"/>
      <c r="R245" s="40"/>
      <c r="S245" s="40"/>
      <c r="T245" s="40"/>
      <c r="U245" s="40"/>
    </row>
    <row r="246" customFormat="false" ht="15.75" hidden="false" customHeight="true" outlineLevel="0" collapsed="false">
      <c r="A246" s="40" t="s">
        <v>717</v>
      </c>
      <c r="B246" s="57" t="n">
        <f aca="false">M246</f>
        <v>45448</v>
      </c>
      <c r="C246" s="34" t="n">
        <v>45189</v>
      </c>
      <c r="D246" s="34" t="n">
        <v>45708</v>
      </c>
      <c r="E246" s="35" t="n">
        <f aca="false">(D246-C246)/7</f>
        <v>74.1428571428571</v>
      </c>
      <c r="F246" s="35" t="n">
        <f aca="false">($B$2-C246)/7</f>
        <v>140.285714285714</v>
      </c>
      <c r="G246" s="36" t="n">
        <v>80</v>
      </c>
      <c r="H246" s="36" t="n">
        <v>34</v>
      </c>
      <c r="I246" s="37"/>
      <c r="J246" s="37"/>
      <c r="K246" s="38" t="n">
        <f aca="false">IFERROR(((F246*G246)/E246)-H246,"")</f>
        <v>117.368015414258</v>
      </c>
      <c r="L246" s="36" t="str">
        <f aca="false">IF(K246&lt;-10,"MUITO ADIANTADO",IF(K246&lt;-6,"ADIANTADO",IF(K246&lt;6,"EM DIAS",IF(K246&lt;12,"ATRASADO","MUITO ATRASADO"))))</f>
        <v>MUITO ATRASADO</v>
      </c>
      <c r="M246" s="39" t="n">
        <v>45448</v>
      </c>
      <c r="N246" s="55" t="n">
        <f aca="false">$B$2-M246</f>
        <v>723</v>
      </c>
      <c r="O246" s="56" t="str">
        <f aca="false">IF(N246&lt;8,"VERIFICADO",IF(N246&lt;15,"VERIFICAR","VERIFICAR URGENTE"))</f>
        <v>VERIFICAR URGENTE</v>
      </c>
      <c r="P246" s="40"/>
      <c r="Q246" s="40"/>
      <c r="R246" s="40"/>
      <c r="S246" s="40"/>
      <c r="T246" s="40"/>
      <c r="U246" s="40"/>
    </row>
    <row r="247" customFormat="false" ht="15.75" hidden="false" customHeight="true" outlineLevel="0" collapsed="false">
      <c r="A247" s="41" t="s">
        <v>718</v>
      </c>
      <c r="B247" s="57" t="n">
        <f aca="false">M247</f>
        <v>45448</v>
      </c>
      <c r="C247" s="34" t="n">
        <v>45266</v>
      </c>
      <c r="D247" s="34" t="n">
        <v>46255</v>
      </c>
      <c r="E247" s="35" t="n">
        <f aca="false">(D247-C247)/7</f>
        <v>141.285714285714</v>
      </c>
      <c r="F247" s="35" t="n">
        <f aca="false">($B$2-C247)/7</f>
        <v>129.285714285714</v>
      </c>
      <c r="G247" s="36" t="n">
        <v>144</v>
      </c>
      <c r="H247" s="36" t="n">
        <v>16</v>
      </c>
      <c r="I247" s="37"/>
      <c r="J247" s="37"/>
      <c r="K247" s="38" t="n">
        <f aca="false">IFERROR(((F247*G247)/E247)-H247,"")</f>
        <v>115.769464105157</v>
      </c>
      <c r="L247" s="36" t="str">
        <f aca="false">IF(K247&lt;-10,"MUITO ADIANTADO",IF(K247&lt;-6,"ADIANTADO",IF(K247&lt;6,"EM DIAS",IF(K247&lt;12,"ATRASADO","MUITO ATRASADO"))))</f>
        <v>MUITO ATRASADO</v>
      </c>
      <c r="M247" s="39" t="n">
        <v>45448</v>
      </c>
      <c r="N247" s="55" t="n">
        <f aca="false">$B$2-M247</f>
        <v>723</v>
      </c>
      <c r="O247" s="56" t="str">
        <f aca="false">IF(N247&lt;8,"VERIFICADO",IF(N247&lt;15,"VERIFICAR","VERIFICAR URGENTE"))</f>
        <v>VERIFICAR URGENTE</v>
      </c>
      <c r="P247" s="40"/>
      <c r="Q247" s="40"/>
      <c r="R247" s="40"/>
      <c r="S247" s="40"/>
      <c r="T247" s="40"/>
      <c r="U247" s="40"/>
    </row>
    <row r="248" customFormat="false" ht="15.75" hidden="false" customHeight="true" outlineLevel="0" collapsed="false">
      <c r="A248" s="40" t="s">
        <v>719</v>
      </c>
      <c r="B248" s="57" t="n">
        <f aca="false">M248</f>
        <v>45449</v>
      </c>
      <c r="C248" s="34" t="n">
        <v>45148</v>
      </c>
      <c r="D248" s="34" t="n">
        <v>45757</v>
      </c>
      <c r="E248" s="35" t="n">
        <f aca="false">(D248-C248)/7</f>
        <v>87</v>
      </c>
      <c r="F248" s="35" t="n">
        <f aca="false">($B$2-C248)/7</f>
        <v>146.142857142857</v>
      </c>
      <c r="G248" s="36" t="n">
        <v>96</v>
      </c>
      <c r="H248" s="36" t="n">
        <v>95</v>
      </c>
      <c r="I248" s="37"/>
      <c r="J248" s="37"/>
      <c r="K248" s="38" t="n">
        <f aca="false">IFERROR(((F248*G248)/E248)-H248,"")</f>
        <v>66.2610837438424</v>
      </c>
      <c r="L248" s="36" t="str">
        <f aca="false">IF(K248&lt;-10,"MUITO ADIANTADO",IF(K248&lt;-6,"ADIANTADO",IF(K248&lt;6,"EM DIAS",IF(K248&lt;12,"ATRASADO","MUITO ATRASADO"))))</f>
        <v>MUITO ATRASADO</v>
      </c>
      <c r="M248" s="39" t="n">
        <v>45449</v>
      </c>
      <c r="N248" s="55" t="n">
        <f aca="false">$B$2-M248</f>
        <v>722</v>
      </c>
      <c r="O248" s="56" t="str">
        <f aca="false">IF(N248&lt;8,"VERIFICADO",IF(N248&lt;15,"VERIFICAR","VERIFICAR URGENTE"))</f>
        <v>VERIFICAR URGENTE</v>
      </c>
      <c r="P248" s="40"/>
      <c r="Q248" s="40"/>
      <c r="R248" s="40"/>
      <c r="S248" s="40"/>
      <c r="T248" s="40"/>
      <c r="U248" s="40"/>
    </row>
    <row r="249" customFormat="false" ht="15.75" hidden="false" customHeight="true" outlineLevel="0" collapsed="false">
      <c r="A249" s="40" t="s">
        <v>720</v>
      </c>
      <c r="B249" s="57" t="n">
        <f aca="false">M249</f>
        <v>45448</v>
      </c>
      <c r="C249" s="34" t="n">
        <v>45035</v>
      </c>
      <c r="D249" s="34" t="n">
        <v>45858</v>
      </c>
      <c r="E249" s="35" t="n">
        <f aca="false">(D249-C249)/7</f>
        <v>117.571428571429</v>
      </c>
      <c r="F249" s="35" t="n">
        <f aca="false">($B$2-C249)/7</f>
        <v>162.285714285714</v>
      </c>
      <c r="G249" s="36" t="n">
        <v>142</v>
      </c>
      <c r="H249" s="36" t="n">
        <v>63</v>
      </c>
      <c r="I249" s="37" t="n">
        <f aca="false">IFERROR(H249/G249,"")</f>
        <v>0.443661971830986</v>
      </c>
      <c r="J249" s="37" t="n">
        <f aca="false">IFERROR(F249/E249,"")</f>
        <v>1.38031591737545</v>
      </c>
      <c r="K249" s="38" t="n">
        <f aca="false">IFERROR(((F249*G249)/E249)-H249,"")</f>
        <v>133.004860267314</v>
      </c>
      <c r="L249" s="36" t="str">
        <f aca="false">IF(K249&lt;-10,"MUITO ADIANTADO",IF(K249&lt;-6,"ADIANTADO",IF(K249&lt;6,"EM DIAS",IF(K249&lt;12,"ATRASADO","MUITO ATRASADO"))))</f>
        <v>MUITO ATRASADO</v>
      </c>
      <c r="M249" s="39" t="n">
        <v>45448</v>
      </c>
      <c r="N249" s="55" t="n">
        <f aca="false">$B$2-M249</f>
        <v>723</v>
      </c>
      <c r="O249" s="56" t="str">
        <f aca="false">IF(N249&lt;8,"VERIFICADO",IF(N249&lt;15,"VERIFICAR","VERIFICAR URGENTE"))</f>
        <v>VERIFICAR URGENTE</v>
      </c>
      <c r="P249" s="40"/>
      <c r="Q249" s="40"/>
      <c r="R249" s="40"/>
      <c r="S249" s="40"/>
      <c r="T249" s="40"/>
      <c r="U249" s="40"/>
    </row>
    <row r="250" customFormat="false" ht="15.75" hidden="false" customHeight="true" outlineLevel="0" collapsed="false">
      <c r="A250" s="40" t="s">
        <v>310</v>
      </c>
      <c r="B250" s="57" t="n">
        <f aca="false">M250</f>
        <v>45448</v>
      </c>
      <c r="C250" s="34" t="n">
        <v>44883</v>
      </c>
      <c r="D250" s="34" t="n">
        <v>46244</v>
      </c>
      <c r="E250" s="35" t="n">
        <f aca="false">(D250-C250)/7</f>
        <v>194.428571428571</v>
      </c>
      <c r="F250" s="35" t="n">
        <f aca="false">($B$2-C250)/7</f>
        <v>184</v>
      </c>
      <c r="G250" s="36" t="n">
        <v>253</v>
      </c>
      <c r="H250" s="36" t="n">
        <v>82</v>
      </c>
      <c r="I250" s="37" t="n">
        <f aca="false">IFERROR(H250/G250,"")</f>
        <v>0.324110671936759</v>
      </c>
      <c r="J250" s="37" t="n">
        <f aca="false">IFERROR(F250/E250,"")</f>
        <v>0.946362968405586</v>
      </c>
      <c r="K250" s="38" t="n">
        <f aca="false">IFERROR(((F250*G250)/E250)-H250,"")</f>
        <v>157.429831006613</v>
      </c>
      <c r="L250" s="36" t="str">
        <f aca="false">IF(K250&lt;-10,"MUITO ADIANTADO",IF(K250&lt;-6,"ADIANTADO",IF(K250&lt;6,"EM DIAS",IF(K250&lt;12,"ATRASADO","MUITO ATRASADO"))))</f>
        <v>MUITO ATRASADO</v>
      </c>
      <c r="M250" s="39" t="n">
        <v>45448</v>
      </c>
      <c r="N250" s="55" t="n">
        <f aca="false">$B$2-M250</f>
        <v>723</v>
      </c>
      <c r="O250" s="56" t="str">
        <f aca="false">IF(N250&lt;8,"VERIFICADO",IF(N250&lt;15,"VERIFICAR","VERIFICAR URGENTE"))</f>
        <v>VERIFICAR URGENTE</v>
      </c>
      <c r="P250" s="40"/>
      <c r="Q250" s="40"/>
      <c r="R250" s="40"/>
      <c r="S250" s="40"/>
      <c r="T250" s="40"/>
      <c r="U250" s="40"/>
    </row>
    <row r="251" customFormat="false" ht="15.75" hidden="false" customHeight="true" outlineLevel="0" collapsed="false">
      <c r="A251" s="40" t="s">
        <v>721</v>
      </c>
      <c r="B251" s="57" t="n">
        <f aca="false">M251</f>
        <v>45449</v>
      </c>
      <c r="C251" s="34" t="n">
        <v>45035</v>
      </c>
      <c r="D251" s="34" t="n">
        <v>46013</v>
      </c>
      <c r="E251" s="35" t="n">
        <f aca="false">(D251-C251)/7</f>
        <v>139.714285714286</v>
      </c>
      <c r="F251" s="35" t="n">
        <f aca="false">($B$2-C251)/7</f>
        <v>162.285714285714</v>
      </c>
      <c r="G251" s="36" t="n">
        <v>177</v>
      </c>
      <c r="H251" s="36" t="n">
        <v>69</v>
      </c>
      <c r="I251" s="37" t="n">
        <f aca="false">IFERROR(H251/G251,"")</f>
        <v>0.389830508474576</v>
      </c>
      <c r="J251" s="37" t="n">
        <f aca="false">IFERROR(F251/E251,"")</f>
        <v>1.16155419222904</v>
      </c>
      <c r="K251" s="38" t="n">
        <f aca="false">IFERROR(((F251*G251)/E251)-H251,"")</f>
        <v>136.595092024539</v>
      </c>
      <c r="L251" s="36" t="str">
        <f aca="false">IF(K251&lt;-10,"MUITO ADIANTADO",IF(K251&lt;-6,"ADIANTADO",IF(K251&lt;6,"EM DIAS",IF(K251&lt;12,"ATRASADO","MUITO ATRASADO"))))</f>
        <v>MUITO ATRASADO</v>
      </c>
      <c r="M251" s="39" t="n">
        <v>45449</v>
      </c>
      <c r="N251" s="55" t="n">
        <f aca="false">$B$2-M251</f>
        <v>722</v>
      </c>
      <c r="O251" s="56" t="str">
        <f aca="false">IF(N251&lt;8,"VERIFICADO",IF(N251&lt;15,"VERIFICAR","VERIFICAR URGENTE"))</f>
        <v>VERIFICAR URGENTE</v>
      </c>
      <c r="P251" s="40"/>
      <c r="Q251" s="40"/>
      <c r="R251" s="40"/>
      <c r="S251" s="40"/>
      <c r="T251" s="40"/>
      <c r="U251" s="40"/>
    </row>
    <row r="252" customFormat="false" ht="15.75" hidden="false" customHeight="true" outlineLevel="0" collapsed="false">
      <c r="A252" s="40" t="s">
        <v>320</v>
      </c>
      <c r="B252" s="57" t="n">
        <f aca="false">M252</f>
        <v>45448</v>
      </c>
      <c r="C252" s="34" t="n">
        <v>45161</v>
      </c>
      <c r="D252" s="34" t="n">
        <v>46456</v>
      </c>
      <c r="E252" s="35" t="n">
        <f aca="false">(D252-C252)/7</f>
        <v>185</v>
      </c>
      <c r="F252" s="35" t="n">
        <f aca="false">($B$2-C252)/7</f>
        <v>144.285714285714</v>
      </c>
      <c r="G252" s="36" t="n">
        <v>212</v>
      </c>
      <c r="H252" s="36" t="n">
        <v>30</v>
      </c>
      <c r="I252" s="37"/>
      <c r="J252" s="37"/>
      <c r="K252" s="38" t="n">
        <f aca="false">IFERROR(((F252*G252)/E252)-H252,"")</f>
        <v>135.343629343629</v>
      </c>
      <c r="L252" s="36" t="str">
        <f aca="false">IF(K252&lt;-10,"MUITO ADIANTADO",IF(K252&lt;-6,"ADIANTADO",IF(K252&lt;6,"EM DIAS",IF(K252&lt;12,"ATRASADO","MUITO ATRASADO"))))</f>
        <v>MUITO ATRASADO</v>
      </c>
      <c r="M252" s="39" t="n">
        <v>45448</v>
      </c>
      <c r="N252" s="55" t="n">
        <f aca="false">$B$2-M252</f>
        <v>723</v>
      </c>
      <c r="O252" s="56" t="str">
        <f aca="false">IF(N252&lt;8,"VERIFICADO",IF(N252&lt;15,"VERIFICAR","VERIFICAR URGENTE"))</f>
        <v>VERIFICAR URGENTE</v>
      </c>
      <c r="P252" s="40"/>
      <c r="Q252" s="40"/>
      <c r="R252" s="40"/>
      <c r="S252" s="40"/>
      <c r="T252" s="40"/>
      <c r="U252" s="40"/>
    </row>
    <row r="253" customFormat="false" ht="15.75" hidden="false" customHeight="true" outlineLevel="0" collapsed="false">
      <c r="A253" s="40" t="s">
        <v>722</v>
      </c>
      <c r="B253" s="57" t="n">
        <f aca="false">M253</f>
        <v>45449</v>
      </c>
      <c r="C253" s="34" t="n">
        <v>45238</v>
      </c>
      <c r="D253" s="34" t="n">
        <v>45519</v>
      </c>
      <c r="E253" s="35" t="n">
        <f aca="false">(D253-C253)/7</f>
        <v>40.1428571428571</v>
      </c>
      <c r="F253" s="35" t="n">
        <f aca="false">($B$2-C253)/7</f>
        <v>133.285714285714</v>
      </c>
      <c r="G253" s="36" t="n">
        <v>48</v>
      </c>
      <c r="H253" s="36" t="n">
        <v>22</v>
      </c>
      <c r="I253" s="37" t="n">
        <f aca="false">IFERROR(H253/G253,"")</f>
        <v>0.458333333333333</v>
      </c>
      <c r="J253" s="37" t="n">
        <f aca="false">IFERROR(F253/E253,"")</f>
        <v>3.3202846975089</v>
      </c>
      <c r="K253" s="38" t="n">
        <f aca="false">IFERROR(((F253*G253)/E253)-H253,"")</f>
        <v>137.373665480427</v>
      </c>
      <c r="L253" s="36" t="str">
        <f aca="false">IF(K253&lt;-10,"MUITO ADIANTADO",IF(K253&lt;-6,"ADIANTADO",IF(K253&lt;6,"EM DIAS",IF(K253&lt;12,"ATRASADO","MUITO ATRASADO"))))</f>
        <v>MUITO ATRASADO</v>
      </c>
      <c r="M253" s="39" t="n">
        <v>45449</v>
      </c>
      <c r="N253" s="55" t="n">
        <f aca="false">$B$2-M253</f>
        <v>722</v>
      </c>
      <c r="O253" s="56" t="str">
        <f aca="false">IF(N253&lt;8,"VERIFICADO",IF(N253&lt;15,"VERIFICAR","VERIFICAR URGENTE"))</f>
        <v>VERIFICAR URGENTE</v>
      </c>
      <c r="P253" s="40"/>
      <c r="Q253" s="40"/>
      <c r="R253" s="40"/>
      <c r="S253" s="40"/>
      <c r="T253" s="40"/>
      <c r="U253" s="40"/>
    </row>
    <row r="254" customFormat="false" ht="15.75" hidden="false" customHeight="true" outlineLevel="0" collapsed="false">
      <c r="A254" s="40" t="s">
        <v>723</v>
      </c>
      <c r="B254" s="57" t="n">
        <f aca="false">M254</f>
        <v>45448</v>
      </c>
      <c r="C254" s="34" t="n">
        <v>44668</v>
      </c>
      <c r="D254" s="34" t="n">
        <v>45330</v>
      </c>
      <c r="E254" s="35" t="n">
        <f aca="false">(D254-C254)/7</f>
        <v>94.5714285714286</v>
      </c>
      <c r="F254" s="35" t="n">
        <f aca="false">($B$2-C254)/7</f>
        <v>214.714285714286</v>
      </c>
      <c r="G254" s="36" t="n">
        <v>106</v>
      </c>
      <c r="H254" s="36" t="n">
        <v>76</v>
      </c>
      <c r="I254" s="37" t="n">
        <f aca="false">IFERROR(H254/G254,"")</f>
        <v>0.716981132075472</v>
      </c>
      <c r="J254" s="37" t="n">
        <f aca="false">IFERROR(F254/E254,"")</f>
        <v>2.27039274924471</v>
      </c>
      <c r="K254" s="38" t="n">
        <f aca="false">IFERROR(((F254*G254)/E254)-H254,"")</f>
        <v>164.66163141994</v>
      </c>
      <c r="L254" s="36" t="str">
        <f aca="false">IF(K254&lt;-10,"MUITO ADIANTADO",IF(K254&lt;-6,"ADIANTADO",IF(K254&lt;6,"EM DIAS",IF(K254&lt;12,"ATRASADO","MUITO ATRASADO"))))</f>
        <v>MUITO ATRASADO</v>
      </c>
      <c r="M254" s="39" t="n">
        <v>45448</v>
      </c>
      <c r="N254" s="55" t="n">
        <f aca="false">$B$2-M254</f>
        <v>723</v>
      </c>
      <c r="O254" s="56" t="str">
        <f aca="false">IF(N254&lt;8,"VERIFICADO",IF(N254&lt;15,"VERIFICAR","VERIFICAR URGENTE"))</f>
        <v>VERIFICAR URGENTE</v>
      </c>
      <c r="P254" s="40"/>
      <c r="Q254" s="40"/>
      <c r="R254" s="40"/>
      <c r="S254" s="40"/>
      <c r="T254" s="40"/>
      <c r="U254" s="40"/>
    </row>
    <row r="255" customFormat="false" ht="15.75" hidden="false" customHeight="true" outlineLevel="0" collapsed="false">
      <c r="A255" s="40" t="s">
        <v>724</v>
      </c>
      <c r="B255" s="57" t="n">
        <f aca="false">M255</f>
        <v>45448</v>
      </c>
      <c r="C255" s="34" t="n">
        <v>44737</v>
      </c>
      <c r="D255" s="34" t="n">
        <v>45437</v>
      </c>
      <c r="E255" s="35" t="n">
        <f aca="false">(D255-C255)/7</f>
        <v>100</v>
      </c>
      <c r="F255" s="35" t="n">
        <f aca="false">($B$2-C255)/7</f>
        <v>204.857142857143</v>
      </c>
      <c r="G255" s="36" t="n">
        <v>122</v>
      </c>
      <c r="H255" s="36" t="n">
        <v>122</v>
      </c>
      <c r="I255" s="37" t="n">
        <f aca="false">IFERROR(H255/G255,"")</f>
        <v>1</v>
      </c>
      <c r="J255" s="37" t="n">
        <f aca="false">IFERROR(F255/E255,"")</f>
        <v>2.04857142857143</v>
      </c>
      <c r="K255" s="38" t="n">
        <f aca="false">IFERROR(((F255*G255)/E255)-H255,"")</f>
        <v>127.925714285714</v>
      </c>
      <c r="L255" s="36" t="str">
        <f aca="false">IF(K255&lt;-10,"MUITO ADIANTADO",IF(K255&lt;-6,"ADIANTADO",IF(K255&lt;6,"EM DIAS",IF(K255&lt;12,"ATRASADO","MUITO ATRASADO"))))</f>
        <v>MUITO ATRASADO</v>
      </c>
      <c r="M255" s="39" t="n">
        <v>45448</v>
      </c>
      <c r="N255" s="55" t="n">
        <f aca="false">$B$2-M255</f>
        <v>723</v>
      </c>
      <c r="O255" s="56" t="str">
        <f aca="false">IF(N255&lt;8,"VERIFICADO",IF(N255&lt;15,"VERIFICAR","VERIFICAR URGENTE"))</f>
        <v>VERIFICAR URGENTE</v>
      </c>
      <c r="P255" s="40"/>
      <c r="Q255" s="40"/>
      <c r="R255" s="40"/>
      <c r="S255" s="40"/>
      <c r="T255" s="40"/>
      <c r="U255" s="40"/>
    </row>
    <row r="256" customFormat="false" ht="15.75" hidden="false" customHeight="true" outlineLevel="0" collapsed="false">
      <c r="A256" s="40" t="s">
        <v>725</v>
      </c>
      <c r="B256" s="57" t="n">
        <f aca="false">M256</f>
        <v>45449</v>
      </c>
      <c r="C256" s="34" t="n">
        <v>45337</v>
      </c>
      <c r="D256" s="34" t="n">
        <v>45422</v>
      </c>
      <c r="E256" s="35" t="n">
        <f aca="false">(D256-C256)/7</f>
        <v>12.1428571428571</v>
      </c>
      <c r="F256" s="35" t="n">
        <f aca="false">($B$2-C256)/7</f>
        <v>119.142857142857</v>
      </c>
      <c r="G256" s="36" t="n">
        <v>16</v>
      </c>
      <c r="H256" s="36" t="n">
        <v>14</v>
      </c>
      <c r="I256" s="37"/>
      <c r="J256" s="37"/>
      <c r="K256" s="38" t="n">
        <f aca="false">IFERROR(((F256*G256)/E256)-H256,"")</f>
        <v>142.988235294118</v>
      </c>
      <c r="L256" s="36" t="str">
        <f aca="false">IF(K256&lt;-10,"MUITO ADIANTADO",IF(K256&lt;-6,"ADIANTADO",IF(K256&lt;6,"EM DIAS",IF(K256&lt;12,"ATRASADO","MUITO ATRASADO"))))</f>
        <v>MUITO ATRASADO</v>
      </c>
      <c r="M256" s="39" t="n">
        <v>45449</v>
      </c>
      <c r="N256" s="55" t="n">
        <f aca="false">$B$2-M256</f>
        <v>722</v>
      </c>
      <c r="O256" s="56" t="str">
        <f aca="false">IF(N256&lt;8,"VERIFICADO",IF(N256&lt;15,"VERIFICAR","VERIFICAR URGENTE"))</f>
        <v>VERIFICAR URGENTE</v>
      </c>
      <c r="P256" s="40"/>
      <c r="Q256" s="40"/>
      <c r="R256" s="40"/>
      <c r="S256" s="40"/>
      <c r="T256" s="40"/>
      <c r="U256" s="40"/>
    </row>
    <row r="257" customFormat="false" ht="15.75" hidden="false" customHeight="true" outlineLevel="0" collapsed="false">
      <c r="A257" s="40" t="s">
        <v>726</v>
      </c>
      <c r="B257" s="57" t="n">
        <f aca="false">M257</f>
        <v>45453</v>
      </c>
      <c r="C257" s="34" t="n">
        <v>45157</v>
      </c>
      <c r="D257" s="34" t="n">
        <v>45682</v>
      </c>
      <c r="E257" s="35" t="n">
        <f aca="false">(D257-C257)/7</f>
        <v>75</v>
      </c>
      <c r="F257" s="35" t="n">
        <f aca="false">($B$2-C257)/7</f>
        <v>144.857142857143</v>
      </c>
      <c r="G257" s="36" t="n">
        <v>80</v>
      </c>
      <c r="H257" s="36" t="n">
        <v>35</v>
      </c>
      <c r="I257" s="37"/>
      <c r="J257" s="37"/>
      <c r="K257" s="38" t="n">
        <f aca="false">IFERROR(((F257*G257)/E257)-H257,"")</f>
        <v>119.514285714286</v>
      </c>
      <c r="L257" s="36" t="str">
        <f aca="false">IF(K257&lt;-10,"MUITO ADIANTADO",IF(K257&lt;-6,"ADIANTADO",IF(K257&lt;6,"EM DIAS",IF(K257&lt;12,"ATRASADO","MUITO ATRASADO"))))</f>
        <v>MUITO ATRASADO</v>
      </c>
      <c r="M257" s="39" t="n">
        <v>45453</v>
      </c>
      <c r="N257" s="55" t="n">
        <f aca="false">$B$2-M257</f>
        <v>718</v>
      </c>
      <c r="O257" s="56" t="str">
        <f aca="false">IF(N257&lt;8,"VERIFICADO",IF(N257&lt;15,"VERIFICAR","VERIFICAR URGENTE"))</f>
        <v>VERIFICAR URGENTE</v>
      </c>
      <c r="P257" s="40"/>
      <c r="Q257" s="40"/>
      <c r="R257" s="40"/>
      <c r="S257" s="40"/>
      <c r="T257" s="40"/>
      <c r="U257" s="40"/>
    </row>
    <row r="258" customFormat="false" ht="15.75" hidden="false" customHeight="true" outlineLevel="0" collapsed="false">
      <c r="A258" s="41" t="s">
        <v>727</v>
      </c>
      <c r="B258" s="57" t="n">
        <f aca="false">M258</f>
        <v>45448</v>
      </c>
      <c r="C258" s="34" t="n">
        <v>45243</v>
      </c>
      <c r="D258" s="34" t="n">
        <v>45621</v>
      </c>
      <c r="E258" s="35" t="n">
        <f aca="false">(D258-C258)/7</f>
        <v>54</v>
      </c>
      <c r="F258" s="35" t="n">
        <f aca="false">($B$2-C258)/7</f>
        <v>132.571428571429</v>
      </c>
      <c r="G258" s="36" t="n">
        <v>64</v>
      </c>
      <c r="H258" s="36" t="n">
        <v>13</v>
      </c>
      <c r="I258" s="37"/>
      <c r="J258" s="37"/>
      <c r="K258" s="38" t="n">
        <f aca="false">IFERROR(((F258*G258)/E258)-H258,"")</f>
        <v>144.121693121693</v>
      </c>
      <c r="L258" s="36" t="str">
        <f aca="false">IF(K258&lt;-10,"MUITO ADIANTADO",IF(K258&lt;-6,"ADIANTADO",IF(K258&lt;6,"EM DIAS",IF(K258&lt;12,"ATRASADO","MUITO ATRASADO"))))</f>
        <v>MUITO ATRASADO</v>
      </c>
      <c r="M258" s="39" t="n">
        <v>45448</v>
      </c>
      <c r="N258" s="55" t="n">
        <f aca="false">$B$2-M258</f>
        <v>723</v>
      </c>
      <c r="O258" s="56" t="str">
        <f aca="false">IF(N258&lt;8,"VERIFICADO",IF(N258&lt;15,"VERIFICAR","VERIFICAR URGENTE"))</f>
        <v>VERIFICAR URGENTE</v>
      </c>
      <c r="P258" s="40"/>
      <c r="Q258" s="40"/>
      <c r="R258" s="40"/>
      <c r="S258" s="40"/>
      <c r="T258" s="40"/>
      <c r="U258" s="40"/>
    </row>
    <row r="259" customFormat="false" ht="15.75" hidden="false" customHeight="true" outlineLevel="0" collapsed="false">
      <c r="A259" s="41" t="s">
        <v>728</v>
      </c>
      <c r="B259" s="57" t="n">
        <f aca="false">M259</f>
        <v>45448</v>
      </c>
      <c r="C259" s="34" t="n">
        <v>44599</v>
      </c>
      <c r="D259" s="34" t="n">
        <v>45530</v>
      </c>
      <c r="E259" s="35" t="n">
        <f aca="false">(D259-C259)/7</f>
        <v>133</v>
      </c>
      <c r="F259" s="35" t="n">
        <f aca="false">($B$2-C259)/7</f>
        <v>224.571428571429</v>
      </c>
      <c r="G259" s="36" t="n">
        <v>92</v>
      </c>
      <c r="H259" s="36" t="n">
        <v>56</v>
      </c>
      <c r="I259" s="37"/>
      <c r="J259" s="37"/>
      <c r="K259" s="38" t="n">
        <f aca="false">IFERROR(((F259*G259)/E259)-H259,"")</f>
        <v>99.342642320086</v>
      </c>
      <c r="L259" s="36" t="str">
        <f aca="false">IF(K259&lt;-10,"MUITO ADIANTADO",IF(K259&lt;-6,"ADIANTADO",IF(K259&lt;6,"EM DIAS",IF(K259&lt;12,"ATRASADO","MUITO ATRASADO"))))</f>
        <v>MUITO ATRASADO</v>
      </c>
      <c r="M259" s="39" t="n">
        <v>45448</v>
      </c>
      <c r="N259" s="55" t="n">
        <f aca="false">$B$2-M259</f>
        <v>723</v>
      </c>
      <c r="O259" s="56" t="str">
        <f aca="false">IF(N259&lt;8,"VERIFICADO",IF(N259&lt;15,"VERIFICAR","VERIFICAR URGENTE"))</f>
        <v>VERIFICAR URGENTE</v>
      </c>
      <c r="P259" s="40"/>
      <c r="Q259" s="40"/>
      <c r="R259" s="40"/>
      <c r="S259" s="40"/>
      <c r="T259" s="40"/>
      <c r="U259" s="40"/>
    </row>
    <row r="260" customFormat="false" ht="15.75" hidden="false" customHeight="true" outlineLevel="0" collapsed="false">
      <c r="A260" s="40" t="s">
        <v>365</v>
      </c>
      <c r="B260" s="57" t="n">
        <f aca="false">M260</f>
        <v>45449</v>
      </c>
      <c r="C260" s="34" t="n">
        <v>44893</v>
      </c>
      <c r="D260" s="34" t="n">
        <v>46157</v>
      </c>
      <c r="E260" s="35" t="n">
        <f aca="false">(D260-C260)/7</f>
        <v>180.571428571429</v>
      </c>
      <c r="F260" s="35" t="n">
        <f aca="false">($B$2-C260)/7</f>
        <v>182.571428571429</v>
      </c>
      <c r="G260" s="36" t="n">
        <v>253</v>
      </c>
      <c r="H260" s="36" t="n">
        <v>89</v>
      </c>
      <c r="I260" s="37" t="n">
        <f aca="false">IFERROR(H260/G260,"")</f>
        <v>0.351778656126482</v>
      </c>
      <c r="J260" s="37" t="n">
        <f aca="false">IFERROR(F260/E260,"")</f>
        <v>1.01107594936709</v>
      </c>
      <c r="K260" s="38" t="n">
        <f aca="false">IFERROR(((F260*G260)/E260)-H260,"")</f>
        <v>166.802215189873</v>
      </c>
      <c r="L260" s="36" t="str">
        <f aca="false">IF(K260&lt;-10,"MUITO ADIANTADO",IF(K260&lt;-6,"ADIANTADO",IF(K260&lt;6,"EM DIAS",IF(K260&lt;12,"ATRASADO","MUITO ATRASADO"))))</f>
        <v>MUITO ATRASADO</v>
      </c>
      <c r="M260" s="39" t="n">
        <v>45449</v>
      </c>
      <c r="N260" s="55" t="n">
        <f aca="false">$B$2-M260</f>
        <v>722</v>
      </c>
      <c r="O260" s="56" t="str">
        <f aca="false">IF(N260&lt;8,"VERIFICADO",IF(N260&lt;15,"VERIFICAR","VERIFICAR URGENTE"))</f>
        <v>VERIFICAR URGENTE</v>
      </c>
      <c r="P260" s="40"/>
      <c r="Q260" s="40"/>
      <c r="R260" s="40"/>
      <c r="S260" s="40"/>
      <c r="T260" s="40"/>
      <c r="U260" s="40"/>
    </row>
    <row r="261" customFormat="false" ht="15.75" hidden="false" customHeight="true" outlineLevel="0" collapsed="false">
      <c r="A261" s="40" t="s">
        <v>729</v>
      </c>
      <c r="B261" s="57" t="n">
        <f aca="false">M261</f>
        <v>45448</v>
      </c>
      <c r="C261" s="34" t="n">
        <v>44957</v>
      </c>
      <c r="D261" s="34" t="n">
        <v>45453</v>
      </c>
      <c r="E261" s="35" t="n">
        <f aca="false">(D261-C261)/7</f>
        <v>70.8571428571429</v>
      </c>
      <c r="F261" s="35" t="n">
        <f aca="false">($B$2-C261)/7</f>
        <v>173.428571428571</v>
      </c>
      <c r="G261" s="36" t="n">
        <v>76</v>
      </c>
      <c r="H261" s="36" t="n">
        <v>65</v>
      </c>
      <c r="I261" s="37" t="n">
        <f aca="false">IFERROR(H261/G261,"")</f>
        <v>0.855263157894737</v>
      </c>
      <c r="J261" s="37" t="n">
        <f aca="false">IFERROR(F261/E261,"")</f>
        <v>2.44758064516129</v>
      </c>
      <c r="K261" s="38" t="n">
        <f aca="false">IFERROR(((F261*G261)/E261)-H261,"")</f>
        <v>121.016129032258</v>
      </c>
      <c r="L261" s="36" t="str">
        <f aca="false">IF(K261&lt;-10,"MUITO ADIANTADO",IF(K261&lt;-6,"ADIANTADO",IF(K261&lt;6,"EM DIAS",IF(K261&lt;12,"ATRASADO","MUITO ATRASADO"))))</f>
        <v>MUITO ATRASADO</v>
      </c>
      <c r="M261" s="39" t="n">
        <v>45448</v>
      </c>
      <c r="N261" s="55" t="n">
        <f aca="false">$B$2-M261</f>
        <v>723</v>
      </c>
      <c r="O261" s="56" t="str">
        <f aca="false">IF(N261&lt;8,"VERIFICADO",IF(N261&lt;15,"VERIFICAR","VERIFICAR URGENTE"))</f>
        <v>VERIFICAR URGENTE</v>
      </c>
      <c r="P261" s="40"/>
      <c r="Q261" s="40"/>
      <c r="R261" s="40"/>
      <c r="S261" s="40"/>
      <c r="T261" s="40"/>
      <c r="U261" s="40"/>
    </row>
    <row r="262" customFormat="false" ht="15.75" hidden="false" customHeight="true" outlineLevel="0" collapsed="false">
      <c r="A262" s="40" t="s">
        <v>730</v>
      </c>
      <c r="B262" s="57" t="n">
        <f aca="false">M262</f>
        <v>45448</v>
      </c>
      <c r="C262" s="34" t="n">
        <v>45020</v>
      </c>
      <c r="D262" s="34" t="n">
        <v>46093</v>
      </c>
      <c r="E262" s="35" t="n">
        <f aca="false">(D262-C262)/7</f>
        <v>153.285714285714</v>
      </c>
      <c r="F262" s="35" t="n">
        <f aca="false">($B$2-C262)/7</f>
        <v>164.428571428571</v>
      </c>
      <c r="G262" s="36" t="n">
        <v>179</v>
      </c>
      <c r="H262" s="36" t="n">
        <v>63</v>
      </c>
      <c r="I262" s="37" t="n">
        <f aca="false">IFERROR(H262/G262,"")</f>
        <v>0.35195530726257</v>
      </c>
      <c r="J262" s="37" t="n">
        <f aca="false">IFERROR(F262/E262,"")</f>
        <v>1.07269338303821</v>
      </c>
      <c r="K262" s="38" t="n">
        <f aca="false">IFERROR(((F262*G262)/E262)-H262,"")</f>
        <v>129.01211556384</v>
      </c>
      <c r="L262" s="36" t="str">
        <f aca="false">IF(K262&lt;-10,"MUITO ADIANTADO",IF(K262&lt;-6,"ADIANTADO",IF(K262&lt;6,"EM DIAS",IF(K262&lt;12,"ATRASADO","MUITO ATRASADO"))))</f>
        <v>MUITO ATRASADO</v>
      </c>
      <c r="M262" s="39" t="n">
        <v>45448</v>
      </c>
      <c r="N262" s="55" t="n">
        <f aca="false">$B$2-M262</f>
        <v>723</v>
      </c>
      <c r="O262" s="56" t="str">
        <f aca="false">IF(N262&lt;8,"VERIFICADO",IF(N262&lt;15,"VERIFICAR","VERIFICAR URGENTE"))</f>
        <v>VERIFICAR URGENTE</v>
      </c>
      <c r="P262" s="40"/>
      <c r="Q262" s="40"/>
      <c r="R262" s="40"/>
      <c r="S262" s="40"/>
      <c r="T262" s="40"/>
      <c r="U262" s="40"/>
    </row>
    <row r="263" customFormat="false" ht="15.75" hidden="false" customHeight="true" outlineLevel="0" collapsed="false">
      <c r="A263" s="40" t="s">
        <v>731</v>
      </c>
      <c r="B263" s="57" t="n">
        <f aca="false">M263</f>
        <v>45448</v>
      </c>
      <c r="C263" s="34" t="n">
        <v>45035</v>
      </c>
      <c r="D263" s="34" t="n">
        <v>45519</v>
      </c>
      <c r="E263" s="35" t="n">
        <f aca="false">(D263-C263)/7</f>
        <v>69.1428571428571</v>
      </c>
      <c r="F263" s="35" t="n">
        <f aca="false">($B$2-C263)/7</f>
        <v>162.285714285714</v>
      </c>
      <c r="G263" s="36" t="n">
        <v>80</v>
      </c>
      <c r="H263" s="36" t="n">
        <v>69</v>
      </c>
      <c r="I263" s="37" t="n">
        <f aca="false">IFERROR(H263/G263,"")</f>
        <v>0.8625</v>
      </c>
      <c r="J263" s="37" t="n">
        <f aca="false">IFERROR(F263/E263,"")</f>
        <v>2.34710743801653</v>
      </c>
      <c r="K263" s="38" t="n">
        <f aca="false">IFERROR(((F263*G263)/E263)-H263,"")</f>
        <v>118.768595041322</v>
      </c>
      <c r="L263" s="36" t="str">
        <f aca="false">IF(K263&lt;-10,"MUITO ADIANTADO",IF(K263&lt;-6,"ADIANTADO",IF(K263&lt;6,"EM DIAS",IF(K263&lt;12,"ATRASADO","MUITO ATRASADO"))))</f>
        <v>MUITO ATRASADO</v>
      </c>
      <c r="M263" s="39" t="n">
        <v>45448</v>
      </c>
      <c r="N263" s="55" t="n">
        <f aca="false">$B$2-M263</f>
        <v>723</v>
      </c>
      <c r="O263" s="56" t="str">
        <f aca="false">IF(N263&lt;8,"VERIFICADO",IF(N263&lt;15,"VERIFICAR","VERIFICAR URGENTE"))</f>
        <v>VERIFICAR URGENTE</v>
      </c>
      <c r="P263" s="40"/>
      <c r="Q263" s="40"/>
      <c r="R263" s="40"/>
      <c r="S263" s="40"/>
      <c r="T263" s="40"/>
      <c r="U263" s="40"/>
    </row>
    <row r="264" customFormat="false" ht="15.75" hidden="false" customHeight="true" outlineLevel="0" collapsed="false">
      <c r="A264" s="40" t="s">
        <v>376</v>
      </c>
      <c r="B264" s="57" t="n">
        <f aca="false">M264</f>
        <v>45448</v>
      </c>
      <c r="C264" s="34" t="n">
        <v>45343</v>
      </c>
      <c r="D264" s="34" t="n">
        <v>46408</v>
      </c>
      <c r="E264" s="35" t="n">
        <f aca="false">(D264-C264)/7</f>
        <v>152.142857142857</v>
      </c>
      <c r="F264" s="35" t="n">
        <f aca="false">($B$2-C264)/7</f>
        <v>118.285714285714</v>
      </c>
      <c r="G264" s="36" t="n">
        <v>144</v>
      </c>
      <c r="H264" s="36" t="n">
        <v>13</v>
      </c>
      <c r="I264" s="37"/>
      <c r="J264" s="37"/>
      <c r="K264" s="38" t="n">
        <f aca="false">IFERROR(((F264*G264)/E264)-H264,"")</f>
        <v>98.9549295774649</v>
      </c>
      <c r="L264" s="36" t="str">
        <f aca="false">IF(K264&lt;-10,"MUITO ADIANTADO",IF(K264&lt;-6,"ADIANTADO",IF(K264&lt;6,"EM DIAS",IF(K264&lt;12,"ATRASADO","MUITO ATRASADO"))))</f>
        <v>MUITO ATRASADO</v>
      </c>
      <c r="M264" s="39" t="n">
        <v>45448</v>
      </c>
      <c r="N264" s="55" t="n">
        <f aca="false">$B$2-M264</f>
        <v>723</v>
      </c>
      <c r="O264" s="56" t="str">
        <f aca="false">IF(N264&lt;8,"VERIFICADO",IF(N264&lt;15,"VERIFICAR","VERIFICAR URGENTE"))</f>
        <v>VERIFICAR URGENTE</v>
      </c>
      <c r="P264" s="68"/>
      <c r="Q264" s="68"/>
      <c r="R264" s="68"/>
      <c r="S264" s="68"/>
      <c r="T264" s="68"/>
      <c r="U264" s="68"/>
    </row>
    <row r="265" customFormat="false" ht="15.75" hidden="false" customHeight="true" outlineLevel="0" collapsed="false">
      <c r="A265" s="40" t="s">
        <v>732</v>
      </c>
      <c r="B265" s="57" t="n">
        <f aca="false">M265</f>
        <v>45448</v>
      </c>
      <c r="C265" s="34" t="n">
        <v>45048</v>
      </c>
      <c r="D265" s="34" t="n">
        <v>45524</v>
      </c>
      <c r="E265" s="35" t="n">
        <f aca="false">(D265-C265)/7</f>
        <v>68</v>
      </c>
      <c r="F265" s="35" t="n">
        <f aca="false">($B$2-C265)/7</f>
        <v>160.428571428571</v>
      </c>
      <c r="G265" s="36" t="n">
        <v>132</v>
      </c>
      <c r="H265" s="36" t="n">
        <v>88</v>
      </c>
      <c r="I265" s="37" t="n">
        <f aca="false">IFERROR(H265/G265,"")</f>
        <v>0.666666666666667</v>
      </c>
      <c r="J265" s="37" t="n">
        <f aca="false">IFERROR(F265/E265,"")</f>
        <v>2.35924369747899</v>
      </c>
      <c r="K265" s="38" t="n">
        <f aca="false">IFERROR(((F265*G265)/E265)-H265,"")</f>
        <v>223.420168067227</v>
      </c>
      <c r="L265" s="36" t="str">
        <f aca="false">IF(K265&lt;-10,"MUITO ADIANTADO",IF(K265&lt;-6,"ADIANTADO",IF(K265&lt;6,"EM DIAS",IF(K265&lt;12,"ATRASADO","MUITO ATRASADO"))))</f>
        <v>MUITO ATRASADO</v>
      </c>
      <c r="M265" s="39" t="n">
        <v>45448</v>
      </c>
      <c r="N265" s="55" t="n">
        <f aca="false">$B$2-M265</f>
        <v>723</v>
      </c>
      <c r="O265" s="56" t="str">
        <f aca="false">IF(N265&lt;8,"VERIFICADO",IF(N265&lt;15,"VERIFICAR","VERIFICAR URGENTE"))</f>
        <v>VERIFICAR URGENTE</v>
      </c>
      <c r="P265" s="40"/>
      <c r="Q265" s="40"/>
      <c r="R265" s="40"/>
      <c r="S265" s="40"/>
      <c r="T265" s="40"/>
      <c r="U265" s="40"/>
    </row>
    <row r="266" customFormat="false" ht="15.75" hidden="false" customHeight="true" outlineLevel="0" collapsed="false">
      <c r="A266" s="40" t="s">
        <v>733</v>
      </c>
      <c r="B266" s="57" t="n">
        <f aca="false">M266</f>
        <v>45447</v>
      </c>
      <c r="C266" s="34" t="n">
        <v>45266</v>
      </c>
      <c r="D266" s="34" t="n">
        <v>45787</v>
      </c>
      <c r="E266" s="35" t="n">
        <f aca="false">(D266-C266)/7</f>
        <v>74.4285714285714</v>
      </c>
      <c r="F266" s="35" t="n">
        <f aca="false">($B$2-C266)/7</f>
        <v>129.285714285714</v>
      </c>
      <c r="G266" s="36" t="n">
        <v>80</v>
      </c>
      <c r="H266" s="36" t="n">
        <v>31</v>
      </c>
      <c r="I266" s="37"/>
      <c r="J266" s="37"/>
      <c r="K266" s="38" t="n">
        <f aca="false">IFERROR(((F266*G266)/E266)-H266,"")</f>
        <v>107.963531669866</v>
      </c>
      <c r="L266" s="36" t="str">
        <f aca="false">IF(K266&lt;-10,"MUITO ADIANTADO",IF(K266&lt;-6,"ADIANTADO",IF(K266&lt;6,"EM DIAS",IF(K266&lt;12,"ATRASADO","MUITO ATRASADO"))))</f>
        <v>MUITO ATRASADO</v>
      </c>
      <c r="M266" s="39" t="n">
        <v>45447</v>
      </c>
      <c r="N266" s="55" t="n">
        <f aca="false">$B$2-M266</f>
        <v>724</v>
      </c>
      <c r="O266" s="56" t="str">
        <f aca="false">IF(N266&lt;8,"VERIFICADO",IF(N266&lt;15,"VERIFICAR","VERIFICAR URGENTE"))</f>
        <v>VERIFICAR URGENTE</v>
      </c>
      <c r="P266" s="40"/>
      <c r="Q266" s="40"/>
      <c r="R266" s="40"/>
      <c r="S266" s="40"/>
      <c r="T266" s="40"/>
      <c r="U266" s="40"/>
    </row>
    <row r="267" customFormat="false" ht="15.75" hidden="false" customHeight="true" outlineLevel="0" collapsed="false">
      <c r="A267" s="40" t="s">
        <v>734</v>
      </c>
      <c r="B267" s="57" t="n">
        <f aca="false">M267</f>
        <v>45448</v>
      </c>
      <c r="C267" s="34" t="n">
        <v>45084</v>
      </c>
      <c r="D267" s="34" t="n">
        <v>45646</v>
      </c>
      <c r="E267" s="35" t="n">
        <f aca="false">(D267-C267)/7</f>
        <v>80.2857142857143</v>
      </c>
      <c r="F267" s="35" t="n">
        <f aca="false">($B$2-C267)/7</f>
        <v>155.285714285714</v>
      </c>
      <c r="G267" s="36" t="n">
        <v>80</v>
      </c>
      <c r="H267" s="36" t="n">
        <v>45</v>
      </c>
      <c r="I267" s="37" t="n">
        <f aca="false">IFERROR(H267/G267,"")</f>
        <v>0.5625</v>
      </c>
      <c r="J267" s="37" t="n">
        <f aca="false">IFERROR(F267/E267,"")</f>
        <v>1.93416370106762</v>
      </c>
      <c r="K267" s="38" t="n">
        <f aca="false">IFERROR(((F267*G267)/E267)-H267,"")</f>
        <v>109.733096085409</v>
      </c>
      <c r="L267" s="36" t="str">
        <f aca="false">IF(K267&lt;-10,"MUITO ADIANTADO",IF(K267&lt;-6,"ADIANTADO",IF(K267&lt;6,"EM DIAS",IF(K267&lt;12,"ATRASADO","MUITO ATRASADO"))))</f>
        <v>MUITO ATRASADO</v>
      </c>
      <c r="M267" s="39" t="n">
        <v>45448</v>
      </c>
      <c r="N267" s="55" t="n">
        <f aca="false">$B$2-M267</f>
        <v>723</v>
      </c>
      <c r="O267" s="56" t="str">
        <f aca="false">IF(N267&lt;8,"VERIFICADO",IF(N267&lt;15,"VERIFICAR","VERIFICAR URGENTE"))</f>
        <v>VERIFICAR URGENTE</v>
      </c>
      <c r="P267" s="40"/>
      <c r="Q267" s="40"/>
      <c r="R267" s="40"/>
      <c r="S267" s="40"/>
      <c r="T267" s="40"/>
      <c r="U267" s="40"/>
    </row>
    <row r="268" customFormat="false" ht="15.75" hidden="false" customHeight="true" outlineLevel="0" collapsed="false">
      <c r="A268" s="40" t="s">
        <v>735</v>
      </c>
      <c r="B268" s="57" t="n">
        <f aca="false">M268</f>
        <v>45448</v>
      </c>
      <c r="C268" s="34" t="n">
        <v>44965</v>
      </c>
      <c r="D268" s="34" t="n">
        <v>45550</v>
      </c>
      <c r="E268" s="35" t="n">
        <f aca="false">(D268-C268)/7</f>
        <v>83.5714285714286</v>
      </c>
      <c r="F268" s="35" t="n">
        <f aca="false">($B$2-C268)/7</f>
        <v>172.285714285714</v>
      </c>
      <c r="G268" s="36" t="n">
        <v>132</v>
      </c>
      <c r="H268" s="36" t="n">
        <v>104</v>
      </c>
      <c r="I268" s="37" t="n">
        <f aca="false">IFERROR(H268/G268,"")</f>
        <v>0.787878787878788</v>
      </c>
      <c r="J268" s="37" t="n">
        <f aca="false">IFERROR(F268/E268,"")</f>
        <v>2.06153846153846</v>
      </c>
      <c r="K268" s="38" t="n">
        <f aca="false">IFERROR(((F268*G268)/E268)-H268,"")</f>
        <v>168.123076923077</v>
      </c>
      <c r="L268" s="36" t="str">
        <f aca="false">IF(K268&lt;-10,"MUITO ADIANTADO",IF(K268&lt;-6,"ADIANTADO",IF(K268&lt;6,"EM DIAS",IF(K268&lt;12,"ATRASADO","MUITO ATRASADO"))))</f>
        <v>MUITO ATRASADO</v>
      </c>
      <c r="M268" s="39" t="n">
        <v>45448</v>
      </c>
      <c r="N268" s="55" t="n">
        <f aca="false">$B$2-M268</f>
        <v>723</v>
      </c>
      <c r="O268" s="56" t="str">
        <f aca="false">IF(N268&lt;8,"VERIFICADO",IF(N268&lt;15,"VERIFICAR","VERIFICAR URGENTE"))</f>
        <v>VERIFICAR URGENTE</v>
      </c>
      <c r="P268" s="40"/>
      <c r="Q268" s="40"/>
      <c r="R268" s="40"/>
      <c r="S268" s="40"/>
      <c r="T268" s="40"/>
      <c r="U268" s="40"/>
    </row>
    <row r="269" customFormat="false" ht="15.75" hidden="false" customHeight="true" outlineLevel="0" collapsed="false">
      <c r="A269" s="41" t="s">
        <v>736</v>
      </c>
      <c r="B269" s="57" t="n">
        <f aca="false">M269</f>
        <v>45449</v>
      </c>
      <c r="C269" s="34" t="n">
        <v>45051</v>
      </c>
      <c r="D269" s="34" t="n">
        <v>46119</v>
      </c>
      <c r="E269" s="35" t="n">
        <f aca="false">(D269-C269)/7</f>
        <v>152.571428571429</v>
      </c>
      <c r="F269" s="35" t="n">
        <f aca="false">($B$2-C269)/7</f>
        <v>160</v>
      </c>
      <c r="G269" s="36" t="n">
        <v>177</v>
      </c>
      <c r="H269" s="36" t="n">
        <v>81</v>
      </c>
      <c r="I269" s="37"/>
      <c r="J269" s="37"/>
      <c r="K269" s="38" t="n">
        <f aca="false">IFERROR(((F269*G269)/E269)-H269,"")</f>
        <v>104.617977528089</v>
      </c>
      <c r="L269" s="36" t="str">
        <f aca="false">IF(K269&lt;-10,"MUITO ADIANTADO",IF(K269&lt;-6,"ADIANTADO",IF(K269&lt;6,"EM DIAS",IF(K269&lt;12,"ATRASADO","MUITO ATRASADO"))))</f>
        <v>MUITO ATRASADO</v>
      </c>
      <c r="M269" s="39" t="n">
        <v>45449</v>
      </c>
      <c r="N269" s="55" t="n">
        <f aca="false">$B$2-M269</f>
        <v>722</v>
      </c>
      <c r="O269" s="56" t="str">
        <f aca="false">IF(N269&lt;8,"VERIFICADO",IF(N269&lt;15,"VERIFICAR","VERIFICAR URGENTE"))</f>
        <v>VERIFICAR URGENTE</v>
      </c>
      <c r="P269" s="40"/>
      <c r="Q269" s="40"/>
      <c r="R269" s="40"/>
      <c r="S269" s="40"/>
      <c r="T269" s="40"/>
      <c r="U269" s="40"/>
    </row>
    <row r="270" customFormat="false" ht="15.75" hidden="false" customHeight="true" outlineLevel="0" collapsed="false">
      <c r="A270" s="40" t="s">
        <v>737</v>
      </c>
      <c r="B270" s="57" t="n">
        <f aca="false">M270</f>
        <v>45448</v>
      </c>
      <c r="C270" s="34" t="n">
        <v>45164</v>
      </c>
      <c r="D270" s="34" t="n">
        <v>46808</v>
      </c>
      <c r="E270" s="35" t="n">
        <f aca="false">(D270-C270)/7</f>
        <v>234.857142857143</v>
      </c>
      <c r="F270" s="35" t="n">
        <f aca="false">($B$2-C270)/7</f>
        <v>143.857142857143</v>
      </c>
      <c r="G270" s="36" t="n">
        <v>256</v>
      </c>
      <c r="H270" s="36" t="n">
        <v>38</v>
      </c>
      <c r="I270" s="37"/>
      <c r="J270" s="37"/>
      <c r="K270" s="38" t="n">
        <f aca="false">IFERROR(((F270*G270)/E270)-H270,"")</f>
        <v>118.807785888078</v>
      </c>
      <c r="L270" s="36" t="str">
        <f aca="false">IF(K270&lt;-10,"MUITO ADIANTADO",IF(K270&lt;-6,"ADIANTADO",IF(K270&lt;6,"EM DIAS",IF(K270&lt;12,"ATRASADO","MUITO ATRASADO"))))</f>
        <v>MUITO ATRASADO</v>
      </c>
      <c r="M270" s="39" t="n">
        <v>45448</v>
      </c>
      <c r="N270" s="55" t="n">
        <f aca="false">$B$2-M270</f>
        <v>723</v>
      </c>
      <c r="O270" s="56" t="str">
        <f aca="false">IF(N270&lt;8,"VERIFICADO",IF(N270&lt;15,"VERIFICAR","VERIFICAR URGENTE"))</f>
        <v>VERIFICAR URGENTE</v>
      </c>
      <c r="P270" s="40"/>
      <c r="Q270" s="40"/>
      <c r="R270" s="40"/>
      <c r="S270" s="40"/>
      <c r="T270" s="40"/>
      <c r="U270" s="40"/>
    </row>
    <row r="271" customFormat="false" ht="15.75" hidden="false" customHeight="true" outlineLevel="0" collapsed="false">
      <c r="A271" s="40" t="s">
        <v>738</v>
      </c>
      <c r="B271" s="57" t="n">
        <f aca="false">M271</f>
        <v>45449</v>
      </c>
      <c r="C271" s="34" t="n">
        <v>45033</v>
      </c>
      <c r="D271" s="34" t="n">
        <v>45519</v>
      </c>
      <c r="E271" s="35" t="n">
        <f aca="false">(D271-C271)/7</f>
        <v>69.4285714285714</v>
      </c>
      <c r="F271" s="35" t="n">
        <f aca="false">($B$2-C271)/7</f>
        <v>162.571428571429</v>
      </c>
      <c r="G271" s="36" t="n">
        <v>96</v>
      </c>
      <c r="H271" s="36" t="n">
        <v>84</v>
      </c>
      <c r="I271" s="37" t="n">
        <f aca="false">IFERROR(H271/G271,"")</f>
        <v>0.875</v>
      </c>
      <c r="J271" s="37" t="n">
        <f aca="false">IFERROR(F271/E271,"")</f>
        <v>2.34156378600823</v>
      </c>
      <c r="K271" s="38" t="n">
        <f aca="false">IFERROR(((F271*G271)/E271)-H271,"")</f>
        <v>140.79012345679</v>
      </c>
      <c r="L271" s="36" t="str">
        <f aca="false">IF(K271&lt;-10,"MUITO ADIANTADO",IF(K271&lt;-6,"ADIANTADO",IF(K271&lt;6,"EM DIAS",IF(K271&lt;12,"ATRASADO","MUITO ATRASADO"))))</f>
        <v>MUITO ATRASADO</v>
      </c>
      <c r="M271" s="39" t="n">
        <v>45449</v>
      </c>
      <c r="N271" s="55" t="n">
        <f aca="false">$B$2-M271</f>
        <v>722</v>
      </c>
      <c r="O271" s="56" t="str">
        <f aca="false">IF(N271&lt;8,"VERIFICADO",IF(N271&lt;15,"VERIFICAR","VERIFICAR URGENTE"))</f>
        <v>VERIFICAR URGENTE</v>
      </c>
      <c r="P271" s="40"/>
      <c r="Q271" s="40"/>
      <c r="R271" s="40"/>
      <c r="S271" s="40"/>
      <c r="T271" s="40"/>
      <c r="U271" s="40"/>
    </row>
    <row r="272" customFormat="false" ht="15.75" hidden="false" customHeight="true" outlineLevel="0" collapsed="false">
      <c r="A272" s="40" t="s">
        <v>739</v>
      </c>
      <c r="B272" s="57" t="n">
        <f aca="false">M272</f>
        <v>45448</v>
      </c>
      <c r="C272" s="34" t="n">
        <v>45329</v>
      </c>
      <c r="D272" s="34" t="n">
        <v>46001</v>
      </c>
      <c r="E272" s="35" t="n">
        <f aca="false">(D272-C272)/7</f>
        <v>96</v>
      </c>
      <c r="F272" s="35" t="n">
        <f aca="false">($B$2-C272)/7</f>
        <v>120.285714285714</v>
      </c>
      <c r="G272" s="36" t="n">
        <v>96</v>
      </c>
      <c r="H272" s="36" t="n">
        <v>18</v>
      </c>
      <c r="I272" s="37"/>
      <c r="J272" s="37"/>
      <c r="K272" s="38" t="n">
        <f aca="false">IFERROR(((F272*G272)/E272)-H272,"")</f>
        <v>102.285714285714</v>
      </c>
      <c r="L272" s="36" t="str">
        <f aca="false">IF(K272&lt;-10,"MUITO ADIANTADO",IF(K272&lt;-6,"ADIANTADO",IF(K272&lt;6,"EM DIAS",IF(K272&lt;12,"ATRASADO","MUITO ATRASADO"))))</f>
        <v>MUITO ATRASADO</v>
      </c>
      <c r="M272" s="39" t="n">
        <v>45448</v>
      </c>
      <c r="N272" s="55" t="n">
        <f aca="false">$B$2-M272</f>
        <v>723</v>
      </c>
      <c r="O272" s="41" t="str">
        <f aca="false">IF(N272&lt;8,"VERIFICADO",IF(N272&lt;15,"VERIFICAR","VERIFICAR URGENTE"))</f>
        <v>VERIFICAR URGENTE</v>
      </c>
      <c r="P272" s="40"/>
      <c r="Q272" s="40"/>
      <c r="R272" s="40"/>
      <c r="S272" s="40"/>
      <c r="T272" s="40"/>
      <c r="U272" s="40"/>
    </row>
    <row r="273" customFormat="false" ht="15.75" hidden="false" customHeight="true" outlineLevel="0" collapsed="false">
      <c r="A273" s="40" t="s">
        <v>455</v>
      </c>
      <c r="B273" s="57" t="n">
        <f aca="false">M273</f>
        <v>45448</v>
      </c>
      <c r="C273" s="34" t="n">
        <v>45350</v>
      </c>
      <c r="D273" s="34" t="n">
        <v>47115</v>
      </c>
      <c r="E273" s="35" t="n">
        <f aca="false">(D273-C273)/7</f>
        <v>252.142857142857</v>
      </c>
      <c r="F273" s="35" t="n">
        <f aca="false">($B$2-C273)/7</f>
        <v>117.285714285714</v>
      </c>
      <c r="G273" s="36" t="n">
        <v>256</v>
      </c>
      <c r="H273" s="36" t="n">
        <v>20</v>
      </c>
      <c r="I273" s="37"/>
      <c r="J273" s="37"/>
      <c r="K273" s="38" t="n">
        <f aca="false">IFERROR(((F273*G273)/E273)-H273,"")</f>
        <v>99.0798866855525</v>
      </c>
      <c r="L273" s="36" t="str">
        <f aca="false">IF(K273&lt;-10,"MUITO ADIANTADO",IF(K273&lt;-6,"ADIANTADO",IF(K273&lt;6,"EM DIAS",IF(K273&lt;12,"ATRASADO","MUITO ATRASADO"))))</f>
        <v>MUITO ATRASADO</v>
      </c>
      <c r="M273" s="39" t="n">
        <v>45448</v>
      </c>
      <c r="N273" s="55" t="n">
        <f aca="false">$B$2-M273</f>
        <v>723</v>
      </c>
      <c r="O273" s="56" t="str">
        <f aca="false">IF(N273&lt;8,"VERIFICADO",IF(N273&lt;15,"VERIFICAR","VERIFICAR URGENTE"))</f>
        <v>VERIFICAR URGENTE</v>
      </c>
      <c r="P273" s="40"/>
      <c r="Q273" s="40"/>
      <c r="R273" s="40"/>
      <c r="S273" s="40"/>
      <c r="T273" s="40"/>
      <c r="U273" s="40"/>
    </row>
    <row r="274" customFormat="false" ht="15.75" hidden="false" customHeight="true" outlineLevel="0" collapsed="false">
      <c r="A274" s="40" t="s">
        <v>740</v>
      </c>
      <c r="B274" s="57" t="n">
        <f aca="false">M274</f>
        <v>45453</v>
      </c>
      <c r="C274" s="34" t="n">
        <v>44980</v>
      </c>
      <c r="D274" s="34" t="n">
        <v>45428</v>
      </c>
      <c r="E274" s="35" t="n">
        <f aca="false">(D274-C274)/7</f>
        <v>64</v>
      </c>
      <c r="F274" s="35" t="n">
        <f aca="false">($B$2-C274)/7</f>
        <v>170.142857142857</v>
      </c>
      <c r="G274" s="36" t="n">
        <v>76</v>
      </c>
      <c r="H274" s="36" t="n">
        <v>62</v>
      </c>
      <c r="I274" s="37" t="n">
        <f aca="false">IFERROR(H274/G274,"")</f>
        <v>0.815789473684211</v>
      </c>
      <c r="J274" s="37" t="n">
        <f aca="false">IFERROR(F274/E274,"")</f>
        <v>2.65848214285714</v>
      </c>
      <c r="K274" s="38" t="n">
        <f aca="false">IFERROR(((F274*G274)/E274)-H274,"")</f>
        <v>140.044642857143</v>
      </c>
      <c r="L274" s="36" t="str">
        <f aca="false">IF(K274&lt;-10,"MUITO ADIANTADO",IF(K274&lt;-6,"ADIANTADO",IF(K274&lt;6,"EM DIAS",IF(K274&lt;12,"ATRASADO","MUITO ATRASADO"))))</f>
        <v>MUITO ATRASADO</v>
      </c>
      <c r="M274" s="39" t="n">
        <v>45453</v>
      </c>
      <c r="N274" s="55" t="n">
        <f aca="false">$B$2-M274</f>
        <v>718</v>
      </c>
      <c r="O274" s="56" t="str">
        <f aca="false">IF(N274&lt;8,"VERIFICADO",IF(N274&lt;15,"VERIFICAR","VERIFICAR URGENTE"))</f>
        <v>VERIFICAR URGENTE</v>
      </c>
      <c r="P274" s="40"/>
      <c r="Q274" s="40"/>
      <c r="R274" s="40"/>
      <c r="S274" s="40"/>
      <c r="T274" s="40"/>
      <c r="U274" s="40"/>
    </row>
    <row r="275" customFormat="false" ht="15.75" hidden="false" customHeight="true" outlineLevel="0" collapsed="false">
      <c r="A275" s="40" t="s">
        <v>741</v>
      </c>
      <c r="B275" s="57" t="n">
        <f aca="false">M275</f>
        <v>45448</v>
      </c>
      <c r="C275" s="34" t="n">
        <v>45033</v>
      </c>
      <c r="D275" s="34" t="n">
        <v>45988</v>
      </c>
      <c r="E275" s="35" t="n">
        <f aca="false">(D275-C275)/7</f>
        <v>136.428571428571</v>
      </c>
      <c r="F275" s="35" t="n">
        <f aca="false">($B$2-C275)/7</f>
        <v>162.571428571429</v>
      </c>
      <c r="G275" s="36" t="n">
        <v>80</v>
      </c>
      <c r="H275" s="36" t="n">
        <v>30</v>
      </c>
      <c r="I275" s="37" t="n">
        <f aca="false">IFERROR(H275/G275,"")</f>
        <v>0.375</v>
      </c>
      <c r="J275" s="37" t="n">
        <f aca="false">IFERROR(F275/E275,"")</f>
        <v>1.19162303664922</v>
      </c>
      <c r="K275" s="38" t="n">
        <f aca="false">IFERROR(((F275*G275)/E275)-H275,"")</f>
        <v>65.3298429319375</v>
      </c>
      <c r="L275" s="36" t="str">
        <f aca="false">IF(K275&lt;-10,"MUITO ADIANTADO",IF(K275&lt;-6,"ADIANTADO",IF(K275&lt;6,"EM DIAS",IF(K275&lt;12,"ATRASADO","MUITO ATRASADO"))))</f>
        <v>MUITO ATRASADO</v>
      </c>
      <c r="M275" s="39" t="n">
        <v>45448</v>
      </c>
      <c r="N275" s="55" t="n">
        <f aca="false">$B$2-M275</f>
        <v>723</v>
      </c>
      <c r="O275" s="56" t="str">
        <f aca="false">IF(N275&lt;8,"VERIFICADO",IF(N275&lt;15,"VERIFICAR","VERIFICAR URGENTE"))</f>
        <v>VERIFICAR URGENTE</v>
      </c>
      <c r="P275" s="40"/>
      <c r="Q275" s="40"/>
      <c r="R275" s="40"/>
      <c r="S275" s="40"/>
      <c r="T275" s="40"/>
      <c r="U275" s="40"/>
    </row>
    <row r="276" customFormat="false" ht="15.75" hidden="false" customHeight="true" outlineLevel="0" collapsed="false">
      <c r="A276" s="40" t="s">
        <v>742</v>
      </c>
      <c r="B276" s="57" t="n">
        <f aca="false">M276</f>
        <v>45448</v>
      </c>
      <c r="C276" s="34" t="n">
        <v>44885</v>
      </c>
      <c r="D276" s="34" t="n">
        <v>46101</v>
      </c>
      <c r="E276" s="35" t="n">
        <f aca="false">(D276-C276)/7</f>
        <v>173.714285714286</v>
      </c>
      <c r="F276" s="35" t="n">
        <f aca="false">($B$2-C276)/7</f>
        <v>183.714285714286</v>
      </c>
      <c r="G276" s="36" t="n">
        <v>76</v>
      </c>
      <c r="H276" s="36" t="n">
        <v>33</v>
      </c>
      <c r="I276" s="37" t="n">
        <f aca="false">IFERROR(H276/G276,"")</f>
        <v>0.43421052631579</v>
      </c>
      <c r="J276" s="37" t="n">
        <f aca="false">IFERROR(F276/E276,"")</f>
        <v>1.05756578947368</v>
      </c>
      <c r="K276" s="38" t="n">
        <f aca="false">IFERROR(((F276*G276)/E276)-H276,"")</f>
        <v>47.3749999999999</v>
      </c>
      <c r="L276" s="36" t="str">
        <f aca="false">IF(K276&lt;-10,"MUITO ADIANTADO",IF(K276&lt;-6,"ADIANTADO",IF(K276&lt;6,"EM DIAS",IF(K276&lt;12,"ATRASADO","MUITO ATRASADO"))))</f>
        <v>MUITO ATRASADO</v>
      </c>
      <c r="M276" s="39" t="n">
        <v>45448</v>
      </c>
      <c r="N276" s="55" t="n">
        <f aca="false">$B$2-M276</f>
        <v>723</v>
      </c>
      <c r="O276" s="56" t="str">
        <f aca="false">IF(N276&lt;8,"VERIFICADO",IF(N276&lt;15,"VERIFICAR","VERIFICAR URGENTE"))</f>
        <v>VERIFICAR URGENTE</v>
      </c>
      <c r="P276" s="40"/>
      <c r="Q276" s="40"/>
      <c r="R276" s="40"/>
      <c r="S276" s="40"/>
      <c r="T276" s="40"/>
      <c r="U276" s="40"/>
    </row>
    <row r="277" customFormat="false" ht="15.75" hidden="false" customHeight="true" outlineLevel="0" collapsed="false">
      <c r="A277" s="40" t="s">
        <v>743</v>
      </c>
      <c r="B277" s="57" t="n">
        <f aca="false">M277</f>
        <v>45448</v>
      </c>
      <c r="C277" s="34" t="n">
        <v>45084</v>
      </c>
      <c r="D277" s="34" t="n">
        <v>45603</v>
      </c>
      <c r="E277" s="35" t="n">
        <f aca="false">(D277-C277)/7</f>
        <v>74.1428571428571</v>
      </c>
      <c r="F277" s="35" t="n">
        <f aca="false">($B$2-C277)/7</f>
        <v>155.285714285714</v>
      </c>
      <c r="G277" s="36" t="n">
        <v>80</v>
      </c>
      <c r="H277" s="36" t="n">
        <v>40</v>
      </c>
      <c r="I277" s="37" t="n">
        <f aca="false">IFERROR(H277/G277,"")</f>
        <v>0.5</v>
      </c>
      <c r="J277" s="37" t="n">
        <f aca="false">IFERROR(F277/E277,"")</f>
        <v>2.09441233140655</v>
      </c>
      <c r="K277" s="38" t="n">
        <f aca="false">IFERROR(((F277*G277)/E277)-H277,"")</f>
        <v>127.552986512524</v>
      </c>
      <c r="L277" s="36" t="str">
        <f aca="false">IF(K277&lt;-10,"MUITO ADIANTADO",IF(K277&lt;-6,"ADIANTADO",IF(K277&lt;6,"EM DIAS",IF(K277&lt;12,"ATRASADO","MUITO ATRASADO"))))</f>
        <v>MUITO ATRASADO</v>
      </c>
      <c r="M277" s="39" t="n">
        <v>45448</v>
      </c>
      <c r="N277" s="55" t="n">
        <f aca="false">$B$2-M277</f>
        <v>723</v>
      </c>
      <c r="O277" s="56" t="str">
        <f aca="false">IF(N277&lt;8,"VERIFICADO",IF(N277&lt;15,"VERIFICAR","VERIFICAR URGENTE"))</f>
        <v>VERIFICAR URGENTE</v>
      </c>
      <c r="P277" s="40"/>
      <c r="Q277" s="40"/>
      <c r="R277" s="40"/>
      <c r="S277" s="40"/>
      <c r="T277" s="40"/>
      <c r="U277" s="40"/>
    </row>
    <row r="278" customFormat="false" ht="15.75" hidden="false" customHeight="true" outlineLevel="0" collapsed="false">
      <c r="A278" s="40" t="s">
        <v>744</v>
      </c>
      <c r="B278" s="57" t="n">
        <f aca="false">M278</f>
        <v>45454</v>
      </c>
      <c r="C278" s="34" t="n">
        <v>44943</v>
      </c>
      <c r="D278" s="34" t="n">
        <v>45485</v>
      </c>
      <c r="E278" s="35" t="n">
        <f aca="false">(D278-C278)/7</f>
        <v>77.4285714285714</v>
      </c>
      <c r="F278" s="35" t="n">
        <f aca="false">($B$2-C278)/7</f>
        <v>175.428571428571</v>
      </c>
      <c r="G278" s="36" t="n">
        <v>76</v>
      </c>
      <c r="H278" s="36" t="n">
        <v>38</v>
      </c>
      <c r="I278" s="37"/>
      <c r="J278" s="37"/>
      <c r="K278" s="38" t="n">
        <f aca="false">IFERROR(((F278*G278)/E278)-H278,"")</f>
        <v>134.191881918819</v>
      </c>
      <c r="L278" s="36" t="str">
        <f aca="false">IF(K278&lt;-10,"MUITO ADIANTADO",IF(K278&lt;-6,"ADIANTADO",IF(K278&lt;6,"EM DIAS",IF(K278&lt;12,"ATRASADO","MUITO ATRASADO"))))</f>
        <v>MUITO ATRASADO</v>
      </c>
      <c r="M278" s="39" t="n">
        <v>45454</v>
      </c>
      <c r="N278" s="55" t="n">
        <f aca="false">$B$2-M278</f>
        <v>717</v>
      </c>
      <c r="O278" s="56" t="str">
        <f aca="false">IF(N278&lt;8,"VERIFICADO",IF(N278&lt;15,"VERIFICAR","VERIFICAR URGENTE"))</f>
        <v>VERIFICAR URGENTE</v>
      </c>
      <c r="P278" s="40"/>
      <c r="Q278" s="40"/>
      <c r="R278" s="40"/>
      <c r="S278" s="40"/>
      <c r="T278" s="40"/>
      <c r="U278" s="40"/>
    </row>
    <row r="279" customFormat="false" ht="15.75" hidden="false" customHeight="true" outlineLevel="0" collapsed="false">
      <c r="A279" s="40" t="s">
        <v>745</v>
      </c>
      <c r="B279" s="57" t="n">
        <f aca="false">M279</f>
        <v>45447</v>
      </c>
      <c r="C279" s="34" t="n">
        <v>44858</v>
      </c>
      <c r="D279" s="34" t="n">
        <v>46170</v>
      </c>
      <c r="E279" s="35" t="n">
        <f aca="false">(D279-C279)/7</f>
        <v>187.428571428571</v>
      </c>
      <c r="F279" s="35" t="n">
        <f aca="false">($B$2-C279)/7</f>
        <v>187.571428571429</v>
      </c>
      <c r="G279" s="36" t="n">
        <v>257</v>
      </c>
      <c r="H279" s="36" t="n">
        <v>115</v>
      </c>
      <c r="I279" s="37" t="n">
        <f aca="false">IFERROR(H279/G279,"")</f>
        <v>0.447470817120623</v>
      </c>
      <c r="J279" s="37" t="n">
        <f aca="false">IFERROR(F279/E279,"")</f>
        <v>1.00076219512195</v>
      </c>
      <c r="K279" s="38" t="n">
        <f aca="false">IFERROR(((F279*G279)/E279)-H279,"")</f>
        <v>142.195884146342</v>
      </c>
      <c r="L279" s="36" t="str">
        <f aca="false">IF(K279&lt;-10,"MUITO ADIANTADO",IF(K279&lt;-6,"ADIANTADO",IF(K279&lt;6,"EM DIAS",IF(K279&lt;12,"ATRASADO","MUITO ATRASADO"))))</f>
        <v>MUITO ATRASADO</v>
      </c>
      <c r="M279" s="39" t="n">
        <v>45447</v>
      </c>
      <c r="N279" s="55" t="n">
        <f aca="false">$B$2-M279</f>
        <v>724</v>
      </c>
      <c r="O279" s="56" t="str">
        <f aca="false">IF(N279&lt;8,"VERIFICADO",IF(N279&lt;15,"VERIFICAR","VERIFICAR URGENTE"))</f>
        <v>VERIFICAR URGENTE</v>
      </c>
      <c r="P279" s="40"/>
      <c r="Q279" s="40"/>
      <c r="R279" s="40"/>
      <c r="S279" s="40"/>
      <c r="T279" s="40"/>
      <c r="U279" s="40"/>
    </row>
    <row r="280" customFormat="false" ht="15.75" hidden="false" customHeight="true" outlineLevel="0" collapsed="false">
      <c r="A280" s="40" t="s">
        <v>746</v>
      </c>
      <c r="B280" s="57" t="n">
        <f aca="false">M280</f>
        <v>45454</v>
      </c>
      <c r="C280" s="34" t="n">
        <v>45139</v>
      </c>
      <c r="D280" s="34" t="n">
        <v>46741</v>
      </c>
      <c r="E280" s="35" t="n">
        <f aca="false">(D280-C280)/7</f>
        <v>228.857142857143</v>
      </c>
      <c r="F280" s="35" t="n">
        <f aca="false">($B$2-C280)/7</f>
        <v>147.428571428571</v>
      </c>
      <c r="G280" s="36" t="n">
        <v>272</v>
      </c>
      <c r="H280" s="36" t="n">
        <v>51</v>
      </c>
      <c r="I280" s="37" t="n">
        <f aca="false">IFERROR(H280/G280,"")</f>
        <v>0.1875</v>
      </c>
      <c r="J280" s="37" t="n">
        <f aca="false">IFERROR(F280/E280,"")</f>
        <v>0.644194756554307</v>
      </c>
      <c r="K280" s="38" t="n">
        <f aca="false">IFERROR(((F280*G280)/E280)-H280,"")</f>
        <v>124.220973782771</v>
      </c>
      <c r="L280" s="36" t="str">
        <f aca="false">IF(K280&lt;-10,"MUITO ADIANTADO",IF(K280&lt;-6,"ADIANTADO",IF(K280&lt;6,"EM DIAS",IF(K280&lt;12,"ATRASADO","MUITO ATRASADO"))))</f>
        <v>MUITO ATRASADO</v>
      </c>
      <c r="M280" s="39" t="n">
        <v>45454</v>
      </c>
      <c r="N280" s="55" t="n">
        <f aca="false">$B$2-M280</f>
        <v>717</v>
      </c>
      <c r="O280" s="56" t="str">
        <f aca="false">IF(N280&lt;8,"VERIFICADO",IF(N280&lt;15,"VERIFICAR","VERIFICAR URGENTE"))</f>
        <v>VERIFICAR URGENTE</v>
      </c>
      <c r="P280" s="40"/>
      <c r="Q280" s="40"/>
      <c r="R280" s="40"/>
      <c r="S280" s="40"/>
      <c r="T280" s="40"/>
      <c r="U280" s="40"/>
    </row>
    <row r="281" customFormat="false" ht="15.75" hidden="false" customHeight="true" outlineLevel="0" collapsed="false">
      <c r="A281" s="40" t="s">
        <v>747</v>
      </c>
      <c r="B281" s="57" t="n">
        <f aca="false">M281</f>
        <v>45447</v>
      </c>
      <c r="C281" s="34" t="n">
        <v>44854</v>
      </c>
      <c r="D281" s="34" t="n">
        <v>46132</v>
      </c>
      <c r="E281" s="35" t="n">
        <f aca="false">(D281-C281)/7</f>
        <v>182.571428571429</v>
      </c>
      <c r="F281" s="35" t="n">
        <f aca="false">($B$2-C281)/7</f>
        <v>188.142857142857</v>
      </c>
      <c r="G281" s="36" t="n">
        <v>257</v>
      </c>
      <c r="H281" s="36" t="n">
        <v>91</v>
      </c>
      <c r="I281" s="37" t="n">
        <f aca="false">IFERROR(H281/G281,"")</f>
        <v>0.354085603112841</v>
      </c>
      <c r="J281" s="37" t="n">
        <f aca="false">IFERROR(F281/E281,"")</f>
        <v>1.03051643192488</v>
      </c>
      <c r="K281" s="38" t="n">
        <f aca="false">IFERROR(((F281*G281)/E281)-H281,"")</f>
        <v>173.842723004694</v>
      </c>
      <c r="L281" s="36" t="str">
        <f aca="false">IF(K281&lt;-10,"MUITO ADIANTADO",IF(K281&lt;-6,"ADIANTADO",IF(K281&lt;6,"EM DIAS",IF(K281&lt;12,"ATRASADO","MUITO ATRASADO"))))</f>
        <v>MUITO ATRASADO</v>
      </c>
      <c r="M281" s="39" t="n">
        <v>45447</v>
      </c>
      <c r="N281" s="55" t="n">
        <f aca="false">$B$2-M281</f>
        <v>724</v>
      </c>
      <c r="O281" s="56" t="str">
        <f aca="false">IF(N281&lt;8,"VERIFICADO",IF(N281&lt;15,"VERIFICAR","VERIFICAR URGENTE"))</f>
        <v>VERIFICAR URGENTE</v>
      </c>
      <c r="P281" s="40"/>
      <c r="Q281" s="40"/>
      <c r="R281" s="40"/>
      <c r="S281" s="40"/>
      <c r="T281" s="40"/>
      <c r="U281" s="40"/>
    </row>
    <row r="282" customFormat="false" ht="15.75" hidden="false" customHeight="true" outlineLevel="0" collapsed="false">
      <c r="A282" s="40" t="s">
        <v>748</v>
      </c>
      <c r="B282" s="57" t="n">
        <f aca="false">M282</f>
        <v>45453</v>
      </c>
      <c r="C282" s="34" t="n">
        <v>45248</v>
      </c>
      <c r="D282" s="34" t="n">
        <v>46132</v>
      </c>
      <c r="E282" s="35" t="n">
        <f aca="false">(D282-C282)/7</f>
        <v>126.285714285714</v>
      </c>
      <c r="F282" s="35" t="n">
        <f aca="false">($B$2-C282)/7</f>
        <v>131.857142857143</v>
      </c>
      <c r="G282" s="36" t="n">
        <v>128</v>
      </c>
      <c r="H282" s="36" t="n">
        <v>25</v>
      </c>
      <c r="I282" s="37"/>
      <c r="J282" s="37"/>
      <c r="K282" s="38" t="n">
        <f aca="false">IFERROR(((F282*G282)/E282)-H282,"")</f>
        <v>108.64705882353</v>
      </c>
      <c r="L282" s="36" t="str">
        <f aca="false">IF(K282&lt;-10,"MUITO ADIANTADO",IF(K282&lt;-6,"ADIANTADO",IF(K282&lt;6,"EM DIAS",IF(K282&lt;12,"ATRASADO","MUITO ATRASADO"))))</f>
        <v>MUITO ATRASADO</v>
      </c>
      <c r="M282" s="39" t="n">
        <v>45453</v>
      </c>
      <c r="N282" s="55" t="n">
        <f aca="false">$B$2-M282</f>
        <v>718</v>
      </c>
      <c r="O282" s="56" t="str">
        <f aca="false">IF(N282&lt;8,"VERIFICADO",IF(N282&lt;15,"VERIFICAR","VERIFICAR URGENTE"))</f>
        <v>VERIFICAR URGENTE</v>
      </c>
      <c r="P282" s="40"/>
      <c r="Q282" s="40"/>
      <c r="R282" s="40"/>
      <c r="S282" s="40"/>
      <c r="T282" s="40"/>
      <c r="U282" s="40"/>
    </row>
    <row r="283" customFormat="false" ht="15.75" hidden="false" customHeight="true" outlineLevel="0" collapsed="false">
      <c r="A283" s="40" t="s">
        <v>749</v>
      </c>
      <c r="B283" s="57" t="n">
        <f aca="false">M283</f>
        <v>45447</v>
      </c>
      <c r="C283" s="34" t="n">
        <v>44938</v>
      </c>
      <c r="D283" s="34" t="n">
        <v>45771</v>
      </c>
      <c r="E283" s="35" t="n">
        <f aca="false">(D283-C283)/7</f>
        <v>119</v>
      </c>
      <c r="F283" s="35" t="n">
        <f aca="false">($B$2-C283)/7</f>
        <v>176.142857142857</v>
      </c>
      <c r="G283" s="36" t="n">
        <v>145</v>
      </c>
      <c r="H283" s="36" t="n">
        <v>80</v>
      </c>
      <c r="I283" s="37" t="n">
        <f aca="false">IFERROR(H283/G283,"")</f>
        <v>0.551724137931035</v>
      </c>
      <c r="J283" s="37" t="n">
        <f aca="false">IFERROR(F283/E283,"")</f>
        <v>1.48019207683073</v>
      </c>
      <c r="K283" s="38" t="n">
        <f aca="false">IFERROR(((F283*G283)/E283)-H283,"")</f>
        <v>134.627851140456</v>
      </c>
      <c r="L283" s="36" t="str">
        <f aca="false">IF(K283&lt;-10,"MUITO ADIANTADO",IF(K283&lt;-6,"ADIANTADO",IF(K283&lt;6,"EM DIAS",IF(K283&lt;12,"ATRASADO","MUITO ATRASADO"))))</f>
        <v>MUITO ATRASADO</v>
      </c>
      <c r="M283" s="39" t="n">
        <v>45447</v>
      </c>
      <c r="N283" s="55" t="n">
        <f aca="false">$B$2-M283</f>
        <v>724</v>
      </c>
      <c r="O283" s="56" t="str">
        <f aca="false">IF(N283&lt;8,"VERIFICADO",IF(N283&lt;15,"VERIFICAR","VERIFICAR URGENTE"))</f>
        <v>VERIFICAR URGENTE</v>
      </c>
      <c r="P283" s="40"/>
      <c r="Q283" s="40"/>
      <c r="R283" s="40"/>
      <c r="S283" s="40"/>
      <c r="T283" s="40"/>
      <c r="U283" s="40"/>
    </row>
    <row r="284" customFormat="false" ht="15.75" hidden="false" customHeight="true" outlineLevel="0" collapsed="false">
      <c r="A284" s="40" t="s">
        <v>750</v>
      </c>
      <c r="B284" s="57" t="n">
        <f aca="false">M284</f>
        <v>45447</v>
      </c>
      <c r="C284" s="34" t="n">
        <v>45119</v>
      </c>
      <c r="D284" s="34" t="n">
        <v>45620</v>
      </c>
      <c r="E284" s="35" t="n">
        <f aca="false">(D284-C284)/7</f>
        <v>71.5714285714286</v>
      </c>
      <c r="F284" s="35" t="n">
        <f aca="false">($B$2-C284)/7</f>
        <v>150.285714285714</v>
      </c>
      <c r="G284" s="36" t="n">
        <v>80</v>
      </c>
      <c r="H284" s="36" t="n">
        <v>56</v>
      </c>
      <c r="I284" s="37" t="n">
        <f aca="false">IFERROR(H284/G284,"")</f>
        <v>0.7</v>
      </c>
      <c r="J284" s="37" t="n">
        <f aca="false">IFERROR(F284/E284,"")</f>
        <v>2.0998003992016</v>
      </c>
      <c r="K284" s="38" t="n">
        <f aca="false">IFERROR(((F284*G284)/E284)-H284,"")</f>
        <v>111.984031936128</v>
      </c>
      <c r="L284" s="36" t="str">
        <f aca="false">IF(K284&lt;-10,"MUITO ADIANTADO",IF(K284&lt;-6,"ADIANTADO",IF(K284&lt;6,"EM DIAS",IF(K284&lt;12,"ATRASADO","MUITO ATRASADO"))))</f>
        <v>MUITO ATRASADO</v>
      </c>
      <c r="M284" s="39" t="n">
        <v>45447</v>
      </c>
      <c r="N284" s="55" t="n">
        <f aca="false">$B$2-M284</f>
        <v>724</v>
      </c>
      <c r="O284" s="56" t="str">
        <f aca="false">IF(N284&lt;8,"VERIFICADO",IF(N284&lt;15,"VERIFICAR","VERIFICAR URGENTE"))</f>
        <v>VERIFICAR URGENTE</v>
      </c>
      <c r="P284" s="40"/>
      <c r="Q284" s="40"/>
      <c r="R284" s="40"/>
      <c r="S284" s="40"/>
      <c r="T284" s="40"/>
      <c r="U284" s="40"/>
    </row>
    <row r="285" customFormat="false" ht="15.75" hidden="false" customHeight="true" outlineLevel="0" collapsed="false">
      <c r="A285" s="40" t="s">
        <v>751</v>
      </c>
      <c r="B285" s="57" t="n">
        <f aca="false">M285</f>
        <v>45454</v>
      </c>
      <c r="C285" s="34" t="n">
        <v>45188</v>
      </c>
      <c r="D285" s="34" t="n">
        <v>45708</v>
      </c>
      <c r="E285" s="35" t="n">
        <f aca="false">(D285-C285)/7</f>
        <v>74.2857142857143</v>
      </c>
      <c r="F285" s="35" t="n">
        <f aca="false">($B$2-C285)/7</f>
        <v>140.428571428571</v>
      </c>
      <c r="G285" s="36" t="n">
        <v>80</v>
      </c>
      <c r="H285" s="36" t="n">
        <v>36</v>
      </c>
      <c r="I285" s="37"/>
      <c r="J285" s="37"/>
      <c r="K285" s="38" t="n">
        <f aca="false">IFERROR(((F285*G285)/E285)-H285,"")</f>
        <v>115.230769230769</v>
      </c>
      <c r="L285" s="36" t="str">
        <f aca="false">IF(K285&lt;-10,"MUITO ADIANTADO",IF(K285&lt;-6,"ADIANTADO",IF(K285&lt;6,"EM DIAS",IF(K285&lt;12,"ATRASADO","MUITO ATRASADO"))))</f>
        <v>MUITO ATRASADO</v>
      </c>
      <c r="M285" s="39" t="n">
        <v>45454</v>
      </c>
      <c r="N285" s="55" t="n">
        <f aca="false">$B$2-M285</f>
        <v>717</v>
      </c>
      <c r="O285" s="56" t="str">
        <f aca="false">IF(N285&lt;8,"VERIFICADO",IF(N285&lt;15,"VERIFICAR","VERIFICAR URGENTE"))</f>
        <v>VERIFICAR URGENTE</v>
      </c>
      <c r="P285" s="40"/>
      <c r="Q285" s="40"/>
      <c r="R285" s="40"/>
      <c r="S285" s="40"/>
      <c r="T285" s="40"/>
      <c r="U285" s="40"/>
    </row>
    <row r="286" customFormat="false" ht="15.75" hidden="false" customHeight="true" outlineLevel="0" collapsed="false">
      <c r="A286" s="40" t="s">
        <v>446</v>
      </c>
      <c r="B286" s="57" t="n">
        <f aca="false">M286</f>
        <v>45451</v>
      </c>
      <c r="C286" s="34" t="n">
        <v>45278</v>
      </c>
      <c r="D286" s="34" t="n">
        <v>46374</v>
      </c>
      <c r="E286" s="35" t="n">
        <f aca="false">(D286-C286)/7</f>
        <v>156.571428571429</v>
      </c>
      <c r="F286" s="35" t="n">
        <f aca="false">($B$2-C286)/7</f>
        <v>127.571428571429</v>
      </c>
      <c r="G286" s="36" t="n">
        <v>160</v>
      </c>
      <c r="H286" s="36" t="n">
        <v>34</v>
      </c>
      <c r="I286" s="37"/>
      <c r="J286" s="37"/>
      <c r="K286" s="38" t="n">
        <f aca="false">IFERROR(((F286*G286)/E286)-H286,"")</f>
        <v>96.3649635036493</v>
      </c>
      <c r="L286" s="36" t="str">
        <f aca="false">IF(K286&lt;-10,"MUITO ADIANTADO",IF(K286&lt;-6,"ADIANTADO",IF(K286&lt;6,"EM DIAS",IF(K286&lt;12,"ATRASADO","MUITO ATRASADO"))))</f>
        <v>MUITO ATRASADO</v>
      </c>
      <c r="M286" s="39" t="n">
        <v>45451</v>
      </c>
      <c r="N286" s="55" t="n">
        <f aca="false">$B$2-M286</f>
        <v>720</v>
      </c>
      <c r="O286" s="56" t="str">
        <f aca="false">IF(N286&lt;8,"VERIFICADO",IF(N286&lt;15,"VERIFICAR","VERIFICAR URGENTE"))</f>
        <v>VERIFICAR URGENTE</v>
      </c>
      <c r="P286" s="40"/>
      <c r="Q286" s="40"/>
      <c r="R286" s="40"/>
      <c r="S286" s="40"/>
      <c r="T286" s="40"/>
      <c r="U286" s="40"/>
    </row>
    <row r="287" customFormat="false" ht="15.75" hidden="false" customHeight="true" outlineLevel="0" collapsed="false">
      <c r="A287" s="40" t="s">
        <v>752</v>
      </c>
      <c r="B287" s="57" t="n">
        <f aca="false">M287</f>
        <v>45454</v>
      </c>
      <c r="C287" s="34" t="n">
        <v>44732</v>
      </c>
      <c r="D287" s="34" t="n">
        <v>45889</v>
      </c>
      <c r="E287" s="35" t="n">
        <f aca="false">(D287-C287)/7</f>
        <v>165.285714285714</v>
      </c>
      <c r="F287" s="35" t="n">
        <f aca="false">($B$2-C287)/7</f>
        <v>205.571428571429</v>
      </c>
      <c r="G287" s="36" t="n">
        <v>267</v>
      </c>
      <c r="H287" s="36" t="n">
        <v>146</v>
      </c>
      <c r="I287" s="37" t="n">
        <f aca="false">IFERROR(H287/G287,"")</f>
        <v>0.546816479400749</v>
      </c>
      <c r="J287" s="37" t="n">
        <f aca="false">IFERROR(F287/E287,"")</f>
        <v>1.24373379429559</v>
      </c>
      <c r="K287" s="38" t="n">
        <f aca="false">IFERROR(((F287*G287)/E287)-H287,"")</f>
        <v>186.076923076924</v>
      </c>
      <c r="L287" s="36" t="str">
        <f aca="false">IF(K287&lt;-10,"MUITO ADIANTADO",IF(K287&lt;-6,"ADIANTADO",IF(K287&lt;6,"EM DIAS",IF(K287&lt;12,"ATRASADO","MUITO ATRASADO"))))</f>
        <v>MUITO ATRASADO</v>
      </c>
      <c r="M287" s="39" t="n">
        <v>45454</v>
      </c>
      <c r="N287" s="55" t="n">
        <f aca="false">$B$2-M287</f>
        <v>717</v>
      </c>
      <c r="O287" s="56" t="str">
        <f aca="false">IF(N287&lt;8,"VERIFICADO",IF(N287&lt;15,"VERIFICAR","VERIFICAR URGENTE"))</f>
        <v>VERIFICAR URGENTE</v>
      </c>
      <c r="P287" s="40"/>
      <c r="Q287" s="40"/>
      <c r="R287" s="40"/>
      <c r="S287" s="40"/>
      <c r="T287" s="40"/>
      <c r="U287" s="40"/>
    </row>
    <row r="288" customFormat="false" ht="15.75" hidden="false" customHeight="true" outlineLevel="0" collapsed="false">
      <c r="A288" s="40" t="s">
        <v>753</v>
      </c>
      <c r="B288" s="57" t="n">
        <f aca="false">M288</f>
        <v>45447</v>
      </c>
      <c r="C288" s="34" t="n">
        <v>45048</v>
      </c>
      <c r="D288" s="34" t="n">
        <v>45547</v>
      </c>
      <c r="E288" s="35" t="n">
        <f aca="false">(D288-C288)/7</f>
        <v>71.2857142857143</v>
      </c>
      <c r="F288" s="35" t="n">
        <f aca="false">($B$2-C288)/7</f>
        <v>160.428571428571</v>
      </c>
      <c r="G288" s="36" t="n">
        <v>80</v>
      </c>
      <c r="H288" s="36" t="n">
        <v>34</v>
      </c>
      <c r="I288" s="37" t="n">
        <f aca="false">IFERROR(H288/G288,"")</f>
        <v>0.425</v>
      </c>
      <c r="J288" s="37" t="n">
        <f aca="false">IFERROR(F288/E288,"")</f>
        <v>2.25050100200401</v>
      </c>
      <c r="K288" s="38" t="n">
        <f aca="false">IFERROR(((F288*G288)/E288)-H288,"")</f>
        <v>146.040080160321</v>
      </c>
      <c r="L288" s="36" t="str">
        <f aca="false">IF(K288&lt;-10,"MUITO ADIANTADO",IF(K288&lt;-6,"ADIANTADO",IF(K288&lt;6,"EM DIAS",IF(K288&lt;12,"ATRASADO","MUITO ATRASADO"))))</f>
        <v>MUITO ATRASADO</v>
      </c>
      <c r="M288" s="39" t="n">
        <v>45447</v>
      </c>
      <c r="N288" s="55" t="n">
        <f aca="false">$B$2-M288</f>
        <v>724</v>
      </c>
      <c r="O288" s="56" t="str">
        <f aca="false">IF(N288&lt;8,"VERIFICADO",IF(N288&lt;15,"VERIFICAR","VERIFICAR URGENTE"))</f>
        <v>VERIFICAR URGENTE</v>
      </c>
      <c r="P288" s="40"/>
      <c r="Q288" s="40"/>
      <c r="R288" s="40"/>
      <c r="S288" s="40"/>
      <c r="T288" s="40"/>
      <c r="U288" s="40"/>
    </row>
    <row r="289" customFormat="false" ht="15.75" hidden="false" customHeight="true" outlineLevel="0" collapsed="false">
      <c r="A289" s="40" t="s">
        <v>754</v>
      </c>
      <c r="B289" s="57" t="n">
        <f aca="false">M289</f>
        <v>45454</v>
      </c>
      <c r="C289" s="34" t="n">
        <v>44957</v>
      </c>
      <c r="D289" s="34" t="n">
        <v>45458</v>
      </c>
      <c r="E289" s="35" t="n">
        <f aca="false">(D289-C289)/7</f>
        <v>71.5714285714286</v>
      </c>
      <c r="F289" s="35" t="n">
        <f aca="false">($B$2-C289)/7</f>
        <v>173.428571428571</v>
      </c>
      <c r="G289" s="36" t="n">
        <v>76</v>
      </c>
      <c r="H289" s="36" t="n">
        <v>80</v>
      </c>
      <c r="I289" s="37" t="n">
        <f aca="false">IFERROR(H289/G289,"")</f>
        <v>1.05263157894737</v>
      </c>
      <c r="J289" s="37" t="n">
        <f aca="false">IFERROR(F289/E289,"")</f>
        <v>2.42315369261477</v>
      </c>
      <c r="K289" s="38" t="n">
        <f aca="false">IFERROR(((F289*G289)/E289)-H289,"")</f>
        <v>104.159680638722</v>
      </c>
      <c r="L289" s="36" t="str">
        <f aca="false">IF(K289&lt;-10,"MUITO ADIANTADO",IF(K289&lt;-6,"ADIANTADO",IF(K289&lt;6,"EM DIAS",IF(K289&lt;12,"ATRASADO","MUITO ATRASADO"))))</f>
        <v>MUITO ATRASADO</v>
      </c>
      <c r="M289" s="39" t="n">
        <v>45454</v>
      </c>
      <c r="N289" s="55" t="n">
        <f aca="false">$B$2-M289</f>
        <v>717</v>
      </c>
      <c r="O289" s="56" t="str">
        <f aca="false">IF(N289&lt;8,"VERIFICADO",IF(N289&lt;15,"VERIFICAR","VERIFICAR URGENTE"))</f>
        <v>VERIFICAR URGENTE</v>
      </c>
      <c r="P289" s="40"/>
      <c r="Q289" s="40"/>
      <c r="R289" s="40"/>
      <c r="S289" s="40"/>
      <c r="T289" s="40"/>
      <c r="U289" s="40"/>
    </row>
    <row r="290" customFormat="false" ht="15.75" hidden="false" customHeight="true" outlineLevel="0" collapsed="false">
      <c r="A290" s="40" t="s">
        <v>755</v>
      </c>
      <c r="B290" s="57" t="n">
        <f aca="false">M290</f>
        <v>45447</v>
      </c>
      <c r="C290" s="34" t="n">
        <v>45094</v>
      </c>
      <c r="D290" s="34" t="n">
        <v>45724</v>
      </c>
      <c r="E290" s="35" t="n">
        <f aca="false">(D290-C290)/7</f>
        <v>90</v>
      </c>
      <c r="F290" s="35" t="n">
        <f aca="false">($B$2-C290)/7</f>
        <v>153.857142857143</v>
      </c>
      <c r="G290" s="36" t="n">
        <v>80</v>
      </c>
      <c r="H290" s="36" t="n">
        <v>36</v>
      </c>
      <c r="I290" s="37" t="n">
        <f aca="false">IFERROR(H290/G290,"")</f>
        <v>0.45</v>
      </c>
      <c r="J290" s="37" t="n">
        <f aca="false">IFERROR(F290/E290,"")</f>
        <v>1.70952380952381</v>
      </c>
      <c r="K290" s="38" t="n">
        <f aca="false">IFERROR(((F290*G290)/E290)-H290,"")</f>
        <v>100.761904761905</v>
      </c>
      <c r="L290" s="36" t="str">
        <f aca="false">IF(K290&lt;-10,"MUITO ADIANTADO",IF(K290&lt;-6,"ADIANTADO",IF(K290&lt;6,"EM DIAS",IF(K290&lt;12,"ATRASADO","MUITO ATRASADO"))))</f>
        <v>MUITO ATRASADO</v>
      </c>
      <c r="M290" s="39" t="n">
        <v>45447</v>
      </c>
      <c r="N290" s="55" t="n">
        <f aca="false">$B$2-M290</f>
        <v>724</v>
      </c>
      <c r="O290" s="56" t="str">
        <f aca="false">IF(N290&lt;8,"VERIFICADO",IF(N290&lt;15,"VERIFICAR","VERIFICAR URGENTE"))</f>
        <v>VERIFICAR URGENTE</v>
      </c>
      <c r="P290" s="40"/>
      <c r="Q290" s="40"/>
      <c r="R290" s="40"/>
      <c r="S290" s="40"/>
      <c r="T290" s="40"/>
      <c r="U290" s="40"/>
    </row>
    <row r="291" customFormat="false" ht="15.75" hidden="false" customHeight="true" outlineLevel="0" collapsed="false">
      <c r="A291" s="40" t="s">
        <v>756</v>
      </c>
      <c r="B291" s="57" t="n">
        <f aca="false">M291</f>
        <v>45447</v>
      </c>
      <c r="C291" s="34" t="n">
        <v>45051</v>
      </c>
      <c r="D291" s="34" t="n">
        <v>45789</v>
      </c>
      <c r="E291" s="35" t="n">
        <f aca="false">(D291-C291)/7</f>
        <v>105.428571428571</v>
      </c>
      <c r="F291" s="35" t="n">
        <f aca="false">($B$2-C291)/7</f>
        <v>160</v>
      </c>
      <c r="G291" s="36" t="n">
        <v>92</v>
      </c>
      <c r="H291" s="36" t="n">
        <v>35</v>
      </c>
      <c r="I291" s="37" t="n">
        <f aca="false">IFERROR(H291/G291,"")</f>
        <v>0.380434782608696</v>
      </c>
      <c r="J291" s="37" t="n">
        <f aca="false">IFERROR(F291/E291,"")</f>
        <v>1.51761517615177</v>
      </c>
      <c r="K291" s="38" t="n">
        <f aca="false">IFERROR(((F291*G291)/E291)-H291,"")</f>
        <v>104.620596205963</v>
      </c>
      <c r="L291" s="36" t="str">
        <f aca="false">IF(K291&lt;-10,"MUITO ADIANTADO",IF(K291&lt;-6,"ADIANTADO",IF(K291&lt;6,"EM DIAS",IF(K291&lt;12,"ATRASADO","MUITO ATRASADO"))))</f>
        <v>MUITO ATRASADO</v>
      </c>
      <c r="M291" s="39" t="n">
        <v>45447</v>
      </c>
      <c r="N291" s="55" t="n">
        <f aca="false">$B$2-M291</f>
        <v>724</v>
      </c>
      <c r="O291" s="56" t="str">
        <f aca="false">IF(N291&lt;8,"VERIFICADO",IF(N291&lt;15,"VERIFICAR","VERIFICAR URGENTE"))</f>
        <v>VERIFICAR URGENTE</v>
      </c>
      <c r="P291" s="40"/>
      <c r="Q291" s="40"/>
      <c r="R291" s="40"/>
      <c r="S291" s="40"/>
      <c r="T291" s="40"/>
      <c r="U291" s="40"/>
    </row>
    <row r="292" customFormat="false" ht="15.75" hidden="false" customHeight="true" outlineLevel="0" collapsed="false">
      <c r="A292" s="40" t="s">
        <v>757</v>
      </c>
      <c r="B292" s="57" t="n">
        <f aca="false">M292</f>
        <v>45454</v>
      </c>
      <c r="C292" s="34" t="n">
        <v>45160</v>
      </c>
      <c r="D292" s="34" t="n">
        <v>46774</v>
      </c>
      <c r="E292" s="35" t="n">
        <f aca="false">(D292-C292)/7</f>
        <v>230.571428571429</v>
      </c>
      <c r="F292" s="35" t="n">
        <f aca="false">($B$2-C292)/7</f>
        <v>144.428571428571</v>
      </c>
      <c r="G292" s="36" t="n">
        <v>256</v>
      </c>
      <c r="H292" s="36" t="n">
        <v>44</v>
      </c>
      <c r="I292" s="37"/>
      <c r="J292" s="37"/>
      <c r="K292" s="38" t="n">
        <f aca="false">IFERROR(((F292*G292)/E292)-H292,"")</f>
        <v>116.35687732342</v>
      </c>
      <c r="L292" s="36" t="str">
        <f aca="false">IF(K292&lt;-10,"MUITO ADIANTADO",IF(K292&lt;-6,"ADIANTADO",IF(K292&lt;6,"EM DIAS",IF(K292&lt;12,"ATRASADO","MUITO ATRASADO"))))</f>
        <v>MUITO ATRASADO</v>
      </c>
      <c r="M292" s="39" t="n">
        <v>45454</v>
      </c>
      <c r="N292" s="55" t="n">
        <f aca="false">$B$2-M292</f>
        <v>717</v>
      </c>
      <c r="O292" s="56" t="str">
        <f aca="false">IF(N292&lt;8,"VERIFICADO",IF(N292&lt;15,"VERIFICAR","VERIFICAR URGENTE"))</f>
        <v>VERIFICAR URGENTE</v>
      </c>
      <c r="P292" s="40"/>
      <c r="Q292" s="40"/>
      <c r="R292" s="40"/>
      <c r="S292" s="40"/>
      <c r="T292" s="40"/>
      <c r="U292" s="40"/>
    </row>
    <row r="293" customFormat="false" ht="15.75" hidden="false" customHeight="true" outlineLevel="0" collapsed="false">
      <c r="A293" s="40" t="s">
        <v>758</v>
      </c>
      <c r="B293" s="57" t="n">
        <f aca="false">M293</f>
        <v>45454</v>
      </c>
      <c r="C293" s="34" t="n">
        <v>44963</v>
      </c>
      <c r="D293" s="34" t="n">
        <v>46198</v>
      </c>
      <c r="E293" s="35" t="n">
        <f aca="false">(D293-C293)/7</f>
        <v>176.428571428571</v>
      </c>
      <c r="F293" s="35" t="n">
        <f aca="false">($B$2-C293)/7</f>
        <v>172.571428571429</v>
      </c>
      <c r="G293" s="36" t="n">
        <v>188</v>
      </c>
      <c r="H293" s="36" t="n">
        <v>56</v>
      </c>
      <c r="I293" s="37" t="n">
        <f aca="false">IFERROR(H293/G293,"")</f>
        <v>0.297872340425532</v>
      </c>
      <c r="J293" s="37" t="n">
        <f aca="false">IFERROR(F293/E293,"")</f>
        <v>0.978137651821865</v>
      </c>
      <c r="K293" s="38" t="n">
        <f aca="false">IFERROR(((F293*G293)/E293)-H293,"")</f>
        <v>127.889878542511</v>
      </c>
      <c r="L293" s="36" t="str">
        <f aca="false">IF(K293&lt;-10,"MUITO ADIANTADO",IF(K293&lt;-6,"ADIANTADO",IF(K293&lt;6,"EM DIAS",IF(K293&lt;12,"ATRASADO","MUITO ATRASADO"))))</f>
        <v>MUITO ATRASADO</v>
      </c>
      <c r="M293" s="39" t="n">
        <v>45454</v>
      </c>
      <c r="N293" s="55" t="n">
        <f aca="false">$B$2-M293</f>
        <v>717</v>
      </c>
      <c r="O293" s="56" t="str">
        <f aca="false">IF(N293&lt;8,"VERIFICADO",IF(N293&lt;15,"VERIFICAR","VERIFICAR URGENTE"))</f>
        <v>VERIFICAR URGENTE</v>
      </c>
      <c r="P293" s="40"/>
      <c r="Q293" s="40"/>
      <c r="R293" s="40"/>
      <c r="S293" s="40"/>
      <c r="T293" s="40"/>
      <c r="U293" s="40"/>
    </row>
    <row r="294" customFormat="false" ht="15.75" hidden="false" customHeight="true" outlineLevel="0" collapsed="false">
      <c r="A294" s="40" t="s">
        <v>759</v>
      </c>
      <c r="B294" s="57" t="n">
        <f aca="false">M294</f>
        <v>45454</v>
      </c>
      <c r="C294" s="34" t="n">
        <v>44945</v>
      </c>
      <c r="D294" s="34" t="n">
        <v>46494</v>
      </c>
      <c r="E294" s="35" t="n">
        <f aca="false">(D294-C294)/7</f>
        <v>221.285714285714</v>
      </c>
      <c r="F294" s="35" t="n">
        <f aca="false">($B$2-C294)/7</f>
        <v>175.142857142857</v>
      </c>
      <c r="G294" s="36" t="n">
        <v>253</v>
      </c>
      <c r="H294" s="36" t="n">
        <v>48</v>
      </c>
      <c r="I294" s="37"/>
      <c r="J294" s="37"/>
      <c r="K294" s="38" t="n">
        <f aca="false">IFERROR(((F294*G294)/E294)-H294,"")</f>
        <v>152.244028405423</v>
      </c>
      <c r="L294" s="36" t="str">
        <f aca="false">IF(K294&lt;-10,"MUITO ADIANTADO",IF(K294&lt;-6,"ADIANTADO",IF(K294&lt;6,"EM DIAS",IF(K294&lt;12,"ATRASADO","MUITO ATRASADO"))))</f>
        <v>MUITO ATRASADO</v>
      </c>
      <c r="M294" s="39" t="n">
        <v>45454</v>
      </c>
      <c r="N294" s="55" t="n">
        <f aca="false">$B$2-M294</f>
        <v>717</v>
      </c>
      <c r="O294" s="56" t="str">
        <f aca="false">IF(N294&lt;8,"VERIFICADO",IF(N294&lt;15,"VERIFICAR","VERIFICAR URGENTE"))</f>
        <v>VERIFICAR URGENTE</v>
      </c>
      <c r="P294" s="40"/>
      <c r="Q294" s="40"/>
      <c r="R294" s="40"/>
      <c r="S294" s="40"/>
      <c r="T294" s="40"/>
      <c r="U294" s="40"/>
    </row>
    <row r="295" customFormat="false" ht="15.75" hidden="false" customHeight="true" outlineLevel="0" collapsed="false">
      <c r="A295" s="40" t="s">
        <v>121</v>
      </c>
      <c r="B295" s="57" t="n">
        <f aca="false">M295</f>
        <v>45448</v>
      </c>
      <c r="C295" s="34" t="n">
        <v>44783</v>
      </c>
      <c r="D295" s="34" t="n">
        <v>46223</v>
      </c>
      <c r="E295" s="35" t="n">
        <f aca="false">(D295-C295)/7</f>
        <v>205.714285714286</v>
      </c>
      <c r="F295" s="35" t="n">
        <f aca="false">($B$2-C295)/7</f>
        <v>198.285714285714</v>
      </c>
      <c r="G295" s="36" t="n">
        <v>251</v>
      </c>
      <c r="H295" s="36" t="n">
        <v>81</v>
      </c>
      <c r="I295" s="37" t="n">
        <f aca="false">IFERROR(H295/G295,"")</f>
        <v>0.322709163346614</v>
      </c>
      <c r="J295" s="37" t="n">
        <f aca="false">IFERROR(F295/E295,"")</f>
        <v>0.963888888888888</v>
      </c>
      <c r="K295" s="38" t="n">
        <f aca="false">IFERROR(((F295*G295)/E295)-H295,"")</f>
        <v>160.936111111111</v>
      </c>
      <c r="L295" s="36" t="str">
        <f aca="false">IF(K295&lt;-10,"MUITO ADIANTADO",IF(K295&lt;-6,"ADIANTADO",IF(K295&lt;6,"EM DIAS",IF(K295&lt;12,"ATRASADO","MUITO ATRASADO"))))</f>
        <v>MUITO ATRASADO</v>
      </c>
      <c r="M295" s="39" t="n">
        <v>45448</v>
      </c>
      <c r="N295" s="55" t="n">
        <f aca="false">$B$2-M295</f>
        <v>723</v>
      </c>
      <c r="O295" s="56" t="str">
        <f aca="false">IF(N295&lt;8,"VERIFICADO",IF(N295&lt;15,"VERIFICAR","VERIFICAR URGENTE"))</f>
        <v>VERIFICAR URGENTE</v>
      </c>
      <c r="P295" s="40"/>
      <c r="Q295" s="40"/>
      <c r="R295" s="40"/>
      <c r="S295" s="40"/>
      <c r="T295" s="40"/>
      <c r="U295" s="40"/>
    </row>
    <row r="296" customFormat="false" ht="15.75" hidden="false" customHeight="true" outlineLevel="0" collapsed="false">
      <c r="A296" s="40" t="s">
        <v>760</v>
      </c>
      <c r="B296" s="57" t="n">
        <f aca="false">M296</f>
        <v>45448</v>
      </c>
      <c r="C296" s="34" t="n">
        <v>45146</v>
      </c>
      <c r="D296" s="34" t="n">
        <v>45647</v>
      </c>
      <c r="E296" s="35" t="n">
        <f aca="false">(D296-C296)/7</f>
        <v>71.5714285714286</v>
      </c>
      <c r="F296" s="35" t="n">
        <f aca="false">($B$2-C296)/7</f>
        <v>146.428571428571</v>
      </c>
      <c r="G296" s="36" t="n">
        <v>80</v>
      </c>
      <c r="H296" s="36" t="n">
        <v>59</v>
      </c>
      <c r="I296" s="37"/>
      <c r="J296" s="37"/>
      <c r="K296" s="38" t="n">
        <f aca="false">IFERROR(((F296*G296)/E296)-H296,"")</f>
        <v>104.672654690619</v>
      </c>
      <c r="L296" s="36" t="str">
        <f aca="false">IF(K296&lt;-10,"MUITO ADIANTADO",IF(K296&lt;-6,"ADIANTADO",IF(K296&lt;6,"EM DIAS",IF(K296&lt;12,"ATRASADO","MUITO ATRASADO"))))</f>
        <v>MUITO ATRASADO</v>
      </c>
      <c r="M296" s="39" t="n">
        <v>45448</v>
      </c>
      <c r="N296" s="55" t="n">
        <f aca="false">$B$2-M296</f>
        <v>723</v>
      </c>
      <c r="O296" s="56" t="str">
        <f aca="false">IF(N296&lt;8,"VERIFICADO",IF(N296&lt;15,"VERIFICAR","VERIFICAR URGENTE"))</f>
        <v>VERIFICAR URGENTE</v>
      </c>
      <c r="P296" s="40"/>
      <c r="Q296" s="40"/>
      <c r="R296" s="40"/>
      <c r="S296" s="40"/>
      <c r="T296" s="40"/>
      <c r="U296" s="40"/>
    </row>
    <row r="297" customFormat="false" ht="15.75" hidden="false" customHeight="true" outlineLevel="0" collapsed="false">
      <c r="A297" s="41" t="s">
        <v>198</v>
      </c>
      <c r="B297" s="57" t="n">
        <f aca="false">M297</f>
        <v>45454</v>
      </c>
      <c r="C297" s="34" t="n">
        <v>45153</v>
      </c>
      <c r="D297" s="34" t="n">
        <v>46772</v>
      </c>
      <c r="E297" s="35" t="n">
        <f aca="false">(D297-C297)/7</f>
        <v>231.285714285714</v>
      </c>
      <c r="F297" s="35" t="n">
        <f aca="false">($B$2-C297)/7</f>
        <v>145.428571428571</v>
      </c>
      <c r="G297" s="36" t="n">
        <v>256</v>
      </c>
      <c r="H297" s="36" t="n">
        <v>37</v>
      </c>
      <c r="I297" s="37"/>
      <c r="J297" s="37"/>
      <c r="K297" s="38" t="n">
        <f aca="false">IFERROR(((F297*G297)/E297)-H297,"")</f>
        <v>123.968499073502</v>
      </c>
      <c r="L297" s="36" t="str">
        <f aca="false">IF(K297&lt;-10,"MUITO ADIANTADO",IF(K297&lt;-6,"ADIANTADO",IF(K297&lt;6,"EM DIAS",IF(K297&lt;12,"ATRASADO","MUITO ATRASADO"))))</f>
        <v>MUITO ATRASADO</v>
      </c>
      <c r="M297" s="39" t="n">
        <v>45454</v>
      </c>
      <c r="N297" s="55" t="n">
        <f aca="false">$B$2-M297</f>
        <v>717</v>
      </c>
      <c r="O297" s="56" t="str">
        <f aca="false">IF(N297&lt;8,"VERIFICADO",IF(N297&lt;15,"VERIFICAR","VERIFICAR URGENTE"))</f>
        <v>VERIFICAR URGENTE</v>
      </c>
      <c r="P297" s="40"/>
      <c r="Q297" s="40"/>
      <c r="R297" s="40"/>
      <c r="S297" s="40"/>
      <c r="T297" s="40"/>
      <c r="U297" s="40"/>
    </row>
    <row r="298" customFormat="false" ht="15.75" hidden="false" customHeight="true" outlineLevel="0" collapsed="false">
      <c r="A298" s="41" t="s">
        <v>761</v>
      </c>
      <c r="B298" s="57" t="n">
        <f aca="false">M298</f>
        <v>45447</v>
      </c>
      <c r="C298" s="34" t="n">
        <v>45314</v>
      </c>
      <c r="D298" s="34" t="n">
        <v>45829</v>
      </c>
      <c r="E298" s="35" t="n">
        <f aca="false">(D298-C298)/7</f>
        <v>73.5714285714286</v>
      </c>
      <c r="F298" s="35" t="n">
        <f aca="false">($B$2-C298)/7</f>
        <v>122.428571428571</v>
      </c>
      <c r="G298" s="36" t="n">
        <v>80</v>
      </c>
      <c r="H298" s="36" t="n">
        <v>13</v>
      </c>
      <c r="I298" s="37"/>
      <c r="J298" s="37"/>
      <c r="K298" s="38" t="n">
        <f aca="false">IFERROR(((F298*G298)/E298)-H298,"")</f>
        <v>120.126213592233</v>
      </c>
      <c r="L298" s="36" t="str">
        <f aca="false">IF(K298&lt;-10,"MUITO ADIANTADO",IF(K298&lt;-6,"ADIANTADO",IF(K298&lt;6,"EM DIAS",IF(K298&lt;12,"ATRASADO","MUITO ATRASADO"))))</f>
        <v>MUITO ATRASADO</v>
      </c>
      <c r="M298" s="39" t="n">
        <v>45447</v>
      </c>
      <c r="N298" s="55" t="n">
        <f aca="false">$B$2-M298</f>
        <v>724</v>
      </c>
      <c r="O298" s="56" t="str">
        <f aca="false">IF(N298&lt;8,"VERIFICADO",IF(N298&lt;15,"VERIFICAR","VERIFICAR URGENTE"))</f>
        <v>VERIFICAR URGENTE</v>
      </c>
      <c r="P298" s="40"/>
      <c r="Q298" s="40"/>
      <c r="R298" s="40"/>
      <c r="S298" s="40"/>
      <c r="T298" s="40"/>
      <c r="U298" s="40"/>
    </row>
    <row r="299" customFormat="false" ht="15.75" hidden="false" customHeight="true" outlineLevel="0" collapsed="false">
      <c r="A299" s="40" t="s">
        <v>762</v>
      </c>
      <c r="B299" s="57" t="n">
        <f aca="false">M299</f>
        <v>45449</v>
      </c>
      <c r="C299" s="34" t="n">
        <v>44727</v>
      </c>
      <c r="D299" s="34" t="n">
        <v>46037</v>
      </c>
      <c r="E299" s="35" t="n">
        <f aca="false">(D299-C299)/7</f>
        <v>187.142857142857</v>
      </c>
      <c r="F299" s="35" t="n">
        <f aca="false">($B$2-C299)/7</f>
        <v>206.285714285714</v>
      </c>
      <c r="G299" s="36" t="n">
        <v>250</v>
      </c>
      <c r="H299" s="36" t="n">
        <v>139</v>
      </c>
      <c r="I299" s="37" t="n">
        <f aca="false">IFERROR(H299/G299,"")</f>
        <v>0.556</v>
      </c>
      <c r="J299" s="37" t="n">
        <f aca="false">IFERROR(F299/E299,"")</f>
        <v>1.10229007633588</v>
      </c>
      <c r="K299" s="38" t="n">
        <f aca="false">IFERROR(((F299*G299)/E299)-H299,"")</f>
        <v>136.57251908397</v>
      </c>
      <c r="L299" s="36" t="str">
        <f aca="false">IF(K299&lt;-10,"MUITO ADIANTADO",IF(K299&lt;-6,"ADIANTADO",IF(K299&lt;6,"EM DIAS",IF(K299&lt;12,"ATRASADO","MUITO ATRASADO"))))</f>
        <v>MUITO ATRASADO</v>
      </c>
      <c r="M299" s="39" t="n">
        <v>45449</v>
      </c>
      <c r="N299" s="55" t="n">
        <f aca="false">$B$2-M299</f>
        <v>722</v>
      </c>
      <c r="O299" s="56" t="str">
        <f aca="false">IF(N299&lt;8,"VERIFICADO",IF(N299&lt;15,"VERIFICAR","VERIFICAR URGENTE"))</f>
        <v>VERIFICAR URGENTE</v>
      </c>
      <c r="P299" s="40"/>
      <c r="Q299" s="40"/>
      <c r="R299" s="40"/>
      <c r="S299" s="40"/>
      <c r="T299" s="40"/>
      <c r="U299" s="40"/>
    </row>
    <row r="300" customFormat="false" ht="15.75" hidden="false" customHeight="true" outlineLevel="0" collapsed="false">
      <c r="A300" s="40" t="s">
        <v>763</v>
      </c>
      <c r="B300" s="57" t="n">
        <f aca="false">M300</f>
        <v>45454</v>
      </c>
      <c r="C300" s="34" t="n">
        <v>45020</v>
      </c>
      <c r="D300" s="34" t="n">
        <v>46238</v>
      </c>
      <c r="E300" s="35" t="n">
        <f aca="false">(D300-C300)/7</f>
        <v>174</v>
      </c>
      <c r="F300" s="35" t="n">
        <f aca="false">($B$2-C300)/7</f>
        <v>164.428571428571</v>
      </c>
      <c r="G300" s="36" t="n">
        <v>192</v>
      </c>
      <c r="H300" s="36" t="n">
        <v>74</v>
      </c>
      <c r="I300" s="37"/>
      <c r="J300" s="37"/>
      <c r="K300" s="38" t="n">
        <f aca="false">IFERROR(((F300*G300)/E300)-H300,"")</f>
        <v>107.43842364532</v>
      </c>
      <c r="L300" s="36" t="str">
        <f aca="false">IF(K300&lt;-10,"MUITO ADIANTADO",IF(K300&lt;-6,"ADIANTADO",IF(K300&lt;6,"EM DIAS",IF(K300&lt;12,"ATRASADO","MUITO ATRASADO"))))</f>
        <v>MUITO ATRASADO</v>
      </c>
      <c r="M300" s="39" t="n">
        <v>45454</v>
      </c>
      <c r="N300" s="55" t="n">
        <f aca="false">$B$2-M300</f>
        <v>717</v>
      </c>
      <c r="O300" s="56" t="str">
        <f aca="false">IF(N300&lt;8,"VERIFICADO",IF(N300&lt;15,"VERIFICAR","VERIFICAR URGENTE"))</f>
        <v>VERIFICAR URGENTE</v>
      </c>
      <c r="P300" s="40"/>
      <c r="Q300" s="40"/>
      <c r="R300" s="40"/>
      <c r="S300" s="40"/>
      <c r="T300" s="40"/>
      <c r="U300" s="40"/>
    </row>
    <row r="301" customFormat="false" ht="15.75" hidden="false" customHeight="true" outlineLevel="0" collapsed="false">
      <c r="A301" s="40" t="s">
        <v>268</v>
      </c>
      <c r="B301" s="57" t="n">
        <f aca="false">M301</f>
        <v>45451</v>
      </c>
      <c r="C301" s="34" t="n">
        <v>44737</v>
      </c>
      <c r="D301" s="34" t="n">
        <v>45980</v>
      </c>
      <c r="E301" s="35" t="n">
        <f aca="false">(D301-C301)/7</f>
        <v>177.571428571429</v>
      </c>
      <c r="F301" s="35" t="n">
        <f aca="false">($B$2-C301)/7</f>
        <v>204.857142857143</v>
      </c>
      <c r="G301" s="36" t="n">
        <v>251</v>
      </c>
      <c r="H301" s="36" t="n">
        <v>60</v>
      </c>
      <c r="I301" s="37" t="n">
        <f aca="false">IFERROR(H301/G301,"")</f>
        <v>0.239043824701195</v>
      </c>
      <c r="J301" s="37" t="n">
        <f aca="false">IFERROR(F301/E301,"")</f>
        <v>1.15366049879324</v>
      </c>
      <c r="K301" s="38" t="n">
        <f aca="false">IFERROR(((F301*G301)/E301)-H301,"")</f>
        <v>229.568785197103</v>
      </c>
      <c r="L301" s="36" t="str">
        <f aca="false">IF(K301&lt;-10,"MUITO ADIANTADO",IF(K301&lt;-6,"ADIANTADO",IF(K301&lt;6,"EM DIAS",IF(K301&lt;12,"ATRASADO","MUITO ATRASADO"))))</f>
        <v>MUITO ATRASADO</v>
      </c>
      <c r="M301" s="39" t="n">
        <v>45451</v>
      </c>
      <c r="N301" s="55" t="n">
        <f aca="false">$B$2-M301</f>
        <v>720</v>
      </c>
      <c r="O301" s="56" t="str">
        <f aca="false">IF(N301&lt;8,"VERIFICADO",IF(N301&lt;15,"VERIFICAR","VERIFICAR URGENTE"))</f>
        <v>VERIFICAR URGENTE</v>
      </c>
      <c r="P301" s="40"/>
      <c r="Q301" s="40"/>
      <c r="R301" s="40"/>
      <c r="S301" s="40"/>
      <c r="T301" s="40"/>
      <c r="U301" s="40"/>
    </row>
    <row r="302" customFormat="false" ht="15.75" hidden="false" customHeight="true" outlineLevel="0" collapsed="false">
      <c r="A302" s="40" t="s">
        <v>764</v>
      </c>
      <c r="B302" s="57" t="n">
        <f aca="false">M302</f>
        <v>45454</v>
      </c>
      <c r="C302" s="34" t="n">
        <v>45048</v>
      </c>
      <c r="D302" s="34" t="n">
        <v>45541</v>
      </c>
      <c r="E302" s="35" t="n">
        <f aca="false">(D302-C302)/7</f>
        <v>70.4285714285714</v>
      </c>
      <c r="F302" s="35" t="n">
        <f aca="false">($B$2-C302)/7</f>
        <v>160.428571428571</v>
      </c>
      <c r="G302" s="36" t="n">
        <v>80</v>
      </c>
      <c r="H302" s="36" t="n">
        <v>56</v>
      </c>
      <c r="I302" s="37" t="n">
        <f aca="false">IFERROR(H302/G302,"")</f>
        <v>0.7</v>
      </c>
      <c r="J302" s="37" t="n">
        <f aca="false">IFERROR(F302/E302,"")</f>
        <v>2.27789046653144</v>
      </c>
      <c r="K302" s="38" t="n">
        <f aca="false">IFERROR(((F302*G302)/E302)-H302,"")</f>
        <v>126.231237322515</v>
      </c>
      <c r="L302" s="36" t="str">
        <f aca="false">IF(K302&lt;-10,"MUITO ADIANTADO",IF(K302&lt;-6,"ADIANTADO",IF(K302&lt;6,"EM DIAS",IF(K302&lt;12,"ATRASADO","MUITO ATRASADO"))))</f>
        <v>MUITO ATRASADO</v>
      </c>
      <c r="M302" s="39" t="n">
        <v>45454</v>
      </c>
      <c r="N302" s="55" t="n">
        <f aca="false">$B$2-M302</f>
        <v>717</v>
      </c>
      <c r="O302" s="56" t="str">
        <f aca="false">IF(N302&lt;8,"VERIFICADO",IF(N302&lt;15,"VERIFICAR","VERIFICAR URGENTE"))</f>
        <v>VERIFICAR URGENTE</v>
      </c>
      <c r="P302" s="40"/>
      <c r="Q302" s="40"/>
      <c r="R302" s="40"/>
      <c r="S302" s="40"/>
      <c r="T302" s="40"/>
      <c r="U302" s="40"/>
    </row>
    <row r="303" customFormat="false" ht="15.75" hidden="false" customHeight="true" outlineLevel="0" collapsed="false">
      <c r="A303" s="40" t="s">
        <v>765</v>
      </c>
      <c r="B303" s="57" t="n">
        <f aca="false">M303</f>
        <v>45447</v>
      </c>
      <c r="C303" s="34" t="n">
        <v>44489</v>
      </c>
      <c r="D303" s="34" t="n">
        <v>45493</v>
      </c>
      <c r="E303" s="35" t="n">
        <f aca="false">(D303-C303)/7</f>
        <v>143.428571428571</v>
      </c>
      <c r="F303" s="35" t="n">
        <f aca="false">($B$2-C303)/7</f>
        <v>240.285714285714</v>
      </c>
      <c r="G303" s="36" t="n">
        <v>251</v>
      </c>
      <c r="H303" s="36" t="n">
        <v>200</v>
      </c>
      <c r="I303" s="37" t="n">
        <f aca="false">IFERROR(H303/G303,"")</f>
        <v>0.796812749003984</v>
      </c>
      <c r="J303" s="37" t="n">
        <f aca="false">IFERROR(F303/E303,"")</f>
        <v>1.67529880478088</v>
      </c>
      <c r="K303" s="38" t="n">
        <f aca="false">IFERROR(((F303*G303)/E303)-H303,"")</f>
        <v>220.500000000001</v>
      </c>
      <c r="L303" s="36" t="str">
        <f aca="false">IF(K303&lt;-10,"MUITO ADIANTADO",IF(K303&lt;-6,"ADIANTADO",IF(K303&lt;6,"EM DIAS",IF(K303&lt;12,"ATRASADO","MUITO ATRASADO"))))</f>
        <v>MUITO ATRASADO</v>
      </c>
      <c r="M303" s="39" t="n">
        <v>45447</v>
      </c>
      <c r="N303" s="55" t="n">
        <f aca="false">$B$2-M303</f>
        <v>724</v>
      </c>
      <c r="O303" s="56" t="str">
        <f aca="false">IF(N303&lt;8,"VERIFICADO",IF(N303&lt;15,"VERIFICAR","VERIFICAR URGENTE"))</f>
        <v>VERIFICAR URGENTE</v>
      </c>
      <c r="P303" s="40"/>
      <c r="Q303" s="40"/>
      <c r="R303" s="40"/>
      <c r="S303" s="40"/>
      <c r="T303" s="40"/>
      <c r="U303" s="40"/>
    </row>
    <row r="304" customFormat="false" ht="15.75" hidden="false" customHeight="true" outlineLevel="0" collapsed="false">
      <c r="A304" s="40" t="s">
        <v>246</v>
      </c>
      <c r="B304" s="57" t="n">
        <f aca="false">M304</f>
        <v>45454</v>
      </c>
      <c r="C304" s="34" t="n">
        <v>45250</v>
      </c>
      <c r="D304" s="34" t="n">
        <v>45757</v>
      </c>
      <c r="E304" s="35" t="n">
        <f aca="false">(D304-C304)/7</f>
        <v>72.4285714285714</v>
      </c>
      <c r="F304" s="35" t="n">
        <f aca="false">($B$2-C304)/7</f>
        <v>131.571428571429</v>
      </c>
      <c r="G304" s="36" t="n">
        <v>80</v>
      </c>
      <c r="H304" s="36" t="n">
        <v>26</v>
      </c>
      <c r="I304" s="37"/>
      <c r="J304" s="37"/>
      <c r="K304" s="38" t="n">
        <f aca="false">IFERROR(((F304*G304)/E304)-H304,"")</f>
        <v>119.325443786982</v>
      </c>
      <c r="L304" s="36" t="str">
        <f aca="false">IF(K304&lt;-10,"MUITO ADIANTADO",IF(K304&lt;-6,"ADIANTADO",IF(K304&lt;6,"EM DIAS",IF(K304&lt;12,"ATRASADO","MUITO ATRASADO"))))</f>
        <v>MUITO ATRASADO</v>
      </c>
      <c r="M304" s="39" t="n">
        <v>45454</v>
      </c>
      <c r="N304" s="55" t="n">
        <f aca="false">$B$2-M304</f>
        <v>717</v>
      </c>
      <c r="O304" s="56" t="str">
        <f aca="false">IF(N304&lt;8,"VERIFICADO",IF(N304&lt;15,"VERIFICAR","VERIFICAR URGENTE"))</f>
        <v>VERIFICAR URGENTE</v>
      </c>
      <c r="P304" s="40"/>
      <c r="Q304" s="40"/>
      <c r="R304" s="40"/>
      <c r="S304" s="40"/>
      <c r="T304" s="40"/>
      <c r="U304" s="40"/>
    </row>
    <row r="305" customFormat="false" ht="15.75" hidden="false" customHeight="true" outlineLevel="0" collapsed="false">
      <c r="A305" s="40" t="s">
        <v>766</v>
      </c>
      <c r="B305" s="57" t="n">
        <f aca="false">M305</f>
        <v>45447</v>
      </c>
      <c r="C305" s="34" t="n">
        <v>44737</v>
      </c>
      <c r="D305" s="34" t="n">
        <v>45884</v>
      </c>
      <c r="E305" s="35" t="n">
        <f aca="false">(D305-C305)/7</f>
        <v>163.857142857143</v>
      </c>
      <c r="F305" s="35" t="n">
        <f aca="false">($B$2-C305)/7</f>
        <v>204.857142857143</v>
      </c>
      <c r="G305" s="36" t="n">
        <v>267</v>
      </c>
      <c r="H305" s="36" t="n">
        <v>135</v>
      </c>
      <c r="I305" s="37" t="n">
        <f aca="false">IFERROR(H305/G305,"")</f>
        <v>0.50561797752809</v>
      </c>
      <c r="J305" s="37" t="n">
        <f aca="false">IFERROR(F305/E305,"")</f>
        <v>1.25021795989538</v>
      </c>
      <c r="K305" s="38" t="n">
        <f aca="false">IFERROR(((F305*G305)/E305)-H305,"")</f>
        <v>198.808195292066</v>
      </c>
      <c r="L305" s="36" t="str">
        <f aca="false">IF(K305&lt;-10,"MUITO ADIANTADO",IF(K305&lt;-6,"ADIANTADO",IF(K305&lt;6,"EM DIAS",IF(K305&lt;12,"ATRASADO","MUITO ATRASADO"))))</f>
        <v>MUITO ATRASADO</v>
      </c>
      <c r="M305" s="39" t="n">
        <v>45447</v>
      </c>
      <c r="N305" s="55" t="n">
        <f aca="false">$B$2-M305</f>
        <v>724</v>
      </c>
      <c r="O305" s="56" t="str">
        <f aca="false">IF(N305&lt;8,"VERIFICADO",IF(N305&lt;15,"VERIFICAR","VERIFICAR URGENTE"))</f>
        <v>VERIFICAR URGENTE</v>
      </c>
      <c r="P305" s="40"/>
      <c r="Q305" s="40"/>
      <c r="R305" s="40"/>
      <c r="S305" s="40"/>
      <c r="T305" s="40"/>
      <c r="U305" s="40"/>
    </row>
    <row r="306" customFormat="false" ht="15.75" hidden="false" customHeight="true" outlineLevel="0" collapsed="false">
      <c r="A306" s="40" t="s">
        <v>767</v>
      </c>
      <c r="B306" s="57" t="n">
        <f aca="false">M306</f>
        <v>45449</v>
      </c>
      <c r="C306" s="34" t="n">
        <v>44960</v>
      </c>
      <c r="D306" s="34" t="n">
        <v>46397</v>
      </c>
      <c r="E306" s="35" t="n">
        <f aca="false">(D306-C306)/7</f>
        <v>205.285714285714</v>
      </c>
      <c r="F306" s="35" t="n">
        <f aca="false">($B$2-C306)/7</f>
        <v>173</v>
      </c>
      <c r="G306" s="36" t="n">
        <v>253</v>
      </c>
      <c r="H306" s="36" t="n">
        <v>74</v>
      </c>
      <c r="I306" s="37" t="n">
        <f aca="false">IFERROR(H306/G306,"")</f>
        <v>0.292490118577075</v>
      </c>
      <c r="J306" s="37" t="n">
        <f aca="false">IFERROR(F306/E306,"")</f>
        <v>0.842727905358387</v>
      </c>
      <c r="K306" s="38" t="n">
        <f aca="false">IFERROR(((F306*G306)/E306)-H306,"")</f>
        <v>139.210160055672</v>
      </c>
      <c r="L306" s="36" t="str">
        <f aca="false">IF(K306&lt;-10,"MUITO ADIANTADO",IF(K306&lt;-6,"ADIANTADO",IF(K306&lt;6,"EM DIAS",IF(K306&lt;12,"ATRASADO","MUITO ATRASADO"))))</f>
        <v>MUITO ATRASADO</v>
      </c>
      <c r="M306" s="39" t="n">
        <v>45449</v>
      </c>
      <c r="N306" s="55" t="n">
        <f aca="false">$B$2-M306</f>
        <v>722</v>
      </c>
      <c r="O306" s="56" t="str">
        <f aca="false">IF(N306&lt;8,"VERIFICADO",IF(N306&lt;15,"VERIFICAR","VERIFICAR URGENTE"))</f>
        <v>VERIFICAR URGENTE</v>
      </c>
      <c r="P306" s="40"/>
      <c r="Q306" s="40"/>
      <c r="R306" s="40"/>
      <c r="S306" s="40"/>
      <c r="T306" s="40"/>
      <c r="U306" s="40"/>
    </row>
    <row r="307" customFormat="false" ht="15" hidden="false" customHeight="false" outlineLevel="0" collapsed="false">
      <c r="A307" s="40" t="s">
        <v>279</v>
      </c>
      <c r="B307" s="57" t="n">
        <f aca="false">M307</f>
        <v>45447</v>
      </c>
      <c r="C307" s="34" t="n">
        <v>44915</v>
      </c>
      <c r="D307" s="34" t="n">
        <v>46206</v>
      </c>
      <c r="E307" s="35" t="n">
        <f aca="false">(D307-C307)/7</f>
        <v>184.428571428571</v>
      </c>
      <c r="F307" s="35" t="n">
        <f aca="false">($B$2-C307)/7</f>
        <v>179.428571428571</v>
      </c>
      <c r="G307" s="36" t="n">
        <v>253</v>
      </c>
      <c r="H307" s="36" t="n">
        <v>80</v>
      </c>
      <c r="I307" s="37"/>
      <c r="J307" s="37"/>
      <c r="K307" s="38" t="n">
        <f aca="false">IFERROR(((F307*G307)/E307)-H307,"")</f>
        <v>166.140975987607</v>
      </c>
      <c r="L307" s="36" t="str">
        <f aca="false">IF(K307&lt;-10,"MUITO ADIANTADO",IF(K307&lt;-6,"ADIANTADO",IF(K307&lt;6,"EM DIAS",IF(K307&lt;12,"ATRASADO","MUITO ATRASADO"))))</f>
        <v>MUITO ATRASADO</v>
      </c>
      <c r="M307" s="39" t="n">
        <v>45447</v>
      </c>
      <c r="N307" s="55" t="n">
        <f aca="false">$B$2-M307</f>
        <v>724</v>
      </c>
      <c r="O307" s="56" t="str">
        <f aca="false">IF(N307&lt;8,"VERIFICADO",IF(N307&lt;15,"VERIFICAR","VERIFICAR URGENTE"))</f>
        <v>VERIFICAR URGENTE</v>
      </c>
      <c r="P307" s="40"/>
      <c r="Q307" s="40"/>
      <c r="R307" s="40"/>
      <c r="S307" s="40"/>
      <c r="T307" s="40"/>
      <c r="U307" s="40"/>
    </row>
    <row r="308" customFormat="false" ht="15.75" hidden="false" customHeight="true" outlineLevel="0" collapsed="false">
      <c r="A308" s="40" t="s">
        <v>768</v>
      </c>
      <c r="B308" s="57" t="n">
        <f aca="false">M308</f>
        <v>45454</v>
      </c>
      <c r="C308" s="34" t="n">
        <v>45073</v>
      </c>
      <c r="D308" s="34" t="n">
        <v>45592</v>
      </c>
      <c r="E308" s="35" t="n">
        <f aca="false">(D308-C308)/7</f>
        <v>74.1428571428571</v>
      </c>
      <c r="F308" s="35" t="n">
        <f aca="false">($B$2-C308)/7</f>
        <v>156.857142857143</v>
      </c>
      <c r="G308" s="36" t="n">
        <v>80</v>
      </c>
      <c r="H308" s="36" t="n">
        <v>52</v>
      </c>
      <c r="I308" s="37" t="n">
        <f aca="false">IFERROR(H308/G308,"")</f>
        <v>0.65</v>
      </c>
      <c r="J308" s="37" t="n">
        <f aca="false">IFERROR(F308/E308,"")</f>
        <v>2.11560693641619</v>
      </c>
      <c r="K308" s="38" t="n">
        <f aca="false">IFERROR(((F308*G308)/E308)-H308,"")</f>
        <v>117.248554913295</v>
      </c>
      <c r="L308" s="36" t="str">
        <f aca="false">IF(K308&lt;-10,"MUITO ADIANTADO",IF(K308&lt;-6,"ADIANTADO",IF(K308&lt;6,"EM DIAS",IF(K308&lt;12,"ATRASADO","MUITO ATRASADO"))))</f>
        <v>MUITO ATRASADO</v>
      </c>
      <c r="M308" s="39" t="n">
        <v>45454</v>
      </c>
      <c r="N308" s="55" t="n">
        <f aca="false">$B$2-M308</f>
        <v>717</v>
      </c>
      <c r="O308" s="56" t="str">
        <f aca="false">IF(N308&lt;8,"VERIFICADO",IF(N308&lt;15,"VERIFICAR","VERIFICAR URGENTE"))</f>
        <v>VERIFICAR URGENTE</v>
      </c>
      <c r="P308" s="40"/>
      <c r="Q308" s="40"/>
      <c r="R308" s="40"/>
      <c r="S308" s="40"/>
      <c r="T308" s="40"/>
      <c r="U308" s="40"/>
    </row>
    <row r="309" customFormat="false" ht="15.75" hidden="false" customHeight="true" outlineLevel="0" collapsed="false">
      <c r="A309" s="40" t="s">
        <v>769</v>
      </c>
      <c r="B309" s="57" t="n">
        <f aca="false">M309</f>
        <v>45449</v>
      </c>
      <c r="C309" s="34" t="n">
        <v>45078</v>
      </c>
      <c r="D309" s="34" t="n">
        <v>45616</v>
      </c>
      <c r="E309" s="35" t="n">
        <f aca="false">(D309-C309)/7</f>
        <v>76.8571428571429</v>
      </c>
      <c r="F309" s="35" t="n">
        <f aca="false">($B$2-C309)/7</f>
        <v>156.142857142857</v>
      </c>
      <c r="G309" s="36" t="n">
        <v>80</v>
      </c>
      <c r="H309" s="36" t="n">
        <v>58</v>
      </c>
      <c r="I309" s="37" t="n">
        <f aca="false">IFERROR(H309/G309,"")</f>
        <v>0.725</v>
      </c>
      <c r="J309" s="37" t="n">
        <f aca="false">IFERROR(F309/E309,"")</f>
        <v>2.03159851301115</v>
      </c>
      <c r="K309" s="38" t="n">
        <f aca="false">IFERROR(((F309*G309)/E309)-H309,"")</f>
        <v>104.527881040892</v>
      </c>
      <c r="L309" s="36" t="str">
        <f aca="false">IF(K309&lt;-10,"MUITO ADIANTADO",IF(K309&lt;-6,"ADIANTADO",IF(K309&lt;6,"EM DIAS",IF(K309&lt;12,"ATRASADO","MUITO ATRASADO"))))</f>
        <v>MUITO ATRASADO</v>
      </c>
      <c r="M309" s="39" t="n">
        <v>45449</v>
      </c>
      <c r="N309" s="55" t="n">
        <f aca="false">$B$2-M309</f>
        <v>722</v>
      </c>
      <c r="O309" s="56" t="str">
        <f aca="false">IF(N309&lt;8,"VERIFICADO",IF(N309&lt;15,"VERIFICAR","VERIFICAR URGENTE"))</f>
        <v>VERIFICAR URGENTE</v>
      </c>
      <c r="P309" s="40"/>
      <c r="Q309" s="40"/>
      <c r="R309" s="40"/>
      <c r="S309" s="40"/>
      <c r="T309" s="40"/>
      <c r="U309" s="40"/>
    </row>
    <row r="310" customFormat="false" ht="15.75" hidden="false" customHeight="true" outlineLevel="0" collapsed="false">
      <c r="A310" s="40" t="s">
        <v>57</v>
      </c>
      <c r="B310" s="57" t="n">
        <f aca="false">M310</f>
        <v>45454</v>
      </c>
      <c r="C310" s="34" t="n">
        <v>44993</v>
      </c>
      <c r="D310" s="34" t="n">
        <v>45674</v>
      </c>
      <c r="E310" s="35" t="n">
        <f aca="false">(D310-C310)/7</f>
        <v>97.2857142857143</v>
      </c>
      <c r="F310" s="35" t="n">
        <f aca="false">($B$2-C310)/7</f>
        <v>168.285714285714</v>
      </c>
      <c r="G310" s="36" t="n">
        <v>97</v>
      </c>
      <c r="H310" s="36" t="n">
        <v>61</v>
      </c>
      <c r="I310" s="37" t="n">
        <f aca="false">IFERROR(H310/G310,"")</f>
        <v>0.628865979381443</v>
      </c>
      <c r="J310" s="37" t="n">
        <f aca="false">IFERROR(F310/E310,"")</f>
        <v>1.72980910425844</v>
      </c>
      <c r="K310" s="38" t="n">
        <f aca="false">IFERROR(((F310*G310)/E310)-H310,"")</f>
        <v>106.791483113069</v>
      </c>
      <c r="L310" s="36" t="str">
        <f aca="false">IF(K310&lt;-10,"MUITO ADIANTADO",IF(K310&lt;-6,"ADIANTADO",IF(K310&lt;6,"EM DIAS",IF(K310&lt;12,"ATRASADO","MUITO ATRASADO"))))</f>
        <v>MUITO ATRASADO</v>
      </c>
      <c r="M310" s="39" t="n">
        <v>45454</v>
      </c>
      <c r="N310" s="55" t="n">
        <f aca="false">$B$2-M310</f>
        <v>717</v>
      </c>
      <c r="O310" s="56" t="str">
        <f aca="false">IF(N310&lt;8,"VERIFICADO",IF(N310&lt;15,"VERIFICAR","VERIFICAR URGENTE"))</f>
        <v>VERIFICAR URGENTE</v>
      </c>
      <c r="P310" s="40"/>
      <c r="Q310" s="40"/>
      <c r="R310" s="40"/>
      <c r="S310" s="40"/>
      <c r="T310" s="40"/>
      <c r="U310" s="40"/>
    </row>
    <row r="311" customFormat="false" ht="15.75" hidden="false" customHeight="true" outlineLevel="0" collapsed="false">
      <c r="A311" s="40" t="s">
        <v>770</v>
      </c>
      <c r="B311" s="57" t="n">
        <f aca="false">M311</f>
        <v>45453</v>
      </c>
      <c r="C311" s="34" t="n">
        <v>44887</v>
      </c>
      <c r="D311" s="34" t="n">
        <v>45327</v>
      </c>
      <c r="E311" s="35" t="n">
        <f aca="false">(D311-C311)/7</f>
        <v>62.8571428571429</v>
      </c>
      <c r="F311" s="35" t="n">
        <f aca="false">($B$2-C311)/7</f>
        <v>183.428571428571</v>
      </c>
      <c r="G311" s="36" t="n">
        <v>76</v>
      </c>
      <c r="H311" s="36" t="n">
        <v>68</v>
      </c>
      <c r="I311" s="37" t="n">
        <f aca="false">IFERROR(H311/G311,"")</f>
        <v>0.894736842105263</v>
      </c>
      <c r="J311" s="37" t="n">
        <f aca="false">IFERROR(F311/E311,"")</f>
        <v>2.91818181818182</v>
      </c>
      <c r="K311" s="38" t="n">
        <f aca="false">IFERROR(((F311*G311)/E311)-H311,"")</f>
        <v>153.781818181818</v>
      </c>
      <c r="L311" s="36" t="str">
        <f aca="false">IF(K311&lt;-10,"MUITO ADIANTADO",IF(K311&lt;-6,"ADIANTADO",IF(K311&lt;6,"EM DIAS",IF(K311&lt;12,"ATRASADO","MUITO ATRASADO"))))</f>
        <v>MUITO ATRASADO</v>
      </c>
      <c r="M311" s="39" t="n">
        <v>45453</v>
      </c>
      <c r="N311" s="55" t="n">
        <f aca="false">$B$2-M311</f>
        <v>718</v>
      </c>
      <c r="O311" s="56" t="str">
        <f aca="false">IF(N311&lt;8,"VERIFICADO",IF(N311&lt;15,"VERIFICAR","VERIFICAR URGENTE"))</f>
        <v>VERIFICAR URGENTE</v>
      </c>
      <c r="P311" s="40"/>
      <c r="Q311" s="40"/>
      <c r="R311" s="40"/>
      <c r="S311" s="40"/>
      <c r="T311" s="40"/>
      <c r="U311" s="40"/>
    </row>
    <row r="312" customFormat="false" ht="15.75" hidden="false" customHeight="true" outlineLevel="0" collapsed="false">
      <c r="A312" s="40" t="s">
        <v>771</v>
      </c>
      <c r="B312" s="57" t="n">
        <f aca="false">M312</f>
        <v>45449</v>
      </c>
      <c r="C312" s="34" t="n">
        <v>45030</v>
      </c>
      <c r="D312" s="34" t="n">
        <v>45519</v>
      </c>
      <c r="E312" s="35" t="n">
        <f aca="false">(D312-C312)/7</f>
        <v>69.8571428571429</v>
      </c>
      <c r="F312" s="35" t="n">
        <f aca="false">($B$2-C312)/7</f>
        <v>163</v>
      </c>
      <c r="G312" s="36" t="n">
        <v>80</v>
      </c>
      <c r="H312" s="36" t="n">
        <v>63</v>
      </c>
      <c r="I312" s="37" t="n">
        <f aca="false">IFERROR(H312/G312,"")</f>
        <v>0.7875</v>
      </c>
      <c r="J312" s="37" t="n">
        <f aca="false">IFERROR(F312/E312,"")</f>
        <v>2.33333333333333</v>
      </c>
      <c r="K312" s="38" t="n">
        <f aca="false">IFERROR(((F312*G312)/E312)-H312,"")</f>
        <v>123.666666666667</v>
      </c>
      <c r="L312" s="36" t="str">
        <f aca="false">IF(K312&lt;-10,"MUITO ADIANTADO",IF(K312&lt;-6,"ADIANTADO",IF(K312&lt;6,"EM DIAS",IF(K312&lt;12,"ATRASADO","MUITO ATRASADO"))))</f>
        <v>MUITO ATRASADO</v>
      </c>
      <c r="M312" s="39" t="n">
        <v>45449</v>
      </c>
      <c r="N312" s="55" t="n">
        <f aca="false">$B$2-M312</f>
        <v>722</v>
      </c>
      <c r="O312" s="56" t="str">
        <f aca="false">IF(N312&lt;8,"VERIFICADO",IF(N312&lt;15,"VERIFICAR","VERIFICAR URGENTE"))</f>
        <v>VERIFICAR URGENTE</v>
      </c>
      <c r="P312" s="40"/>
      <c r="Q312" s="40"/>
      <c r="R312" s="40"/>
      <c r="S312" s="40"/>
      <c r="T312" s="40"/>
      <c r="U312" s="40"/>
    </row>
    <row r="313" customFormat="false" ht="15.75" hidden="false" customHeight="true" outlineLevel="0" collapsed="false">
      <c r="A313" s="40" t="s">
        <v>772</v>
      </c>
      <c r="B313" s="57" t="n">
        <f aca="false">M313</f>
        <v>45453</v>
      </c>
      <c r="C313" s="34" t="n">
        <v>45048</v>
      </c>
      <c r="D313" s="34" t="n">
        <v>45601</v>
      </c>
      <c r="E313" s="35" t="n">
        <f aca="false">(D313-C313)/7</f>
        <v>79</v>
      </c>
      <c r="F313" s="35" t="n">
        <f aca="false">($B$2-C313)/7</f>
        <v>160.428571428571</v>
      </c>
      <c r="G313" s="36" t="n">
        <v>80</v>
      </c>
      <c r="H313" s="36" t="n">
        <v>60</v>
      </c>
      <c r="I313" s="37" t="n">
        <f aca="false">IFERROR(H313/G313,"")</f>
        <v>0.75</v>
      </c>
      <c r="J313" s="37" t="n">
        <f aca="false">IFERROR(F313/E313,"")</f>
        <v>2.03074141048825</v>
      </c>
      <c r="K313" s="38" t="n">
        <f aca="false">IFERROR(((F313*G313)/E313)-H313,"")</f>
        <v>102.45931283906</v>
      </c>
      <c r="L313" s="36" t="str">
        <f aca="false">IF(K313&lt;-10,"MUITO ADIANTADO",IF(K313&lt;-6,"ADIANTADO",IF(K313&lt;6,"EM DIAS",IF(K313&lt;12,"ATRASADO","MUITO ATRASADO"))))</f>
        <v>MUITO ATRASADO</v>
      </c>
      <c r="M313" s="39" t="n">
        <v>45453</v>
      </c>
      <c r="N313" s="55" t="n">
        <f aca="false">$B$2-M313</f>
        <v>718</v>
      </c>
      <c r="O313" s="56" t="str">
        <f aca="false">IF(N313&lt;8,"VERIFICADO",IF(N313&lt;15,"VERIFICAR","VERIFICAR URGENTE"))</f>
        <v>VERIFICAR URGENTE</v>
      </c>
      <c r="P313" s="40"/>
      <c r="Q313" s="40"/>
      <c r="R313" s="40"/>
      <c r="S313" s="40"/>
      <c r="T313" s="40"/>
      <c r="U313" s="40"/>
    </row>
    <row r="314" customFormat="false" ht="15.75" hidden="false" customHeight="true" outlineLevel="0" collapsed="false">
      <c r="A314" s="40" t="s">
        <v>773</v>
      </c>
      <c r="B314" s="57" t="n">
        <f aca="false">M314</f>
        <v>45449</v>
      </c>
      <c r="C314" s="34" t="n">
        <v>44875</v>
      </c>
      <c r="D314" s="34" t="n">
        <v>45879</v>
      </c>
      <c r="E314" s="35" t="n">
        <f aca="false">(D314-C314)/7</f>
        <v>143.428571428571</v>
      </c>
      <c r="F314" s="35" t="n">
        <f aca="false">($B$2-C314)/7</f>
        <v>185.142857142857</v>
      </c>
      <c r="G314" s="36" t="n">
        <v>208</v>
      </c>
      <c r="H314" s="36" t="n">
        <v>71</v>
      </c>
      <c r="I314" s="37" t="n">
        <f aca="false">IFERROR(H314/G314,"")</f>
        <v>0.341346153846154</v>
      </c>
      <c r="J314" s="37" t="n">
        <f aca="false">IFERROR(F314/E314,"")</f>
        <v>1.29083665338646</v>
      </c>
      <c r="K314" s="38" t="n">
        <f aca="false">IFERROR(((F314*G314)/E314)-H314,"")</f>
        <v>197.494023904383</v>
      </c>
      <c r="L314" s="36" t="str">
        <f aca="false">IF(K314&lt;-10,"MUITO ADIANTADO",IF(K314&lt;-6,"ADIANTADO",IF(K314&lt;6,"EM DIAS",IF(K314&lt;12,"ATRASADO","MUITO ATRASADO"))))</f>
        <v>MUITO ATRASADO</v>
      </c>
      <c r="M314" s="39" t="n">
        <v>45449</v>
      </c>
      <c r="N314" s="55" t="n">
        <f aca="false">$B$2-M314</f>
        <v>722</v>
      </c>
      <c r="O314" s="56" t="str">
        <f aca="false">IF(N314&lt;8,"VERIFICADO",IF(N314&lt;15,"VERIFICAR","VERIFICAR URGENTE"))</f>
        <v>VERIFICAR URGENTE</v>
      </c>
      <c r="P314" s="40"/>
      <c r="Q314" s="40"/>
      <c r="R314" s="40"/>
      <c r="S314" s="40"/>
      <c r="T314" s="40"/>
      <c r="U314" s="40"/>
    </row>
    <row r="315" customFormat="false" ht="15.75" hidden="false" customHeight="true" outlineLevel="0" collapsed="false">
      <c r="A315" s="40" t="s">
        <v>774</v>
      </c>
      <c r="B315" s="57" t="n">
        <f aca="false">M315</f>
        <v>45451</v>
      </c>
      <c r="C315" s="34" t="n">
        <v>45111</v>
      </c>
      <c r="D315" s="34" t="n">
        <v>45644</v>
      </c>
      <c r="E315" s="35" t="n">
        <f aca="false">(D315-C315)/7</f>
        <v>76.1428571428571</v>
      </c>
      <c r="F315" s="35" t="n">
        <f aca="false">($B$2-C315)/7</f>
        <v>151.428571428571</v>
      </c>
      <c r="G315" s="36" t="n">
        <v>80</v>
      </c>
      <c r="H315" s="36" t="n">
        <v>24</v>
      </c>
      <c r="I315" s="37" t="n">
        <f aca="false">IFERROR(H315/G315,"")</f>
        <v>0.3</v>
      </c>
      <c r="J315" s="37" t="n">
        <f aca="false">IFERROR(F315/E315,"")</f>
        <v>1.98874296435272</v>
      </c>
      <c r="K315" s="38" t="n">
        <f aca="false">IFERROR(((F315*G315)/E315)-H315,"")</f>
        <v>135.099437148218</v>
      </c>
      <c r="L315" s="36" t="str">
        <f aca="false">IF(K315&lt;-10,"MUITO ADIANTADO",IF(K315&lt;-6,"ADIANTADO",IF(K315&lt;6,"EM DIAS",IF(K315&lt;12,"ATRASADO","MUITO ATRASADO"))))</f>
        <v>MUITO ATRASADO</v>
      </c>
      <c r="M315" s="39" t="n">
        <v>45451</v>
      </c>
      <c r="N315" s="55" t="n">
        <f aca="false">$B$2-M315</f>
        <v>720</v>
      </c>
      <c r="O315" s="56" t="str">
        <f aca="false">IF(N315&lt;8,"VERIFICADO",IF(N315&lt;15,"VERIFICAR","VERIFICAR URGENTE"))</f>
        <v>VERIFICAR URGENTE</v>
      </c>
      <c r="P315" s="40"/>
      <c r="Q315" s="40"/>
      <c r="R315" s="40"/>
      <c r="S315" s="40"/>
      <c r="T315" s="40"/>
      <c r="U315" s="40"/>
    </row>
    <row r="316" customFormat="false" ht="15.75" hidden="false" customHeight="true" outlineLevel="0" collapsed="false">
      <c r="A316" s="40" t="s">
        <v>775</v>
      </c>
      <c r="B316" s="57" t="n">
        <f aca="false">M316</f>
        <v>45449</v>
      </c>
      <c r="C316" s="34" t="n">
        <v>44792</v>
      </c>
      <c r="D316" s="34" t="n">
        <v>45761</v>
      </c>
      <c r="E316" s="35" t="n">
        <f aca="false">(D316-C316)/7</f>
        <v>138.428571428571</v>
      </c>
      <c r="F316" s="35" t="n">
        <f aca="false">($B$2-C316)/7</f>
        <v>197</v>
      </c>
      <c r="G316" s="36" t="n">
        <v>188</v>
      </c>
      <c r="H316" s="36" t="n">
        <v>84</v>
      </c>
      <c r="I316" s="37" t="n">
        <f aca="false">IFERROR(H316/G316,"")</f>
        <v>0.446808510638298</v>
      </c>
      <c r="J316" s="37" t="n">
        <f aca="false">IFERROR(F316/E316,"")</f>
        <v>1.42311661506708</v>
      </c>
      <c r="K316" s="38" t="n">
        <f aca="false">IFERROR(((F316*G316)/E316)-H316,"")</f>
        <v>183.545923632612</v>
      </c>
      <c r="L316" s="36" t="str">
        <f aca="false">IF(K316&lt;-10,"MUITO ADIANTADO",IF(K316&lt;-6,"ADIANTADO",IF(K316&lt;6,"EM DIAS",IF(K316&lt;12,"ATRASADO","MUITO ATRASADO"))))</f>
        <v>MUITO ATRASADO</v>
      </c>
      <c r="M316" s="39" t="n">
        <v>45449</v>
      </c>
      <c r="N316" s="55" t="n">
        <f aca="false">$B$2-M316</f>
        <v>722</v>
      </c>
      <c r="O316" s="56" t="str">
        <f aca="false">IF(N316&lt;8,"VERIFICADO",IF(N316&lt;15,"VERIFICAR","VERIFICAR URGENTE"))</f>
        <v>VERIFICAR URGENTE</v>
      </c>
      <c r="P316" s="40"/>
      <c r="Q316" s="40"/>
      <c r="R316" s="40"/>
      <c r="S316" s="40"/>
      <c r="T316" s="40"/>
      <c r="U316" s="40"/>
    </row>
    <row r="317" customFormat="false" ht="15.75" hidden="false" customHeight="true" outlineLevel="0" collapsed="false">
      <c r="A317" s="40" t="s">
        <v>776</v>
      </c>
      <c r="B317" s="57" t="n">
        <f aca="false">M317</f>
        <v>45454</v>
      </c>
      <c r="C317" s="34" t="n">
        <v>45083</v>
      </c>
      <c r="D317" s="34" t="n">
        <v>45602</v>
      </c>
      <c r="E317" s="35" t="n">
        <f aca="false">(D317-C317)/7</f>
        <v>74.1428571428571</v>
      </c>
      <c r="F317" s="35" t="n">
        <f aca="false">($B$2-C317)/7</f>
        <v>155.428571428571</v>
      </c>
      <c r="G317" s="36" t="n">
        <v>112</v>
      </c>
      <c r="H317" s="36" t="n">
        <v>82</v>
      </c>
      <c r="I317" s="37" t="n">
        <f aca="false">IFERROR(H317/G317,"")</f>
        <v>0.732142857142857</v>
      </c>
      <c r="J317" s="37" t="n">
        <f aca="false">IFERROR(F317/E317,"")</f>
        <v>2.09633911368016</v>
      </c>
      <c r="K317" s="38" t="n">
        <f aca="false">IFERROR(((F317*G317)/E317)-H317,"")</f>
        <v>152.789980732177</v>
      </c>
      <c r="L317" s="36" t="str">
        <f aca="false">IF(K317&lt;-10,"MUITO ADIANTADO",IF(K317&lt;-6,"ADIANTADO",IF(K317&lt;6,"EM DIAS",IF(K317&lt;12,"ATRASADO","MUITO ATRASADO"))))</f>
        <v>MUITO ATRASADO</v>
      </c>
      <c r="M317" s="39" t="n">
        <v>45454</v>
      </c>
      <c r="N317" s="55" t="n">
        <f aca="false">$B$2-M317</f>
        <v>717</v>
      </c>
      <c r="O317" s="56" t="str">
        <f aca="false">IF(N317&lt;8,"VERIFICADO",IF(N317&lt;15,"VERIFICAR","VERIFICAR URGENTE"))</f>
        <v>VERIFICAR URGENTE</v>
      </c>
      <c r="P317" s="40"/>
      <c r="Q317" s="40"/>
      <c r="R317" s="40"/>
      <c r="S317" s="40"/>
      <c r="T317" s="40"/>
      <c r="U317" s="40"/>
    </row>
    <row r="318" customFormat="false" ht="15.75" hidden="false" customHeight="true" outlineLevel="0" collapsed="false">
      <c r="A318" s="40" t="s">
        <v>309</v>
      </c>
      <c r="B318" s="57" t="n">
        <f aca="false">M318</f>
        <v>45454</v>
      </c>
      <c r="C318" s="34" t="n">
        <v>45048</v>
      </c>
      <c r="D318" s="34" t="n">
        <v>45560</v>
      </c>
      <c r="E318" s="35" t="n">
        <f aca="false">(D318-C318)/7</f>
        <v>73.1428571428571</v>
      </c>
      <c r="F318" s="35" t="n">
        <f aca="false">($B$2-C318)/7</f>
        <v>160.428571428571</v>
      </c>
      <c r="G318" s="36" t="n">
        <v>80</v>
      </c>
      <c r="H318" s="36" t="n">
        <v>47</v>
      </c>
      <c r="I318" s="37" t="n">
        <f aca="false">IFERROR(H318/G318,"")</f>
        <v>0.5875</v>
      </c>
      <c r="J318" s="37" t="n">
        <f aca="false">IFERROR(F318/E318,"")</f>
        <v>2.193359375</v>
      </c>
      <c r="K318" s="38" t="n">
        <f aca="false">IFERROR(((F318*G318)/E318)-H318,"")</f>
        <v>128.46875</v>
      </c>
      <c r="L318" s="36" t="str">
        <f aca="false">IF(K318&lt;-10,"MUITO ADIANTADO",IF(K318&lt;-6,"ADIANTADO",IF(K318&lt;6,"EM DIAS",IF(K318&lt;12,"ATRASADO","MUITO ATRASADO"))))</f>
        <v>MUITO ATRASADO</v>
      </c>
      <c r="M318" s="39" t="n">
        <v>45454</v>
      </c>
      <c r="N318" s="55" t="n">
        <f aca="false">$B$2-M318</f>
        <v>717</v>
      </c>
      <c r="O318" s="56" t="str">
        <f aca="false">IF(N318&lt;8,"VERIFICADO",IF(N318&lt;15,"VERIFICAR","VERIFICAR URGENTE"))</f>
        <v>VERIFICAR URGENTE</v>
      </c>
      <c r="P318" s="40"/>
      <c r="Q318" s="40"/>
      <c r="R318" s="40"/>
      <c r="S318" s="40"/>
      <c r="T318" s="40"/>
      <c r="U318" s="40"/>
    </row>
    <row r="319" customFormat="false" ht="15.75" hidden="false" customHeight="true" outlineLevel="0" collapsed="false">
      <c r="A319" s="40" t="s">
        <v>408</v>
      </c>
      <c r="B319" s="57" t="n">
        <f aca="false">M319</f>
        <v>45454</v>
      </c>
      <c r="C319" s="34" t="n">
        <v>45342</v>
      </c>
      <c r="D319" s="34" t="n">
        <v>46946</v>
      </c>
      <c r="E319" s="35" t="n">
        <f aca="false">(D319-C319)/7</f>
        <v>229.142857142857</v>
      </c>
      <c r="F319" s="35" t="n">
        <f aca="false">($B$2-C319)/7</f>
        <v>118.428571428571</v>
      </c>
      <c r="G319" s="36" t="n">
        <v>256</v>
      </c>
      <c r="H319" s="36" t="n">
        <v>28</v>
      </c>
      <c r="I319" s="37"/>
      <c r="J319" s="37"/>
      <c r="K319" s="38" t="n">
        <f aca="false">IFERROR(((F319*G319)/E319)-H319,"")</f>
        <v>104.309226932668</v>
      </c>
      <c r="L319" s="36" t="str">
        <f aca="false">IF(K319&lt;-10,"MUITO ADIANTADO",IF(K319&lt;-6,"ADIANTADO",IF(K319&lt;6,"EM DIAS",IF(K319&lt;12,"ATRASADO","MUITO ATRASADO"))))</f>
        <v>MUITO ATRASADO</v>
      </c>
      <c r="M319" s="39" t="n">
        <v>45454</v>
      </c>
      <c r="N319" s="55" t="n">
        <f aca="false">$B$2-M319</f>
        <v>717</v>
      </c>
      <c r="O319" s="41" t="str">
        <f aca="false">IF(N319&lt;8,"VERIFICADO",IF(N319&lt;15,"VERIFICAR","VERIFICAR URGENTE"))</f>
        <v>VERIFICAR URGENTE</v>
      </c>
      <c r="P319" s="40"/>
      <c r="Q319" s="40"/>
      <c r="R319" s="40"/>
      <c r="S319" s="40"/>
      <c r="T319" s="40"/>
      <c r="U319" s="40"/>
    </row>
    <row r="320" customFormat="false" ht="15.75" hidden="false" customHeight="true" outlineLevel="0" collapsed="false">
      <c r="A320" s="40" t="s">
        <v>777</v>
      </c>
      <c r="B320" s="57" t="n">
        <f aca="false">M320</f>
        <v>45449</v>
      </c>
      <c r="C320" s="34" t="n">
        <v>45181</v>
      </c>
      <c r="D320" s="34" t="n">
        <v>45741</v>
      </c>
      <c r="E320" s="35" t="n">
        <f aca="false">(D320-C320)/7</f>
        <v>80</v>
      </c>
      <c r="F320" s="35" t="n">
        <f aca="false">($B$2-C320)/7</f>
        <v>141.428571428571</v>
      </c>
      <c r="G320" s="36" t="n">
        <v>80</v>
      </c>
      <c r="H320" s="36" t="n">
        <v>32</v>
      </c>
      <c r="I320" s="37"/>
      <c r="J320" s="37"/>
      <c r="K320" s="38" t="n">
        <f aca="false">IFERROR(((F320*G320)/E320)-H320,"")</f>
        <v>109.428571428571</v>
      </c>
      <c r="L320" s="36" t="str">
        <f aca="false">IF(K320&lt;-10,"MUITO ADIANTADO",IF(K320&lt;-6,"ADIANTADO",IF(K320&lt;6,"EM DIAS",IF(K320&lt;12,"ATRASADO","MUITO ATRASADO"))))</f>
        <v>MUITO ATRASADO</v>
      </c>
      <c r="M320" s="39" t="n">
        <v>45449</v>
      </c>
      <c r="N320" s="55" t="n">
        <f aca="false">$B$2-M320</f>
        <v>722</v>
      </c>
      <c r="O320" s="56" t="str">
        <f aca="false">IF(N320&lt;8,"VERIFICADO",IF(N320&lt;15,"VERIFICAR","VERIFICAR URGENTE"))</f>
        <v>VERIFICAR URGENTE</v>
      </c>
      <c r="P320" s="40"/>
      <c r="Q320" s="40"/>
      <c r="R320" s="40"/>
      <c r="S320" s="40"/>
      <c r="T320" s="40"/>
      <c r="U320" s="40"/>
    </row>
    <row r="321" customFormat="false" ht="15.75" hidden="false" customHeight="true" outlineLevel="0" collapsed="false">
      <c r="A321" s="40" t="s">
        <v>778</v>
      </c>
      <c r="B321" s="57" t="n">
        <f aca="false">M321</f>
        <v>45454</v>
      </c>
      <c r="C321" s="34" t="n">
        <v>44722</v>
      </c>
      <c r="D321" s="34" t="n">
        <v>45244</v>
      </c>
      <c r="E321" s="35" t="n">
        <f aca="false">(D321-C321)/7</f>
        <v>74.5714285714286</v>
      </c>
      <c r="F321" s="35" t="n">
        <f aca="false">($B$2-C321)/7</f>
        <v>207</v>
      </c>
      <c r="G321" s="36" t="n">
        <v>112</v>
      </c>
      <c r="H321" s="36" t="n">
        <v>102</v>
      </c>
      <c r="I321" s="37" t="n">
        <f aca="false">IFERROR(H321/G321,"")</f>
        <v>0.910714285714286</v>
      </c>
      <c r="J321" s="37" t="n">
        <f aca="false">IFERROR(F321/E321,"")</f>
        <v>2.77586206896552</v>
      </c>
      <c r="K321" s="38" t="n">
        <f aca="false">IFERROR(((F321*G321)/E321)-H321,"")</f>
        <v>208.896551724138</v>
      </c>
      <c r="L321" s="36" t="str">
        <f aca="false">IF(K321&lt;-10,"MUITO ADIANTADO",IF(K321&lt;-6,"ADIANTADO",IF(K321&lt;6,"EM DIAS",IF(K321&lt;12,"ATRASADO","MUITO ATRASADO"))))</f>
        <v>MUITO ATRASADO</v>
      </c>
      <c r="M321" s="39" t="n">
        <v>45454</v>
      </c>
      <c r="N321" s="55" t="n">
        <f aca="false">$B$2-M321</f>
        <v>717</v>
      </c>
      <c r="O321" s="56" t="str">
        <f aca="false">IF(N321&lt;8,"VERIFICADO",IF(N321&lt;15,"VERIFICAR","VERIFICAR URGENTE"))</f>
        <v>VERIFICAR URGENTE</v>
      </c>
      <c r="P321" s="40"/>
      <c r="Q321" s="40"/>
      <c r="R321" s="40"/>
      <c r="S321" s="40"/>
      <c r="T321" s="40"/>
      <c r="U321" s="40"/>
    </row>
    <row r="322" customFormat="false" ht="15.75" hidden="false" customHeight="true" outlineLevel="0" collapsed="false">
      <c r="A322" s="40" t="s">
        <v>428</v>
      </c>
      <c r="B322" s="57" t="n">
        <f aca="false">M322</f>
        <v>45454</v>
      </c>
      <c r="C322" s="34" t="n">
        <v>44840</v>
      </c>
      <c r="D322" s="34" t="n">
        <v>46129</v>
      </c>
      <c r="E322" s="35" t="n">
        <f aca="false">(D322-C322)/7</f>
        <v>184.142857142857</v>
      </c>
      <c r="F322" s="35" t="n">
        <f aca="false">($B$2-C322)/7</f>
        <v>190.142857142857</v>
      </c>
      <c r="G322" s="36" t="n">
        <v>253</v>
      </c>
      <c r="H322" s="36" t="n">
        <v>39</v>
      </c>
      <c r="I322" s="37" t="n">
        <f aca="false">IFERROR(H322/G322,"")</f>
        <v>0.154150197628459</v>
      </c>
      <c r="J322" s="37" t="n">
        <f aca="false">IFERROR(F322/E322,"")</f>
        <v>1.03258339798293</v>
      </c>
      <c r="K322" s="38" t="n">
        <f aca="false">IFERROR(((F322*G322)/E322)-H322,"")</f>
        <v>222.243599689682</v>
      </c>
      <c r="L322" s="36" t="str">
        <f aca="false">IF(K322&lt;-10,"MUITO ADIANTADO",IF(K322&lt;-6,"ADIANTADO",IF(K322&lt;6,"EM DIAS",IF(K322&lt;12,"ATRASADO","MUITO ATRASADO"))))</f>
        <v>MUITO ATRASADO</v>
      </c>
      <c r="M322" s="39" t="n">
        <v>45454</v>
      </c>
      <c r="N322" s="55" t="n">
        <f aca="false">$B$2-M322</f>
        <v>717</v>
      </c>
      <c r="O322" s="56" t="str">
        <f aca="false">IF(N322&lt;8,"VERIFICADO",IF(N322&lt;15,"VERIFICAR","VERIFICAR URGENTE"))</f>
        <v>VERIFICAR URGENTE</v>
      </c>
      <c r="P322" s="40"/>
      <c r="Q322" s="40"/>
      <c r="R322" s="40"/>
      <c r="S322" s="40"/>
      <c r="T322" s="40"/>
      <c r="U322" s="40"/>
    </row>
    <row r="323" customFormat="false" ht="15.75" hidden="false" customHeight="true" outlineLevel="0" collapsed="false">
      <c r="A323" s="40" t="s">
        <v>434</v>
      </c>
      <c r="B323" s="57" t="n">
        <f aca="false">M323</f>
        <v>45454</v>
      </c>
      <c r="C323" s="34" t="n">
        <v>44895</v>
      </c>
      <c r="D323" s="34" t="n">
        <v>46185</v>
      </c>
      <c r="E323" s="35" t="n">
        <f aca="false">(D323-C323)/7</f>
        <v>184.285714285714</v>
      </c>
      <c r="F323" s="35" t="n">
        <f aca="false">($B$2-C323)/7</f>
        <v>182.285714285714</v>
      </c>
      <c r="G323" s="36" t="n">
        <v>253</v>
      </c>
      <c r="H323" s="36" t="n">
        <v>87</v>
      </c>
      <c r="I323" s="37"/>
      <c r="J323" s="37"/>
      <c r="K323" s="38" t="n">
        <f aca="false">IFERROR(((F323*G323)/E323)-H323,"")</f>
        <v>163.254263565892</v>
      </c>
      <c r="L323" s="36" t="str">
        <f aca="false">IF(K323&lt;-10,"MUITO ADIANTADO",IF(K323&lt;-6,"ADIANTADO",IF(K323&lt;6,"EM DIAS",IF(K323&lt;12,"ATRASADO","MUITO ATRASADO"))))</f>
        <v>MUITO ATRASADO</v>
      </c>
      <c r="M323" s="39" t="n">
        <v>45454</v>
      </c>
      <c r="N323" s="55" t="n">
        <f aca="false">$B$2-M323</f>
        <v>717</v>
      </c>
      <c r="O323" s="56" t="str">
        <f aca="false">IF(N323&lt;8,"VERIFICADO",IF(N323&lt;15,"VERIFICAR","VERIFICAR URGENTE"))</f>
        <v>VERIFICAR URGENTE</v>
      </c>
      <c r="P323" s="40"/>
      <c r="Q323" s="40"/>
      <c r="R323" s="40"/>
      <c r="S323" s="40"/>
      <c r="T323" s="40"/>
      <c r="U323" s="40"/>
    </row>
    <row r="324" customFormat="false" ht="15.75" hidden="false" customHeight="true" outlineLevel="0" collapsed="false">
      <c r="A324" s="40" t="s">
        <v>779</v>
      </c>
      <c r="B324" s="57" t="n">
        <f aca="false">M324</f>
        <v>45447</v>
      </c>
      <c r="C324" s="34" t="n">
        <v>44963</v>
      </c>
      <c r="D324" s="34" t="n">
        <v>45447</v>
      </c>
      <c r="E324" s="35" t="n">
        <f aca="false">(D324-C324)/7</f>
        <v>69.1428571428571</v>
      </c>
      <c r="F324" s="35" t="n">
        <f aca="false">($B$2-C324)/7</f>
        <v>172.571428571429</v>
      </c>
      <c r="G324" s="36" t="n">
        <v>76</v>
      </c>
      <c r="H324" s="36" t="n">
        <v>80</v>
      </c>
      <c r="I324" s="37" t="n">
        <f aca="false">IFERROR(H324/G324,"")</f>
        <v>1.05263157894737</v>
      </c>
      <c r="J324" s="37" t="n">
        <f aca="false">IFERROR(F324/E324,"")</f>
        <v>2.49586776859504</v>
      </c>
      <c r="K324" s="38" t="n">
        <f aca="false">IFERROR(((F324*G324)/E324)-H324,"")</f>
        <v>109.685950413223</v>
      </c>
      <c r="L324" s="36" t="str">
        <f aca="false">IF(K324&lt;-10,"MUITO ADIANTADO",IF(K324&lt;-6,"ADIANTADO",IF(K324&lt;6,"EM DIAS",IF(K324&lt;12,"ATRASADO","MUITO ATRASADO"))))</f>
        <v>MUITO ATRASADO</v>
      </c>
      <c r="M324" s="39" t="n">
        <v>45447</v>
      </c>
      <c r="N324" s="55" t="n">
        <f aca="false">$B$2-M324</f>
        <v>724</v>
      </c>
      <c r="O324" s="56" t="str">
        <f aca="false">IF(N324&lt;8,"VERIFICADO",IF(N324&lt;15,"VERIFICAR","VERIFICAR URGENTE"))</f>
        <v>VERIFICAR URGENTE</v>
      </c>
      <c r="P324" s="40"/>
      <c r="Q324" s="40"/>
      <c r="R324" s="40"/>
      <c r="S324" s="40"/>
      <c r="T324" s="40"/>
      <c r="U324" s="40"/>
    </row>
    <row r="325" customFormat="false" ht="15.75" hidden="false" customHeight="true" outlineLevel="0" collapsed="false">
      <c r="A325" s="40" t="s">
        <v>780</v>
      </c>
      <c r="B325" s="57" t="n">
        <f aca="false">M325</f>
        <v>45449</v>
      </c>
      <c r="C325" s="34" t="n">
        <v>44945</v>
      </c>
      <c r="D325" s="34" t="n">
        <v>45546</v>
      </c>
      <c r="E325" s="35" t="n">
        <f aca="false">(D325-C325)/7</f>
        <v>85.8571428571429</v>
      </c>
      <c r="F325" s="35" t="n">
        <f aca="false">($B$2-C325)/7</f>
        <v>175.142857142857</v>
      </c>
      <c r="G325" s="36" t="n">
        <v>145</v>
      </c>
      <c r="H325" s="36" t="n">
        <v>74</v>
      </c>
      <c r="I325" s="37" t="n">
        <f aca="false">IFERROR(H325/G325,"")</f>
        <v>0.510344827586207</v>
      </c>
      <c r="J325" s="37" t="n">
        <f aca="false">IFERROR(F325/E325,"")</f>
        <v>2.03993344425957</v>
      </c>
      <c r="K325" s="38" t="n">
        <f aca="false">IFERROR(((F325*G325)/E325)-H325,"")</f>
        <v>221.790349417637</v>
      </c>
      <c r="L325" s="36" t="str">
        <f aca="false">IF(K325&lt;-10,"MUITO ADIANTADO",IF(K325&lt;-6,"ADIANTADO",IF(K325&lt;6,"EM DIAS",IF(K325&lt;12,"ATRASADO","MUITO ATRASADO"))))</f>
        <v>MUITO ATRASADO</v>
      </c>
      <c r="M325" s="39" t="n">
        <v>45449</v>
      </c>
      <c r="N325" s="55" t="n">
        <f aca="false">$B$2-M325</f>
        <v>722</v>
      </c>
      <c r="O325" s="56" t="str">
        <f aca="false">IF(N325&lt;8,"VERIFICADO",IF(N325&lt;15,"VERIFICAR","VERIFICAR URGENTE"))</f>
        <v>VERIFICAR URGENTE</v>
      </c>
      <c r="P325" s="40"/>
      <c r="Q325" s="40"/>
      <c r="R325" s="40"/>
      <c r="S325" s="40"/>
      <c r="T325" s="40"/>
      <c r="U325" s="40"/>
    </row>
    <row r="326" customFormat="false" ht="15.75" hidden="false" customHeight="true" outlineLevel="0" collapsed="false">
      <c r="A326" s="40" t="s">
        <v>781</v>
      </c>
      <c r="B326" s="57" t="n">
        <f aca="false">M326</f>
        <v>45447</v>
      </c>
      <c r="C326" s="34" t="n">
        <v>44896</v>
      </c>
      <c r="D326" s="34" t="n">
        <v>45940</v>
      </c>
      <c r="E326" s="35" t="n">
        <f aca="false">(D326-C326)/7</f>
        <v>149.142857142857</v>
      </c>
      <c r="F326" s="35" t="n">
        <f aca="false">($B$2-C326)/7</f>
        <v>182.142857142857</v>
      </c>
      <c r="G326" s="36" t="n">
        <v>188</v>
      </c>
      <c r="H326" s="36" t="n">
        <v>94</v>
      </c>
      <c r="I326" s="37" t="n">
        <f aca="false">IFERROR(H326/G326,"")</f>
        <v>0.5</v>
      </c>
      <c r="J326" s="37" t="n">
        <f aca="false">IFERROR(F326/E326,"")</f>
        <v>1.22126436781609</v>
      </c>
      <c r="K326" s="38" t="n">
        <f aca="false">IFERROR(((F326*G326)/E326)-H326,"")</f>
        <v>135.597701149426</v>
      </c>
      <c r="L326" s="36" t="str">
        <f aca="false">IF(K326&lt;-10,"MUITO ADIANTADO",IF(K326&lt;-6,"ADIANTADO",IF(K326&lt;6,"EM DIAS",IF(K326&lt;12,"ATRASADO","MUITO ATRASADO"))))</f>
        <v>MUITO ATRASADO</v>
      </c>
      <c r="M326" s="39" t="n">
        <v>45447</v>
      </c>
      <c r="N326" s="55" t="n">
        <f aca="false">$B$2-M326</f>
        <v>724</v>
      </c>
      <c r="O326" s="56" t="str">
        <f aca="false">IF(N326&lt;8,"VERIFICADO",IF(N326&lt;15,"VERIFICAR","VERIFICAR URGENTE"))</f>
        <v>VERIFICAR URGENTE</v>
      </c>
      <c r="P326" s="40"/>
      <c r="Q326" s="40"/>
      <c r="R326" s="40"/>
      <c r="S326" s="40"/>
      <c r="T326" s="40"/>
      <c r="U326" s="40"/>
    </row>
    <row r="327" customFormat="false" ht="15.75" hidden="false" customHeight="true" outlineLevel="0" collapsed="false">
      <c r="A327" s="40" t="s">
        <v>782</v>
      </c>
      <c r="B327" s="57" t="n">
        <f aca="false">M327</f>
        <v>45454</v>
      </c>
      <c r="C327" s="34" t="n">
        <v>45048</v>
      </c>
      <c r="D327" s="34" t="n">
        <v>45537</v>
      </c>
      <c r="E327" s="35" t="n">
        <f aca="false">(D327-C327)/7</f>
        <v>69.8571428571429</v>
      </c>
      <c r="F327" s="35" t="n">
        <f aca="false">($B$2-C327)/7</f>
        <v>160.428571428571</v>
      </c>
      <c r="G327" s="36" t="n">
        <v>80</v>
      </c>
      <c r="H327" s="36" t="n">
        <v>44</v>
      </c>
      <c r="I327" s="37" t="n">
        <f aca="false">IFERROR(H327/G327,"")</f>
        <v>0.55</v>
      </c>
      <c r="J327" s="37" t="n">
        <f aca="false">IFERROR(F327/E327,"")</f>
        <v>2.29652351738241</v>
      </c>
      <c r="K327" s="38" t="n">
        <f aca="false">IFERROR(((F327*G327)/E327)-H327,"")</f>
        <v>139.721881390593</v>
      </c>
      <c r="L327" s="36" t="str">
        <f aca="false">IF(K327&lt;-10,"MUITO ADIANTADO",IF(K327&lt;-6,"ADIANTADO",IF(K327&lt;6,"EM DIAS",IF(K327&lt;12,"ATRASADO","MUITO ATRASADO"))))</f>
        <v>MUITO ATRASADO</v>
      </c>
      <c r="M327" s="39" t="n">
        <v>45454</v>
      </c>
      <c r="N327" s="55" t="n">
        <f aca="false">$B$2-M327</f>
        <v>717</v>
      </c>
      <c r="O327" s="56" t="str">
        <f aca="false">IF(N327&lt;8,"VERIFICADO",IF(N327&lt;15,"VERIFICAR","VERIFICAR URGENTE"))</f>
        <v>VERIFICAR URGENTE</v>
      </c>
      <c r="P327" s="40"/>
      <c r="Q327" s="40"/>
      <c r="R327" s="40"/>
      <c r="S327" s="40"/>
      <c r="T327" s="40"/>
      <c r="U327" s="40"/>
    </row>
    <row r="328" customFormat="false" ht="15.75" hidden="false" customHeight="true" outlineLevel="0" collapsed="false">
      <c r="A328" s="40" t="s">
        <v>347</v>
      </c>
      <c r="B328" s="57" t="n">
        <f aca="false">M328</f>
        <v>45447</v>
      </c>
      <c r="C328" s="34" t="n">
        <v>45251</v>
      </c>
      <c r="D328" s="34" t="n">
        <v>45798</v>
      </c>
      <c r="E328" s="35" t="n">
        <f aca="false">(D328-C328)/7</f>
        <v>78.1428571428571</v>
      </c>
      <c r="F328" s="35" t="n">
        <f aca="false">($B$2-C328)/7</f>
        <v>131.428571428571</v>
      </c>
      <c r="G328" s="36" t="n">
        <v>80</v>
      </c>
      <c r="H328" s="36" t="n">
        <v>28</v>
      </c>
      <c r="I328" s="37"/>
      <c r="J328" s="37"/>
      <c r="K328" s="38" t="n">
        <f aca="false">IFERROR(((F328*G328)/E328)-H328,"")</f>
        <v>106.5521023766</v>
      </c>
      <c r="L328" s="36" t="str">
        <f aca="false">IF(K328&lt;-10,"MUITO ADIANTADO",IF(K328&lt;-6,"ADIANTADO",IF(K328&lt;6,"EM DIAS",IF(K328&lt;12,"ATRASADO","MUITO ATRASADO"))))</f>
        <v>MUITO ATRASADO</v>
      </c>
      <c r="M328" s="39" t="n">
        <v>45447</v>
      </c>
      <c r="N328" s="55" t="n">
        <f aca="false">$B$2-M328</f>
        <v>724</v>
      </c>
      <c r="O328" s="56" t="str">
        <f aca="false">IF(N328&lt;8,"VERIFICADO",IF(N328&lt;15,"VERIFICAR","VERIFICAR URGENTE"))</f>
        <v>VERIFICAR URGENTE</v>
      </c>
      <c r="P328" s="40"/>
      <c r="Q328" s="40"/>
      <c r="R328" s="40"/>
      <c r="S328" s="40"/>
      <c r="T328" s="40"/>
      <c r="U328" s="40"/>
    </row>
    <row r="329" customFormat="false" ht="15.75" hidden="false" customHeight="true" outlineLevel="0" collapsed="false">
      <c r="A329" s="40" t="s">
        <v>467</v>
      </c>
      <c r="B329" s="57" t="n">
        <f aca="false">M329</f>
        <v>45449</v>
      </c>
      <c r="C329" s="34" t="n">
        <v>44824</v>
      </c>
      <c r="D329" s="34" t="n">
        <v>46086</v>
      </c>
      <c r="E329" s="35" t="n">
        <f aca="false">(D329-C329)/7</f>
        <v>180.285714285714</v>
      </c>
      <c r="F329" s="35" t="n">
        <f aca="false">($B$2-C329)/7</f>
        <v>192.428571428571</v>
      </c>
      <c r="G329" s="36" t="n">
        <v>251</v>
      </c>
      <c r="H329" s="36" t="n">
        <v>97</v>
      </c>
      <c r="I329" s="37" t="n">
        <f aca="false">IFERROR(H329/G329,"")</f>
        <v>0.386454183266932</v>
      </c>
      <c r="J329" s="37" t="n">
        <f aca="false">IFERROR(F329/E329,"")</f>
        <v>1.06735340729002</v>
      </c>
      <c r="K329" s="38" t="n">
        <f aca="false">IFERROR(((F329*G329)/E329)-H329,"")</f>
        <v>170.905705229794</v>
      </c>
      <c r="L329" s="36" t="str">
        <f aca="false">IF(K329&lt;-10,"MUITO ADIANTADO",IF(K329&lt;-6,"ADIANTADO",IF(K329&lt;6,"EM DIAS",IF(K329&lt;12,"ATRASADO","MUITO ATRASADO"))))</f>
        <v>MUITO ATRASADO</v>
      </c>
      <c r="M329" s="39" t="n">
        <v>45449</v>
      </c>
      <c r="N329" s="55" t="n">
        <f aca="false">$B$2-M329</f>
        <v>722</v>
      </c>
      <c r="O329" s="56" t="str">
        <f aca="false">IF(N329&lt;8,"VERIFICADO",IF(N329&lt;15,"VERIFICAR","VERIFICAR URGENTE"))</f>
        <v>VERIFICAR URGENTE</v>
      </c>
      <c r="P329" s="40"/>
      <c r="Q329" s="40"/>
      <c r="R329" s="40"/>
      <c r="S329" s="40"/>
      <c r="T329" s="40"/>
      <c r="U329" s="40"/>
    </row>
    <row r="330" customFormat="false" ht="15.75" hidden="false" customHeight="true" outlineLevel="0" collapsed="false">
      <c r="A330" s="40" t="s">
        <v>344</v>
      </c>
      <c r="B330" s="57" t="n">
        <f aca="false">M330</f>
        <v>45453</v>
      </c>
      <c r="C330" s="34" t="n">
        <v>44615</v>
      </c>
      <c r="D330" s="34" t="n">
        <v>46406</v>
      </c>
      <c r="E330" s="35" t="n">
        <f aca="false">(D330-C330)/7</f>
        <v>255.857142857143</v>
      </c>
      <c r="F330" s="35" t="n">
        <f aca="false">($B$2-C330)/7</f>
        <v>222.285714285714</v>
      </c>
      <c r="G330" s="36" t="n">
        <v>253</v>
      </c>
      <c r="H330" s="36" t="n">
        <v>57</v>
      </c>
      <c r="I330" s="37" t="n">
        <f aca="false">IFERROR(H330/G330,"")</f>
        <v>0.225296442687747</v>
      </c>
      <c r="J330" s="37" t="n">
        <f aca="false">IFERROR(F330/E330,"")</f>
        <v>0.868788386376326</v>
      </c>
      <c r="K330" s="38" t="n">
        <f aca="false">IFERROR(((F330*G330)/E330)-H330,"")</f>
        <v>162.80346175321</v>
      </c>
      <c r="L330" s="36" t="str">
        <f aca="false">IF(K330&lt;-10,"MUITO ADIANTADO",IF(K330&lt;-6,"ADIANTADO",IF(K330&lt;6,"EM DIAS",IF(K330&lt;12,"ATRASADO","MUITO ATRASADO"))))</f>
        <v>MUITO ATRASADO</v>
      </c>
      <c r="M330" s="39" t="n">
        <v>45453</v>
      </c>
      <c r="N330" s="55" t="n">
        <f aca="false">$B$2-M330</f>
        <v>718</v>
      </c>
      <c r="O330" s="56" t="str">
        <f aca="false">IF(N330&lt;8,"VERIFICADO",IF(N330&lt;15,"VERIFICAR","VERIFICAR URGENTE"))</f>
        <v>VERIFICAR URGENTE</v>
      </c>
      <c r="P330" s="40"/>
      <c r="Q330" s="40"/>
      <c r="R330" s="40"/>
      <c r="S330" s="40"/>
      <c r="T330" s="40"/>
      <c r="U330" s="40"/>
    </row>
    <row r="331" customFormat="false" ht="15.75" hidden="false" customHeight="true" outlineLevel="0" collapsed="false">
      <c r="A331" s="40" t="s">
        <v>783</v>
      </c>
      <c r="B331" s="57" t="n">
        <f aca="false">M331</f>
        <v>45454</v>
      </c>
      <c r="C331" s="34" t="n">
        <v>45215</v>
      </c>
      <c r="D331" s="34" t="n">
        <v>45767</v>
      </c>
      <c r="E331" s="35" t="n">
        <f aca="false">(D331-C331)/7</f>
        <v>78.8571428571429</v>
      </c>
      <c r="F331" s="35" t="n">
        <f aca="false">($B$2-C331)/7</f>
        <v>136.571428571429</v>
      </c>
      <c r="G331" s="36" t="n">
        <v>96</v>
      </c>
      <c r="H331" s="36" t="n">
        <v>46</v>
      </c>
      <c r="I331" s="37"/>
      <c r="J331" s="37"/>
      <c r="K331" s="38" t="n">
        <f aca="false">IFERROR(((F331*G331)/E331)-H331,"")</f>
        <v>120.260869565217</v>
      </c>
      <c r="L331" s="36" t="str">
        <f aca="false">IF(K331&lt;-10,"MUITO ADIANTADO",IF(K331&lt;-6,"ADIANTADO",IF(K331&lt;6,"EM DIAS",IF(K331&lt;12,"ATRASADO","MUITO ATRASADO"))))</f>
        <v>MUITO ATRASADO</v>
      </c>
      <c r="M331" s="39" t="n">
        <v>45454</v>
      </c>
      <c r="N331" s="55" t="n">
        <f aca="false">$B$2-M331</f>
        <v>717</v>
      </c>
      <c r="O331" s="56" t="str">
        <f aca="false">IF(N331&lt;8,"VERIFICADO",IF(N331&lt;15,"VERIFICAR","VERIFICAR URGENTE"))</f>
        <v>VERIFICAR URGENTE</v>
      </c>
      <c r="P331" s="40"/>
      <c r="Q331" s="40"/>
      <c r="R331" s="40"/>
      <c r="S331" s="40"/>
      <c r="T331" s="40"/>
      <c r="U331" s="40"/>
    </row>
    <row r="332" customFormat="false" ht="15.75" hidden="false" customHeight="true" outlineLevel="0" collapsed="false">
      <c r="A332" s="41" t="s">
        <v>784</v>
      </c>
      <c r="B332" s="57" t="n">
        <f aca="false">M332</f>
        <v>45453</v>
      </c>
      <c r="C332" s="34" t="n">
        <v>44936</v>
      </c>
      <c r="D332" s="34" t="n">
        <v>46070</v>
      </c>
      <c r="E332" s="35" t="n">
        <f aca="false">(D332-C332)/7</f>
        <v>162</v>
      </c>
      <c r="F332" s="35" t="n">
        <f aca="false">($B$2-C332)/7</f>
        <v>176.428571428571</v>
      </c>
      <c r="G332" s="36" t="n">
        <v>252</v>
      </c>
      <c r="H332" s="36" t="n">
        <v>112</v>
      </c>
      <c r="I332" s="37"/>
      <c r="J332" s="37"/>
      <c r="K332" s="38" t="n">
        <f aca="false">IFERROR(((F332*G332)/E332)-H332,"")</f>
        <v>162.444444444444</v>
      </c>
      <c r="L332" s="36" t="str">
        <f aca="false">IF(K332&lt;-10,"MUITO ADIANTADO",IF(K332&lt;-6,"ADIANTADO",IF(K332&lt;6,"EM DIAS",IF(K332&lt;12,"ATRASADO","MUITO ATRASADO"))))</f>
        <v>MUITO ATRASADO</v>
      </c>
      <c r="M332" s="39" t="n">
        <v>45453</v>
      </c>
      <c r="N332" s="55" t="n">
        <f aca="false">$B$2-M332</f>
        <v>718</v>
      </c>
      <c r="O332" s="56" t="str">
        <f aca="false">IF(N332&lt;8,"VERIFICADO",IF(N332&lt;15,"VERIFICAR","VERIFICAR URGENTE"))</f>
        <v>VERIFICAR URGENTE</v>
      </c>
      <c r="P332" s="40"/>
      <c r="Q332" s="40"/>
      <c r="R332" s="40"/>
      <c r="S332" s="40"/>
      <c r="T332" s="40"/>
      <c r="U332" s="40"/>
    </row>
    <row r="333" customFormat="false" ht="15.75" hidden="false" customHeight="true" outlineLevel="0" collapsed="false">
      <c r="A333" s="40" t="s">
        <v>785</v>
      </c>
      <c r="B333" s="57" t="n">
        <f aca="false">M333</f>
        <v>45449</v>
      </c>
      <c r="C333" s="34" t="n">
        <v>45349</v>
      </c>
      <c r="D333" s="34" t="n">
        <v>45470</v>
      </c>
      <c r="E333" s="35" t="n">
        <f aca="false">(D333-C333)/7</f>
        <v>17.2857142857143</v>
      </c>
      <c r="F333" s="35" t="n">
        <f aca="false">($B$2-C333)/7</f>
        <v>117.428571428571</v>
      </c>
      <c r="G333" s="36" t="n">
        <v>18</v>
      </c>
      <c r="H333" s="36" t="n">
        <v>8</v>
      </c>
      <c r="I333" s="37"/>
      <c r="J333" s="37"/>
      <c r="K333" s="38" t="n">
        <f aca="false">IFERROR(((F333*G333)/E333)-H333,"")</f>
        <v>114.280991735537</v>
      </c>
      <c r="L333" s="36" t="str">
        <f aca="false">IF(K333&lt;-10,"MUITO ADIANTADO",IF(K333&lt;-6,"ADIANTADO",IF(K333&lt;6,"EM DIAS",IF(K333&lt;12,"ATRASADO","MUITO ATRASADO"))))</f>
        <v>MUITO ATRASADO</v>
      </c>
      <c r="M333" s="39" t="n">
        <v>45449</v>
      </c>
      <c r="N333" s="55" t="n">
        <f aca="false">$B$2-M333</f>
        <v>722</v>
      </c>
      <c r="O333" s="56" t="str">
        <f aca="false">IF(N333&lt;8,"VERIFICADO",IF(N333&lt;15,"VERIFICAR","VERIFICAR URGENTE"))</f>
        <v>VERIFICAR URGENTE</v>
      </c>
      <c r="P333" s="40"/>
      <c r="Q333" s="40"/>
      <c r="R333" s="40"/>
      <c r="S333" s="40"/>
      <c r="T333" s="40"/>
      <c r="U333" s="40"/>
    </row>
    <row r="334" customFormat="false" ht="15.75" hidden="false" customHeight="true" outlineLevel="0" collapsed="false">
      <c r="A334" s="40" t="s">
        <v>481</v>
      </c>
      <c r="B334" s="57" t="n">
        <f aca="false">M334</f>
        <v>45447</v>
      </c>
      <c r="C334" s="34" t="n">
        <v>44908</v>
      </c>
      <c r="D334" s="34" t="n">
        <v>46236</v>
      </c>
      <c r="E334" s="35" t="n">
        <f aca="false">(D334-C334)/7</f>
        <v>189.714285714286</v>
      </c>
      <c r="F334" s="35" t="n">
        <f aca="false">($B$2-C334)/7</f>
        <v>180.428571428571</v>
      </c>
      <c r="G334" s="36" t="n">
        <v>269</v>
      </c>
      <c r="H334" s="36" t="n">
        <v>104</v>
      </c>
      <c r="I334" s="37"/>
      <c r="J334" s="37"/>
      <c r="K334" s="38" t="n">
        <f aca="false">IFERROR(((F334*G334)/E334)-H334,"")</f>
        <v>151.833584337349</v>
      </c>
      <c r="L334" s="36" t="str">
        <f aca="false">IF(K334&lt;-10,"MUITO ADIANTADO",IF(K334&lt;-6,"ADIANTADO",IF(K334&lt;6,"EM DIAS",IF(K334&lt;12,"ATRASADO","MUITO ATRASADO"))))</f>
        <v>MUITO ATRASADO</v>
      </c>
      <c r="M334" s="39" t="n">
        <v>45447</v>
      </c>
      <c r="N334" s="55" t="n">
        <f aca="false">$B$2-M334</f>
        <v>724</v>
      </c>
      <c r="O334" s="56" t="str">
        <f aca="false">IF(N334&lt;8,"VERIFICADO",IF(N334&lt;15,"VERIFICAR","VERIFICAR URGENTE"))</f>
        <v>VERIFICAR URGENTE</v>
      </c>
      <c r="P334" s="40"/>
      <c r="Q334" s="40"/>
      <c r="R334" s="40"/>
      <c r="S334" s="40"/>
      <c r="T334" s="40"/>
      <c r="U334" s="40"/>
    </row>
    <row r="335" customFormat="false" ht="15.75" hidden="false" customHeight="true" outlineLevel="0" collapsed="false">
      <c r="A335" s="40" t="s">
        <v>786</v>
      </c>
      <c r="B335" s="57" t="n">
        <f aca="false">M335</f>
        <v>45451</v>
      </c>
      <c r="C335" s="34" t="n">
        <v>45349</v>
      </c>
      <c r="D335" s="34" t="n">
        <v>45470</v>
      </c>
      <c r="E335" s="35" t="n">
        <f aca="false">(D335-C335)/7</f>
        <v>17.2857142857143</v>
      </c>
      <c r="F335" s="35" t="n">
        <f aca="false">($B$2-C335)/7</f>
        <v>117.428571428571</v>
      </c>
      <c r="G335" s="36" t="n">
        <v>16</v>
      </c>
      <c r="H335" s="36" t="n">
        <v>11</v>
      </c>
      <c r="I335" s="37"/>
      <c r="J335" s="37"/>
      <c r="K335" s="38" t="n">
        <f aca="false">IFERROR(((F335*G335)/E335)-H335,"")</f>
        <v>97.694214876033</v>
      </c>
      <c r="L335" s="36" t="str">
        <f aca="false">IF(K335&lt;-10,"MUITO ADIANTADO",IF(K335&lt;-6,"ADIANTADO",IF(K335&lt;6,"EM DIAS",IF(K335&lt;12,"ATRASADO","MUITO ATRASADO"))))</f>
        <v>MUITO ATRASADO</v>
      </c>
      <c r="M335" s="39" t="n">
        <v>45451</v>
      </c>
      <c r="N335" s="55" t="n">
        <f aca="false">$B$2-M335</f>
        <v>720</v>
      </c>
      <c r="O335" s="56" t="str">
        <f aca="false">IF(N335&lt;8,"VERIFICADO",IF(N335&lt;15,"VERIFICAR","VERIFICAR URGENTE"))</f>
        <v>VERIFICAR URGENTE</v>
      </c>
      <c r="P335" s="40"/>
      <c r="Q335" s="40"/>
      <c r="R335" s="40"/>
      <c r="S335" s="40"/>
      <c r="T335" s="40"/>
      <c r="U335" s="40"/>
    </row>
    <row r="336" customFormat="false" ht="15.75" hidden="false" customHeight="true" outlineLevel="0" collapsed="false">
      <c r="A336" s="40" t="s">
        <v>787</v>
      </c>
      <c r="B336" s="57" t="n">
        <f aca="false">M336</f>
        <v>45447</v>
      </c>
      <c r="C336" s="34" t="n">
        <v>45136</v>
      </c>
      <c r="D336" s="34" t="n">
        <v>45763</v>
      </c>
      <c r="E336" s="35" t="n">
        <f aca="false">(D336-C336)/7</f>
        <v>89.5714285714286</v>
      </c>
      <c r="F336" s="35" t="n">
        <f aca="false">($B$2-C336)/7</f>
        <v>147.857142857143</v>
      </c>
      <c r="G336" s="36" t="n">
        <v>145</v>
      </c>
      <c r="H336" s="36" t="n">
        <v>80</v>
      </c>
      <c r="I336" s="37" t="n">
        <f aca="false">IFERROR(H336/G336,"")</f>
        <v>0.551724137931035</v>
      </c>
      <c r="J336" s="37" t="n">
        <f aca="false">IFERROR(F336/E336,"")</f>
        <v>1.65071770334928</v>
      </c>
      <c r="K336" s="38" t="n">
        <f aca="false">IFERROR(((F336*G336)/E336)-H336,"")</f>
        <v>159.354066985646</v>
      </c>
      <c r="L336" s="36" t="str">
        <f aca="false">IF(K336&lt;-10,"MUITO ADIANTADO",IF(K336&lt;-6,"ADIANTADO",IF(K336&lt;6,"EM DIAS",IF(K336&lt;12,"ATRASADO","MUITO ATRASADO"))))</f>
        <v>MUITO ATRASADO</v>
      </c>
      <c r="M336" s="39" t="n">
        <v>45447</v>
      </c>
      <c r="N336" s="55" t="n">
        <f aca="false">$B$2-M336</f>
        <v>724</v>
      </c>
      <c r="O336" s="56" t="str">
        <f aca="false">IF(N336&lt;8,"VERIFICADO",IF(N336&lt;15,"VERIFICAR","VERIFICAR URGENTE"))</f>
        <v>VERIFICAR URGENTE</v>
      </c>
      <c r="P336" s="40"/>
      <c r="Q336" s="40"/>
      <c r="R336" s="40"/>
      <c r="S336" s="40"/>
      <c r="T336" s="40"/>
      <c r="U336" s="40"/>
    </row>
    <row r="337" customFormat="false" ht="15.75" hidden="false" customHeight="true" outlineLevel="0" collapsed="false">
      <c r="A337" s="40" t="s">
        <v>788</v>
      </c>
      <c r="B337" s="57" t="n">
        <f aca="false">M337</f>
        <v>45454</v>
      </c>
      <c r="C337" s="34" t="n">
        <v>45124</v>
      </c>
      <c r="D337" s="34" t="n">
        <v>45643</v>
      </c>
      <c r="E337" s="35" t="n">
        <f aca="false">(D337-C337)/7</f>
        <v>74.1428571428571</v>
      </c>
      <c r="F337" s="35" t="n">
        <f aca="false">($B$2-C337)/7</f>
        <v>149.571428571429</v>
      </c>
      <c r="G337" s="36" t="n">
        <v>80</v>
      </c>
      <c r="H337" s="36" t="n">
        <v>58</v>
      </c>
      <c r="I337" s="37"/>
      <c r="J337" s="37"/>
      <c r="K337" s="38" t="n">
        <f aca="false">IFERROR(((F337*G337)/E337)-H337,"")</f>
        <v>103.387283236994</v>
      </c>
      <c r="L337" s="36" t="str">
        <f aca="false">IF(K337&lt;-10,"MUITO ADIANTADO",IF(K337&lt;-6,"ADIANTADO",IF(K337&lt;6,"EM DIAS",IF(K337&lt;12,"ATRASADO","MUITO ATRASADO"))))</f>
        <v>MUITO ATRASADO</v>
      </c>
      <c r="M337" s="39" t="n">
        <v>45454</v>
      </c>
      <c r="N337" s="55" t="n">
        <f aca="false">$B$2-M337</f>
        <v>717</v>
      </c>
      <c r="O337" s="56" t="str">
        <f aca="false">IF(N337&lt;8,"VERIFICADO",IF(N337&lt;15,"VERIFICAR","VERIFICAR URGENTE"))</f>
        <v>VERIFICAR URGENTE</v>
      </c>
      <c r="P337" s="40"/>
      <c r="Q337" s="40"/>
      <c r="R337" s="40"/>
      <c r="S337" s="40"/>
      <c r="T337" s="40"/>
      <c r="U337" s="40"/>
    </row>
    <row r="338" customFormat="false" ht="15.75" hidden="false" customHeight="true" outlineLevel="0" collapsed="false">
      <c r="A338" s="40" t="s">
        <v>789</v>
      </c>
      <c r="B338" s="57" t="n">
        <f aca="false">M338</f>
        <v>45447</v>
      </c>
      <c r="C338" s="34" t="n">
        <v>45307</v>
      </c>
      <c r="D338" s="34" t="n">
        <v>45391</v>
      </c>
      <c r="E338" s="35" t="n">
        <f aca="false">(D338-C338)/7</f>
        <v>12</v>
      </c>
      <c r="F338" s="35" t="n">
        <f aca="false">($B$2-C338)/7</f>
        <v>123.428571428571</v>
      </c>
      <c r="G338" s="36" t="n">
        <v>16</v>
      </c>
      <c r="H338" s="36" t="n">
        <v>16</v>
      </c>
      <c r="I338" s="37"/>
      <c r="J338" s="37"/>
      <c r="K338" s="38" t="n">
        <f aca="false">IFERROR(((F338*G338)/E338)-H338,"")</f>
        <v>148.571428571429</v>
      </c>
      <c r="L338" s="36" t="str">
        <f aca="false">IF(K338&lt;-10,"MUITO ADIANTADO",IF(K338&lt;-6,"ADIANTADO",IF(K338&lt;6,"EM DIAS",IF(K338&lt;12,"ATRASADO","MUITO ATRASADO"))))</f>
        <v>MUITO ATRASADO</v>
      </c>
      <c r="M338" s="39" t="n">
        <v>45447</v>
      </c>
      <c r="N338" s="55" t="n">
        <f aca="false">$B$2-M338</f>
        <v>724</v>
      </c>
      <c r="O338" s="56" t="str">
        <f aca="false">IF(N338&lt;8,"VERIFICADO",IF(N338&lt;15,"VERIFICAR","VERIFICAR URGENTE"))</f>
        <v>VERIFICAR URGENTE</v>
      </c>
      <c r="P338" s="40"/>
      <c r="Q338" s="40"/>
      <c r="R338" s="40"/>
      <c r="S338" s="40"/>
      <c r="T338" s="40"/>
      <c r="U338" s="40"/>
    </row>
    <row r="339" customFormat="false" ht="15.75" hidden="false" customHeight="true" outlineLevel="0" collapsed="false">
      <c r="A339" s="40" t="s">
        <v>488</v>
      </c>
      <c r="B339" s="57" t="n">
        <f aca="false">M339</f>
        <v>45451</v>
      </c>
      <c r="C339" s="34" t="n">
        <v>45430</v>
      </c>
      <c r="D339" s="34" t="n">
        <v>46300</v>
      </c>
      <c r="E339" s="35" t="n">
        <f aca="false">(D339-C339)/7</f>
        <v>124.285714285714</v>
      </c>
      <c r="F339" s="35" t="n">
        <f aca="false">($B$2-C339)/7</f>
        <v>105.857142857143</v>
      </c>
      <c r="G339" s="36" t="n">
        <v>88</v>
      </c>
      <c r="H339" s="36" t="n">
        <v>5</v>
      </c>
      <c r="I339" s="37" t="n">
        <f aca="false">IFERROR(H339/G339,"")</f>
        <v>0.0568181818181818</v>
      </c>
      <c r="J339" s="37" t="n">
        <f aca="false">IFERROR(F339/E339,"")</f>
        <v>0.851724137931037</v>
      </c>
      <c r="K339" s="38" t="n">
        <f aca="false">IFERROR(((F339*G339)/E339)-H339,"")</f>
        <v>69.9517241379312</v>
      </c>
      <c r="L339" s="36" t="str">
        <f aca="false">IF(K339&lt;-10,"MUITO ADIANTADO",IF(K339&lt;-6,"ADIANTADO",IF(K339&lt;6,"EM DIAS",IF(K339&lt;12,"ATRASADO","MUITO ATRASADO"))))</f>
        <v>MUITO ATRASADO</v>
      </c>
      <c r="M339" s="39" t="n">
        <v>45451</v>
      </c>
      <c r="N339" s="55" t="n">
        <f aca="false">$B$2-M339</f>
        <v>720</v>
      </c>
      <c r="O339" s="56" t="str">
        <f aca="false">IF(N339&lt;8,"VERIFICADO",IF(N339&lt;15,"VERIFICAR","VERIFICAR URGENTE"))</f>
        <v>VERIFICAR URGENTE</v>
      </c>
      <c r="P339" s="40"/>
      <c r="Q339" s="40"/>
      <c r="R339" s="40"/>
      <c r="S339" s="40"/>
      <c r="T339" s="40"/>
      <c r="U339" s="40"/>
    </row>
    <row r="340" customFormat="false" ht="15.75" hidden="false" customHeight="true" outlineLevel="0" collapsed="false">
      <c r="A340" s="41" t="s">
        <v>790</v>
      </c>
      <c r="B340" s="57" t="n">
        <f aca="false">M340</f>
        <v>45451</v>
      </c>
      <c r="C340" s="34" t="n">
        <v>45320</v>
      </c>
      <c r="D340" s="34" t="n">
        <v>45474</v>
      </c>
      <c r="E340" s="35" t="n">
        <f aca="false">(D340-C340)/7</f>
        <v>22</v>
      </c>
      <c r="F340" s="35" t="n">
        <f aca="false">($B$2-C340)/7</f>
        <v>121.571428571429</v>
      </c>
      <c r="G340" s="36" t="n">
        <v>32</v>
      </c>
      <c r="H340" s="36" t="n">
        <v>28</v>
      </c>
      <c r="I340" s="37"/>
      <c r="J340" s="37"/>
      <c r="K340" s="38" t="n">
        <f aca="false">IFERROR(((F340*G340)/E340)-H340,"")</f>
        <v>148.831168831169</v>
      </c>
      <c r="L340" s="36" t="str">
        <f aca="false">IF(K340&lt;-10,"MUITO ADIANTADO",IF(K340&lt;-6,"ADIANTADO",IF(K340&lt;6,"EM DIAS",IF(K340&lt;12,"ATRASADO","MUITO ATRASADO"))))</f>
        <v>MUITO ATRASADO</v>
      </c>
      <c r="M340" s="39" t="n">
        <v>45451</v>
      </c>
      <c r="N340" s="55" t="n">
        <f aca="false">$B$2-M340</f>
        <v>720</v>
      </c>
      <c r="O340" s="56" t="str">
        <f aca="false">IF(N340&lt;8,"VERIFICADO",IF(N340&lt;15,"VERIFICAR","VERIFICAR URGENTE"))</f>
        <v>VERIFICAR URGENTE</v>
      </c>
      <c r="P340" s="40"/>
      <c r="Q340" s="40"/>
      <c r="R340" s="40"/>
      <c r="S340" s="40"/>
      <c r="T340" s="40"/>
      <c r="U340" s="40"/>
    </row>
    <row r="341" customFormat="false" ht="15.75" hidden="false" customHeight="true" outlineLevel="0" collapsed="false">
      <c r="A341" s="40" t="s">
        <v>791</v>
      </c>
      <c r="B341" s="57" t="n">
        <f aca="false">M341</f>
        <v>45453</v>
      </c>
      <c r="C341" s="34" t="n">
        <v>45348</v>
      </c>
      <c r="D341" s="34" t="n">
        <v>45469</v>
      </c>
      <c r="E341" s="35" t="n">
        <f aca="false">(D341-C341)/7</f>
        <v>17.2857142857143</v>
      </c>
      <c r="F341" s="35" t="n">
        <f aca="false">($B$2-C341)/7</f>
        <v>117.571428571429</v>
      </c>
      <c r="G341" s="36" t="n">
        <v>16</v>
      </c>
      <c r="H341" s="36" t="n">
        <v>10</v>
      </c>
      <c r="I341" s="37"/>
      <c r="J341" s="37"/>
      <c r="K341" s="38" t="n">
        <f aca="false">IFERROR(((F341*G341)/E341)-H341,"")</f>
        <v>98.8264462809917</v>
      </c>
      <c r="L341" s="36" t="str">
        <f aca="false">IF(K341&lt;-10,"MUITO ADIANTADO",IF(K341&lt;-6,"ADIANTADO",IF(K341&lt;6,"EM DIAS",IF(K341&lt;12,"ATRASADO","MUITO ATRASADO"))))</f>
        <v>MUITO ATRASADO</v>
      </c>
      <c r="M341" s="39" t="n">
        <v>45453</v>
      </c>
      <c r="N341" s="55" t="n">
        <f aca="false">$B$2-M341</f>
        <v>718</v>
      </c>
      <c r="O341" s="56" t="str">
        <f aca="false">IF(N341&lt;8,"VERIFICADO",IF(N341&lt;15,"VERIFICAR","VERIFICAR URGENTE"))</f>
        <v>VERIFICAR URGENTE</v>
      </c>
      <c r="P341" s="40"/>
      <c r="Q341" s="40"/>
      <c r="R341" s="40"/>
      <c r="S341" s="40"/>
      <c r="T341" s="40"/>
      <c r="U341" s="40"/>
    </row>
    <row r="342" customFormat="false" ht="15.75" hidden="false" customHeight="true" outlineLevel="0" collapsed="false">
      <c r="A342" s="41" t="s">
        <v>792</v>
      </c>
      <c r="B342" s="57" t="n">
        <f aca="false">M342</f>
        <v>45453</v>
      </c>
      <c r="C342" s="34" t="n">
        <v>45215</v>
      </c>
      <c r="D342" s="34" t="n">
        <v>45741</v>
      </c>
      <c r="E342" s="35" t="n">
        <f aca="false">(D342-C342)/7</f>
        <v>75.1428571428571</v>
      </c>
      <c r="F342" s="35" t="n">
        <f aca="false">($B$2-C342)/7</f>
        <v>136.571428571429</v>
      </c>
      <c r="G342" s="36" t="n">
        <v>80</v>
      </c>
      <c r="H342" s="36" t="n">
        <v>26</v>
      </c>
      <c r="I342" s="37"/>
      <c r="J342" s="37"/>
      <c r="K342" s="38" t="n">
        <f aca="false">IFERROR(((F342*G342)/E342)-H342,"")</f>
        <v>119.399239543726</v>
      </c>
      <c r="L342" s="36" t="str">
        <f aca="false">IF(K342&lt;-10,"MUITO ADIANTADO",IF(K342&lt;-6,"ADIANTADO",IF(K342&lt;6,"EM DIAS",IF(K342&lt;12,"ATRASADO","MUITO ATRASADO"))))</f>
        <v>MUITO ATRASADO</v>
      </c>
      <c r="M342" s="39" t="n">
        <v>45453</v>
      </c>
      <c r="N342" s="55" t="n">
        <f aca="false">$B$2-M342</f>
        <v>718</v>
      </c>
      <c r="O342" s="56" t="str">
        <f aca="false">IF(N342&lt;8,"VERIFICADO",IF(N342&lt;15,"VERIFICAR","VERIFICAR URGENTE"))</f>
        <v>VERIFICAR URGENTE</v>
      </c>
      <c r="P342" s="40"/>
      <c r="Q342" s="40"/>
      <c r="R342" s="40"/>
      <c r="S342" s="40"/>
      <c r="T342" s="40"/>
      <c r="U342" s="40"/>
    </row>
    <row r="343" customFormat="false" ht="15.75" hidden="false" customHeight="true" outlineLevel="0" collapsed="false">
      <c r="A343" s="40" t="s">
        <v>461</v>
      </c>
      <c r="B343" s="57" t="n">
        <f aca="false">M343</f>
        <v>45450</v>
      </c>
      <c r="C343" s="34" t="n">
        <v>45173</v>
      </c>
      <c r="D343" s="34" t="n">
        <v>46847</v>
      </c>
      <c r="E343" s="35" t="n">
        <f aca="false">(D343-C343)/7</f>
        <v>239.142857142857</v>
      </c>
      <c r="F343" s="35" t="n">
        <f aca="false">($B$2-C343)/7</f>
        <v>142.571428571429</v>
      </c>
      <c r="G343" s="36" t="n">
        <v>256</v>
      </c>
      <c r="H343" s="36" t="n">
        <v>39</v>
      </c>
      <c r="I343" s="37"/>
      <c r="J343" s="37"/>
      <c r="K343" s="38" t="n">
        <f aca="false">IFERROR(((F343*G343)/E343)-H343,"")</f>
        <v>113.621266427718</v>
      </c>
      <c r="L343" s="36" t="str">
        <f aca="false">IF(K343&lt;-10,"MUITO ADIANTADO",IF(K343&lt;-6,"ADIANTADO",IF(K343&lt;6,"EM DIAS",IF(K343&lt;12,"ATRASADO","MUITO ATRASADO"))))</f>
        <v>MUITO ATRASADO</v>
      </c>
      <c r="M343" s="39" t="n">
        <v>45450</v>
      </c>
      <c r="N343" s="55" t="n">
        <f aca="false">$B$2-M343</f>
        <v>721</v>
      </c>
      <c r="O343" s="56" t="str">
        <f aca="false">IF(N343&lt;8,"VERIFICADO",IF(N343&lt;15,"VERIFICAR","VERIFICAR URGENTE"))</f>
        <v>VERIFICAR URGENTE</v>
      </c>
      <c r="P343" s="40"/>
      <c r="Q343" s="40"/>
      <c r="R343" s="40"/>
      <c r="S343" s="40"/>
      <c r="T343" s="40"/>
      <c r="U343" s="40"/>
    </row>
    <row r="344" customFormat="false" ht="15.75" hidden="false" customHeight="true" outlineLevel="0" collapsed="false">
      <c r="A344" s="40" t="s">
        <v>793</v>
      </c>
      <c r="B344" s="57" t="n">
        <f aca="false">M344</f>
        <v>45446</v>
      </c>
      <c r="C344" s="34" t="n">
        <v>45250</v>
      </c>
      <c r="D344" s="34" t="n">
        <v>45760</v>
      </c>
      <c r="E344" s="35" t="n">
        <f aca="false">(D344-C344)/7</f>
        <v>72.8571428571429</v>
      </c>
      <c r="F344" s="35" t="n">
        <f aca="false">($B$2-C344)/7</f>
        <v>131.571428571429</v>
      </c>
      <c r="G344" s="36" t="n">
        <v>80</v>
      </c>
      <c r="H344" s="36" t="n">
        <v>21</v>
      </c>
      <c r="I344" s="37"/>
      <c r="J344" s="37"/>
      <c r="K344" s="38" t="n">
        <f aca="false">IFERROR(((F344*G344)/E344)-H344,"")</f>
        <v>123.470588235294</v>
      </c>
      <c r="L344" s="36" t="str">
        <f aca="false">IF(K344&lt;-10,"MUITO ADIANTADO",IF(K344&lt;-6,"ADIANTADO",IF(K344&lt;6,"EM DIAS",IF(K344&lt;12,"ATRASADO","MUITO ATRASADO"))))</f>
        <v>MUITO ATRASADO</v>
      </c>
      <c r="M344" s="39" t="n">
        <v>45446</v>
      </c>
      <c r="N344" s="55" t="n">
        <f aca="false">$B$2-M344</f>
        <v>725</v>
      </c>
      <c r="O344" s="56" t="str">
        <f aca="false">IF(N344&lt;8,"VERIFICADO",IF(N344&lt;15,"VERIFICAR","VERIFICAR URGENTE"))</f>
        <v>VERIFICAR URGENTE</v>
      </c>
      <c r="P344" s="40"/>
      <c r="Q344" s="40"/>
      <c r="R344" s="40"/>
      <c r="S344" s="40"/>
      <c r="T344" s="40"/>
      <c r="U344" s="40"/>
    </row>
    <row r="345" customFormat="false" ht="15.75" hidden="false" customHeight="true" outlineLevel="0" collapsed="false">
      <c r="A345" s="40" t="s">
        <v>794</v>
      </c>
      <c r="B345" s="57" t="n">
        <f aca="false">M345</f>
        <v>45451</v>
      </c>
      <c r="C345" s="34" t="n">
        <v>45185</v>
      </c>
      <c r="D345" s="34" t="n">
        <v>45647</v>
      </c>
      <c r="E345" s="35" t="n">
        <f aca="false">(D345-C345)/7</f>
        <v>66</v>
      </c>
      <c r="F345" s="35" t="n">
        <f aca="false">($B$2-C345)/7</f>
        <v>140.857142857143</v>
      </c>
      <c r="G345" s="36" t="n">
        <v>80</v>
      </c>
      <c r="H345" s="36" t="n">
        <v>46</v>
      </c>
      <c r="I345" s="37"/>
      <c r="J345" s="37"/>
      <c r="K345" s="38" t="n">
        <f aca="false">IFERROR(((F345*G345)/E345)-H345,"")</f>
        <v>124.735930735931</v>
      </c>
      <c r="L345" s="36" t="str">
        <f aca="false">IF(K345&lt;-10,"MUITO ADIANTADO",IF(K345&lt;-6,"ADIANTADO",IF(K345&lt;6,"EM DIAS",IF(K345&lt;12,"ATRASADO","MUITO ATRASADO"))))</f>
        <v>MUITO ATRASADO</v>
      </c>
      <c r="M345" s="39" t="n">
        <v>45451</v>
      </c>
      <c r="N345" s="55" t="n">
        <f aca="false">$B$2-M345</f>
        <v>720</v>
      </c>
      <c r="O345" s="56" t="str">
        <f aca="false">IF(N345&lt;8,"VERIFICADO",IF(N345&lt;15,"VERIFICAR","VERIFICAR URGENTE"))</f>
        <v>VERIFICAR URGENTE</v>
      </c>
      <c r="P345" s="40"/>
      <c r="Q345" s="40"/>
      <c r="R345" s="40"/>
      <c r="S345" s="40"/>
      <c r="T345" s="40"/>
      <c r="U345" s="40"/>
    </row>
    <row r="346" customFormat="false" ht="15.75" hidden="false" customHeight="true" outlineLevel="0" collapsed="false">
      <c r="A346" s="40" t="s">
        <v>46</v>
      </c>
      <c r="B346" s="57" t="n">
        <f aca="false">M346</f>
        <v>45453</v>
      </c>
      <c r="C346" s="34" t="n">
        <v>44818</v>
      </c>
      <c r="D346" s="34" t="n">
        <v>46091</v>
      </c>
      <c r="E346" s="35" t="n">
        <f aca="false">(D346-C346)/7</f>
        <v>181.857142857143</v>
      </c>
      <c r="F346" s="35" t="n">
        <f aca="false">($B$2-C346)/7</f>
        <v>193.285714285714</v>
      </c>
      <c r="G346" s="36" t="n">
        <v>253</v>
      </c>
      <c r="H346" s="36" t="n">
        <v>100</v>
      </c>
      <c r="I346" s="37" t="n">
        <f aca="false">IFERROR(H346/G346,"")</f>
        <v>0.395256916996047</v>
      </c>
      <c r="J346" s="37" t="n">
        <f aca="false">IFERROR(F346/E346,"")</f>
        <v>1.06284367635507</v>
      </c>
      <c r="K346" s="38" t="n">
        <f aca="false">IFERROR(((F346*G346)/E346)-H346,"")</f>
        <v>168.899450117832</v>
      </c>
      <c r="L346" s="36" t="str">
        <f aca="false">IF(K346&lt;-10,"MUITO ADIANTADO",IF(K346&lt;-6,"ADIANTADO",IF(K346&lt;6,"EM DIAS",IF(K346&lt;12,"ATRASADO","MUITO ATRASADO"))))</f>
        <v>MUITO ATRASADO</v>
      </c>
      <c r="M346" s="39" t="n">
        <v>45453</v>
      </c>
      <c r="N346" s="55" t="n">
        <f aca="false">$B$2-M346</f>
        <v>718</v>
      </c>
      <c r="O346" s="56" t="str">
        <f aca="false">IF(N346&lt;8,"VERIFICADO",IF(N346&lt;15,"VERIFICAR","VERIFICAR URGENTE"))</f>
        <v>VERIFICAR URGENTE</v>
      </c>
      <c r="P346" s="40"/>
      <c r="Q346" s="40"/>
      <c r="R346" s="40"/>
      <c r="S346" s="40"/>
      <c r="T346" s="40"/>
      <c r="U346" s="40"/>
    </row>
    <row r="347" customFormat="false" ht="15.75" hidden="false" customHeight="true" outlineLevel="0" collapsed="false">
      <c r="A347" s="40" t="s">
        <v>795</v>
      </c>
      <c r="B347" s="57" t="n">
        <f aca="false">M347</f>
        <v>45451</v>
      </c>
      <c r="C347" s="34" t="n">
        <v>44993</v>
      </c>
      <c r="D347" s="34" t="n">
        <v>45514</v>
      </c>
      <c r="E347" s="35" t="n">
        <f aca="false">(D347-C347)/7</f>
        <v>74.4285714285714</v>
      </c>
      <c r="F347" s="35" t="n">
        <f aca="false">($B$2-C347)/7</f>
        <v>168.285714285714</v>
      </c>
      <c r="G347" s="36" t="n">
        <v>76</v>
      </c>
      <c r="H347" s="36" t="n">
        <v>52</v>
      </c>
      <c r="I347" s="37" t="n">
        <f aca="false">IFERROR(H347/G347,"")</f>
        <v>0.68421052631579</v>
      </c>
      <c r="J347" s="37" t="n">
        <f aca="false">IFERROR(F347/E347,"")</f>
        <v>2.26103646833014</v>
      </c>
      <c r="K347" s="38" t="n">
        <f aca="false">IFERROR(((F347*G347)/E347)-H347,"")</f>
        <v>119.83877159309</v>
      </c>
      <c r="L347" s="36" t="str">
        <f aca="false">IF(K347&lt;-10,"MUITO ADIANTADO",IF(K347&lt;-6,"ADIANTADO",IF(K347&lt;6,"EM DIAS",IF(K347&lt;12,"ATRASADO","MUITO ATRASADO"))))</f>
        <v>MUITO ATRASADO</v>
      </c>
      <c r="M347" s="39" t="n">
        <v>45451</v>
      </c>
      <c r="N347" s="55" t="n">
        <f aca="false">$B$2-M347</f>
        <v>720</v>
      </c>
      <c r="O347" s="56" t="str">
        <f aca="false">IF(N347&lt;8,"VERIFICADO",IF(N347&lt;15,"VERIFICAR","VERIFICAR URGENTE"))</f>
        <v>VERIFICAR URGENTE</v>
      </c>
      <c r="P347" s="40"/>
      <c r="Q347" s="40"/>
      <c r="R347" s="40"/>
      <c r="S347" s="40"/>
      <c r="T347" s="40"/>
      <c r="U347" s="40"/>
    </row>
    <row r="348" customFormat="false" ht="15.75" hidden="false" customHeight="true" outlineLevel="0" collapsed="false">
      <c r="A348" s="40" t="s">
        <v>796</v>
      </c>
      <c r="B348" s="57" t="n">
        <f aca="false">M348</f>
        <v>45451</v>
      </c>
      <c r="C348" s="34" t="n">
        <v>44884</v>
      </c>
      <c r="D348" s="34" t="n">
        <v>45483</v>
      </c>
      <c r="E348" s="35" t="n">
        <f aca="false">(D348-C348)/7</f>
        <v>85.5714285714286</v>
      </c>
      <c r="F348" s="35" t="n">
        <f aca="false">($B$2-C348)/7</f>
        <v>183.857142857143</v>
      </c>
      <c r="G348" s="36" t="n">
        <v>76</v>
      </c>
      <c r="H348" s="36" t="n">
        <v>74</v>
      </c>
      <c r="I348" s="37" t="n">
        <f aca="false">IFERROR(H348/G348,"")</f>
        <v>0.973684210526316</v>
      </c>
      <c r="J348" s="37" t="n">
        <f aca="false">IFERROR(F348/E348,"")</f>
        <v>2.14858096828047</v>
      </c>
      <c r="K348" s="38" t="n">
        <f aca="false">IFERROR(((F348*G348)/E348)-H348,"")</f>
        <v>89.2921535893155</v>
      </c>
      <c r="L348" s="36" t="str">
        <f aca="false">IF(K348&lt;-10,"MUITO ADIANTADO",IF(K348&lt;-6,"ADIANTADO",IF(K348&lt;6,"EM DIAS",IF(K348&lt;12,"ATRASADO","MUITO ATRASADO"))))</f>
        <v>MUITO ATRASADO</v>
      </c>
      <c r="M348" s="39" t="n">
        <v>45451</v>
      </c>
      <c r="N348" s="55" t="n">
        <f aca="false">$B$2-M348</f>
        <v>720</v>
      </c>
      <c r="O348" s="56" t="str">
        <f aca="false">IF(N348&lt;8,"VERIFICADO",IF(N348&lt;15,"VERIFICAR","VERIFICAR URGENTE"))</f>
        <v>VERIFICAR URGENTE</v>
      </c>
      <c r="P348" s="40"/>
      <c r="Q348" s="40"/>
      <c r="R348" s="40"/>
      <c r="S348" s="40"/>
      <c r="T348" s="40"/>
      <c r="U348" s="40"/>
    </row>
    <row r="349" customFormat="false" ht="15.75" hidden="false" customHeight="true" outlineLevel="0" collapsed="false">
      <c r="A349" s="40" t="s">
        <v>797</v>
      </c>
      <c r="B349" s="57" t="n">
        <f aca="false">M349</f>
        <v>45453</v>
      </c>
      <c r="C349" s="34" t="n">
        <v>45316</v>
      </c>
      <c r="D349" s="34" t="n">
        <v>45498</v>
      </c>
      <c r="E349" s="35" t="n">
        <f aca="false">(D349-C349)/7</f>
        <v>26</v>
      </c>
      <c r="F349" s="35" t="n">
        <f aca="false">($B$2-C349)/7</f>
        <v>122.142857142857</v>
      </c>
      <c r="G349" s="36" t="n">
        <v>80</v>
      </c>
      <c r="H349" s="36" t="n">
        <v>57</v>
      </c>
      <c r="I349" s="37"/>
      <c r="J349" s="37"/>
      <c r="K349" s="38" t="n">
        <f aca="false">IFERROR(((F349*G349)/E349)-H349,"")</f>
        <v>318.824175824176</v>
      </c>
      <c r="L349" s="36" t="str">
        <f aca="false">IF(K349&lt;-10,"MUITO ADIANTADO",IF(K349&lt;-6,"ADIANTADO",IF(K349&lt;6,"EM DIAS",IF(K349&lt;12,"ATRASADO","MUITO ATRASADO"))))</f>
        <v>MUITO ATRASADO</v>
      </c>
      <c r="M349" s="39" t="n">
        <v>45453</v>
      </c>
      <c r="N349" s="55" t="n">
        <f aca="false">$B$2-M349</f>
        <v>718</v>
      </c>
      <c r="O349" s="56" t="str">
        <f aca="false">IF(N349&lt;8,"VERIFICADO",IF(N349&lt;15,"VERIFICAR","VERIFICAR URGENTE"))</f>
        <v>VERIFICAR URGENTE</v>
      </c>
      <c r="P349" s="40"/>
      <c r="Q349" s="40"/>
      <c r="R349" s="40"/>
      <c r="S349" s="40"/>
      <c r="T349" s="40"/>
      <c r="U349" s="40"/>
    </row>
    <row r="350" customFormat="false" ht="15.75" hidden="false" customHeight="true" outlineLevel="0" collapsed="false">
      <c r="A350" s="40" t="s">
        <v>169</v>
      </c>
      <c r="B350" s="57" t="n">
        <f aca="false">M350</f>
        <v>45449</v>
      </c>
      <c r="C350" s="34" t="n">
        <v>45061</v>
      </c>
      <c r="D350" s="34" t="n">
        <v>45611</v>
      </c>
      <c r="E350" s="35" t="n">
        <f aca="false">(D350-C350)/7</f>
        <v>78.5714285714286</v>
      </c>
      <c r="F350" s="35" t="n">
        <f aca="false">($B$2-C350)/7</f>
        <v>158.571428571429</v>
      </c>
      <c r="G350" s="36" t="n">
        <v>96</v>
      </c>
      <c r="H350" s="36" t="n">
        <v>64</v>
      </c>
      <c r="I350" s="37" t="n">
        <f aca="false">IFERROR(H350/G350,"")</f>
        <v>0.666666666666667</v>
      </c>
      <c r="J350" s="37" t="n">
        <f aca="false">IFERROR(F350/E350,"")</f>
        <v>2.01818181818182</v>
      </c>
      <c r="K350" s="38" t="n">
        <f aca="false">IFERROR(((F350*G350)/E350)-H350,"")</f>
        <v>129.745454545455</v>
      </c>
      <c r="L350" s="36" t="str">
        <f aca="false">IF(K350&lt;-10,"MUITO ADIANTADO",IF(K350&lt;-6,"ADIANTADO",IF(K350&lt;6,"EM DIAS",IF(K350&lt;12,"ATRASADO","MUITO ATRASADO"))))</f>
        <v>MUITO ATRASADO</v>
      </c>
      <c r="M350" s="39" t="n">
        <v>45449</v>
      </c>
      <c r="N350" s="55" t="n">
        <f aca="false">$B$2-M350</f>
        <v>722</v>
      </c>
      <c r="O350" s="56" t="str">
        <f aca="false">IF(N350&lt;8,"VERIFICADO",IF(N350&lt;15,"VERIFICAR","VERIFICAR URGENTE"))</f>
        <v>VERIFICAR URGENTE</v>
      </c>
      <c r="P350" s="40"/>
      <c r="Q350" s="40"/>
      <c r="R350" s="40"/>
      <c r="S350" s="40"/>
      <c r="T350" s="40"/>
      <c r="U350" s="40"/>
    </row>
    <row r="351" customFormat="false" ht="15.75" hidden="false" customHeight="true" outlineLevel="0" collapsed="false">
      <c r="A351" s="40" t="s">
        <v>798</v>
      </c>
      <c r="B351" s="57" t="n">
        <f aca="false">M351</f>
        <v>45453</v>
      </c>
      <c r="C351" s="34" t="n">
        <v>45215</v>
      </c>
      <c r="D351" s="34" t="n">
        <v>45834</v>
      </c>
      <c r="E351" s="35" t="n">
        <f aca="false">(D351-C351)/7</f>
        <v>88.4285714285714</v>
      </c>
      <c r="F351" s="35" t="n">
        <f aca="false">($B$2-C351)/7</f>
        <v>136.571428571429</v>
      </c>
      <c r="G351" s="36" t="n">
        <v>80</v>
      </c>
      <c r="H351" s="36" t="n">
        <v>24</v>
      </c>
      <c r="I351" s="37"/>
      <c r="J351" s="37"/>
      <c r="K351" s="38" t="n">
        <f aca="false">IFERROR(((F351*G351)/E351)-H351,"")</f>
        <v>99.5541195476576</v>
      </c>
      <c r="L351" s="36" t="str">
        <f aca="false">IF(K351&lt;-10,"MUITO ADIANTADO",IF(K351&lt;-6,"ADIANTADO",IF(K351&lt;6,"EM DIAS",IF(K351&lt;12,"ATRASADO","MUITO ATRASADO"))))</f>
        <v>MUITO ATRASADO</v>
      </c>
      <c r="M351" s="39" t="n">
        <v>45453</v>
      </c>
      <c r="N351" s="55" t="n">
        <f aca="false">$B$2-M351</f>
        <v>718</v>
      </c>
      <c r="O351" s="56" t="str">
        <f aca="false">IF(N351&lt;8,"VERIFICADO",IF(N351&lt;15,"VERIFICAR","VERIFICAR URGENTE"))</f>
        <v>VERIFICAR URGENTE</v>
      </c>
      <c r="P351" s="40"/>
      <c r="Q351" s="40"/>
      <c r="R351" s="40"/>
      <c r="S351" s="40"/>
      <c r="T351" s="40"/>
      <c r="U351" s="40"/>
    </row>
    <row r="352" customFormat="false" ht="15.75" hidden="false" customHeight="true" outlineLevel="0" collapsed="false">
      <c r="A352" s="40" t="s">
        <v>799</v>
      </c>
      <c r="B352" s="57" t="n">
        <f aca="false">M352</f>
        <v>45451</v>
      </c>
      <c r="C352" s="34" t="n">
        <v>44895</v>
      </c>
      <c r="D352" s="34" t="n">
        <v>45520</v>
      </c>
      <c r="E352" s="35" t="n">
        <f aca="false">(D352-C352)/7</f>
        <v>89.2857142857143</v>
      </c>
      <c r="F352" s="35" t="n">
        <f aca="false">($B$2-C352)/7</f>
        <v>182.285714285714</v>
      </c>
      <c r="G352" s="36" t="n">
        <v>76</v>
      </c>
      <c r="H352" s="36" t="n">
        <v>69</v>
      </c>
      <c r="I352" s="37" t="n">
        <f aca="false">IFERROR(H352/G352,"")</f>
        <v>0.907894736842105</v>
      </c>
      <c r="J352" s="37" t="n">
        <f aca="false">IFERROR(F352/E352,"")</f>
        <v>2.0416</v>
      </c>
      <c r="K352" s="38" t="n">
        <f aca="false">IFERROR(((F352*G352)/E352)-H352,"")</f>
        <v>86.1615999999999</v>
      </c>
      <c r="L352" s="36" t="str">
        <f aca="false">IF(K352&lt;-10,"MUITO ADIANTADO",IF(K352&lt;-6,"ADIANTADO",IF(K352&lt;6,"EM DIAS",IF(K352&lt;12,"ATRASADO","MUITO ATRASADO"))))</f>
        <v>MUITO ATRASADO</v>
      </c>
      <c r="M352" s="39" t="n">
        <v>45451</v>
      </c>
      <c r="N352" s="55" t="n">
        <f aca="false">$B$2-M352</f>
        <v>720</v>
      </c>
      <c r="O352" s="56" t="str">
        <f aca="false">IF(N352&lt;8,"VERIFICADO",IF(N352&lt;15,"VERIFICAR","VERIFICAR URGENTE"))</f>
        <v>VERIFICAR URGENTE</v>
      </c>
      <c r="P352" s="40"/>
      <c r="Q352" s="40"/>
      <c r="R352" s="40"/>
      <c r="S352" s="40"/>
      <c r="T352" s="40"/>
      <c r="U352" s="40"/>
    </row>
    <row r="353" customFormat="false" ht="15.75" hidden="false" customHeight="true" outlineLevel="0" collapsed="false">
      <c r="A353" s="40" t="s">
        <v>800</v>
      </c>
      <c r="B353" s="57" t="n">
        <f aca="false">M353</f>
        <v>45451</v>
      </c>
      <c r="C353" s="34" t="n">
        <v>44891</v>
      </c>
      <c r="D353" s="34" t="n">
        <v>46275</v>
      </c>
      <c r="E353" s="35" t="n">
        <f aca="false">(D353-C353)/7</f>
        <v>197.714285714286</v>
      </c>
      <c r="F353" s="35" t="n">
        <f aca="false">($B$2-C353)/7</f>
        <v>182.857142857143</v>
      </c>
      <c r="G353" s="36" t="n">
        <v>227</v>
      </c>
      <c r="H353" s="36" t="n">
        <v>63</v>
      </c>
      <c r="I353" s="37" t="n">
        <f aca="false">IFERROR(H353/G353,"")</f>
        <v>0.277533039647577</v>
      </c>
      <c r="J353" s="37" t="n">
        <f aca="false">IFERROR(F353/E353,"")</f>
        <v>0.924855491329478</v>
      </c>
      <c r="K353" s="38" t="n">
        <f aca="false">IFERROR(((F353*G353)/E353)-H353,"")</f>
        <v>146.942196531792</v>
      </c>
      <c r="L353" s="36" t="str">
        <f aca="false">IF(K353&lt;-10,"MUITO ADIANTADO",IF(K353&lt;-6,"ADIANTADO",IF(K353&lt;6,"EM DIAS",IF(K353&lt;12,"ATRASADO","MUITO ATRASADO"))))</f>
        <v>MUITO ATRASADO</v>
      </c>
      <c r="M353" s="39" t="n">
        <v>45451</v>
      </c>
      <c r="N353" s="55" t="n">
        <f aca="false">$B$2-M353</f>
        <v>720</v>
      </c>
      <c r="O353" s="56" t="str">
        <f aca="false">IF(N353&lt;8,"VERIFICADO",IF(N353&lt;15,"VERIFICAR","VERIFICAR URGENTE"))</f>
        <v>VERIFICAR URGENTE</v>
      </c>
      <c r="P353" s="40"/>
      <c r="Q353" s="40"/>
      <c r="R353" s="40"/>
      <c r="S353" s="40"/>
      <c r="T353" s="40"/>
      <c r="U353" s="40"/>
    </row>
    <row r="354" customFormat="false" ht="15.75" hidden="false" customHeight="true" outlineLevel="0" collapsed="false">
      <c r="A354" s="40" t="s">
        <v>801</v>
      </c>
      <c r="B354" s="57" t="n">
        <f aca="false">M354</f>
        <v>45451</v>
      </c>
      <c r="C354" s="34" t="n">
        <v>44890</v>
      </c>
      <c r="D354" s="34" t="n">
        <v>46204</v>
      </c>
      <c r="E354" s="35" t="n">
        <f aca="false">(D354-C354)/7</f>
        <v>187.714285714286</v>
      </c>
      <c r="F354" s="35" t="n">
        <f aca="false">($B$2-C354)/7</f>
        <v>183</v>
      </c>
      <c r="G354" s="36" t="n">
        <v>253</v>
      </c>
      <c r="H354" s="36" t="n">
        <v>82</v>
      </c>
      <c r="I354" s="37" t="n">
        <f aca="false">IFERROR(H354/G354,"")</f>
        <v>0.324110671936759</v>
      </c>
      <c r="J354" s="37" t="n">
        <f aca="false">IFERROR(F354/E354,"")</f>
        <v>0.974885844748857</v>
      </c>
      <c r="K354" s="38" t="n">
        <f aca="false">IFERROR(((F354*G354)/E354)-H354,"")</f>
        <v>164.646118721461</v>
      </c>
      <c r="L354" s="36" t="str">
        <f aca="false">IF(K354&lt;-10,"MUITO ADIANTADO",IF(K354&lt;-6,"ADIANTADO",IF(K354&lt;6,"EM DIAS",IF(K354&lt;12,"ATRASADO","MUITO ATRASADO"))))</f>
        <v>MUITO ATRASADO</v>
      </c>
      <c r="M354" s="39" t="n">
        <v>45451</v>
      </c>
      <c r="N354" s="55" t="n">
        <f aca="false">$B$2-M354</f>
        <v>720</v>
      </c>
      <c r="O354" s="56" t="str">
        <f aca="false">IF(N354&lt;8,"VERIFICADO",IF(N354&lt;15,"VERIFICAR","VERIFICAR URGENTE"))</f>
        <v>VERIFICAR URGENTE</v>
      </c>
      <c r="P354" s="40"/>
      <c r="Q354" s="40"/>
      <c r="R354" s="40"/>
      <c r="S354" s="40"/>
      <c r="T354" s="40"/>
      <c r="U354" s="40"/>
    </row>
    <row r="355" customFormat="false" ht="15.75" hidden="false" customHeight="true" outlineLevel="0" collapsed="false">
      <c r="A355" s="40" t="s">
        <v>802</v>
      </c>
      <c r="B355" s="57" t="n">
        <f aca="false">M355</f>
        <v>45451</v>
      </c>
      <c r="C355" s="34" t="n">
        <v>44767</v>
      </c>
      <c r="D355" s="34" t="n">
        <v>45590</v>
      </c>
      <c r="E355" s="35" t="n">
        <f aca="false">(D355-C355)/7</f>
        <v>117.571428571429</v>
      </c>
      <c r="F355" s="35" t="n">
        <f aca="false">($B$2-C355)/7</f>
        <v>200.571428571429</v>
      </c>
      <c r="G355" s="36" t="n">
        <v>112</v>
      </c>
      <c r="H355" s="36" t="n">
        <v>96</v>
      </c>
      <c r="I355" s="37" t="n">
        <f aca="false">IFERROR(H355/G355,"")</f>
        <v>0.857142857142857</v>
      </c>
      <c r="J355" s="37" t="n">
        <f aca="false">IFERROR(F355/E355,"")</f>
        <v>1.7059538274605</v>
      </c>
      <c r="K355" s="38" t="n">
        <f aca="false">IFERROR(((F355*G355)/E355)-H355,"")</f>
        <v>95.0668286755765</v>
      </c>
      <c r="L355" s="36" t="str">
        <f aca="false">IF(K355&lt;-10,"MUITO ADIANTADO",IF(K355&lt;-6,"ADIANTADO",IF(K355&lt;6,"EM DIAS",IF(K355&lt;12,"ATRASADO","MUITO ATRASADO"))))</f>
        <v>MUITO ATRASADO</v>
      </c>
      <c r="M355" s="39" t="n">
        <v>45451</v>
      </c>
      <c r="N355" s="55" t="n">
        <f aca="false">$B$2-M355</f>
        <v>720</v>
      </c>
      <c r="O355" s="56" t="str">
        <f aca="false">IF(N355&lt;8,"VERIFICADO",IF(N355&lt;15,"VERIFICAR","VERIFICAR URGENTE"))</f>
        <v>VERIFICAR URGENTE</v>
      </c>
      <c r="P355" s="40"/>
      <c r="Q355" s="40"/>
      <c r="R355" s="40"/>
      <c r="S355" s="40"/>
      <c r="T355" s="40"/>
      <c r="U355" s="40"/>
    </row>
    <row r="356" customFormat="false" ht="17.25" hidden="false" customHeight="true" outlineLevel="0" collapsed="false">
      <c r="A356" s="40" t="s">
        <v>803</v>
      </c>
      <c r="B356" s="57" t="n">
        <f aca="false">M356</f>
        <v>45451</v>
      </c>
      <c r="C356" s="34" t="n">
        <v>45304</v>
      </c>
      <c r="D356" s="34" t="n">
        <v>46006</v>
      </c>
      <c r="E356" s="35" t="n">
        <f aca="false">(D356-C356)/7</f>
        <v>100.285714285714</v>
      </c>
      <c r="F356" s="35" t="n">
        <f aca="false">($B$2-C356)/7</f>
        <v>123.857142857143</v>
      </c>
      <c r="G356" s="36" t="n">
        <v>128</v>
      </c>
      <c r="H356" s="36" t="n">
        <v>28</v>
      </c>
      <c r="I356" s="37"/>
      <c r="J356" s="37"/>
      <c r="K356" s="38" t="n">
        <f aca="false">IFERROR(((F356*G356)/E356)-H356,"")</f>
        <v>130.085470085471</v>
      </c>
      <c r="L356" s="36" t="str">
        <f aca="false">IF(K356&lt;-10,"MUITO ADIANTADO",IF(K356&lt;-6,"ADIANTADO",IF(K356&lt;6,"EM DIAS",IF(K356&lt;12,"ATRASADO","MUITO ATRASADO"))))</f>
        <v>MUITO ATRASADO</v>
      </c>
      <c r="M356" s="39" t="n">
        <v>45451</v>
      </c>
      <c r="N356" s="55" t="n">
        <f aca="false">$B$2-M356</f>
        <v>720</v>
      </c>
      <c r="O356" s="56" t="str">
        <f aca="false">IF(N356&lt;8,"VERIFICADO",IF(N356&lt;15,"VERIFICAR","VERIFICAR URGENTE"))</f>
        <v>VERIFICAR URGENTE</v>
      </c>
      <c r="P356" s="40"/>
      <c r="Q356" s="40"/>
      <c r="R356" s="40"/>
      <c r="S356" s="40"/>
      <c r="T356" s="40"/>
      <c r="U356" s="40"/>
    </row>
    <row r="357" customFormat="false" ht="15.75" hidden="false" customHeight="true" outlineLevel="0" collapsed="false">
      <c r="A357" s="40" t="s">
        <v>804</v>
      </c>
      <c r="B357" s="57" t="n">
        <f aca="false">M357</f>
        <v>45451</v>
      </c>
      <c r="C357" s="34" t="n">
        <v>45255</v>
      </c>
      <c r="D357" s="34" t="n">
        <v>45741</v>
      </c>
      <c r="E357" s="35" t="n">
        <f aca="false">(D357-C357)/7</f>
        <v>69.4285714285714</v>
      </c>
      <c r="F357" s="35" t="n">
        <f aca="false">($B$2-C357)/7</f>
        <v>130.857142857143</v>
      </c>
      <c r="G357" s="36" t="n">
        <v>80</v>
      </c>
      <c r="H357" s="36" t="n">
        <v>12</v>
      </c>
      <c r="I357" s="37"/>
      <c r="J357" s="37"/>
      <c r="K357" s="38" t="n">
        <f aca="false">IFERROR(((F357*G357)/E357)-H357,"")</f>
        <v>138.781893004115</v>
      </c>
      <c r="L357" s="36" t="str">
        <f aca="false">IF(K357&lt;-10,"MUITO ADIANTADO",IF(K357&lt;-6,"ADIANTADO",IF(K357&lt;6,"EM DIAS",IF(K357&lt;12,"ATRASADO","MUITO ATRASADO"))))</f>
        <v>MUITO ATRASADO</v>
      </c>
      <c r="M357" s="39" t="n">
        <v>45451</v>
      </c>
      <c r="N357" s="55" t="n">
        <f aca="false">$B$2-M357</f>
        <v>720</v>
      </c>
      <c r="O357" s="56" t="str">
        <f aca="false">IF(N357&lt;8,"VERIFICADO",IF(N357&lt;15,"VERIFICAR","VERIFICAR URGENTE"))</f>
        <v>VERIFICAR URGENTE</v>
      </c>
      <c r="P357" s="40"/>
      <c r="Q357" s="40"/>
      <c r="R357" s="40"/>
      <c r="S357" s="40"/>
      <c r="T357" s="40"/>
      <c r="U357" s="40"/>
    </row>
    <row r="358" customFormat="false" ht="15.75" hidden="false" customHeight="true" outlineLevel="0" collapsed="false">
      <c r="A358" s="40" t="s">
        <v>805</v>
      </c>
      <c r="B358" s="57" t="n">
        <f aca="false">M358</f>
        <v>45451</v>
      </c>
      <c r="C358" s="34" t="n">
        <v>44419</v>
      </c>
      <c r="D358" s="34" t="n">
        <v>45736</v>
      </c>
      <c r="E358" s="35" t="n">
        <f aca="false">(D358-C358)/7</f>
        <v>188.142857142857</v>
      </c>
      <c r="F358" s="35" t="n">
        <f aca="false">($B$2-C358)/7</f>
        <v>250.285714285714</v>
      </c>
      <c r="G358" s="36" t="n">
        <v>219</v>
      </c>
      <c r="H358" s="36" t="n">
        <v>172</v>
      </c>
      <c r="I358" s="37" t="n">
        <f aca="false">IFERROR(H358/G358,"")</f>
        <v>0.785388127853881</v>
      </c>
      <c r="J358" s="37" t="n">
        <f aca="false">IFERROR(F358/E358,"")</f>
        <v>1.33029612756264</v>
      </c>
      <c r="K358" s="38" t="n">
        <f aca="false">IFERROR(((F358*G358)/E358)-H358,"")</f>
        <v>119.334851936219</v>
      </c>
      <c r="L358" s="36" t="str">
        <f aca="false">IF(K358&lt;-10,"MUITO ADIANTADO",IF(K358&lt;-6,"ADIANTADO",IF(K358&lt;6,"EM DIAS",IF(K358&lt;12,"ATRASADO","MUITO ATRASADO"))))</f>
        <v>MUITO ATRASADO</v>
      </c>
      <c r="M358" s="39" t="n">
        <v>45451</v>
      </c>
      <c r="N358" s="55" t="n">
        <f aca="false">$B$2-M358</f>
        <v>720</v>
      </c>
      <c r="O358" s="56" t="str">
        <f aca="false">IF(N358&lt;8,"VERIFICADO",IF(N358&lt;15,"VERIFICAR","VERIFICAR URGENTE"))</f>
        <v>VERIFICAR URGENTE</v>
      </c>
      <c r="P358" s="40"/>
      <c r="Q358" s="40"/>
      <c r="R358" s="40"/>
      <c r="S358" s="40"/>
      <c r="T358" s="40"/>
      <c r="U358" s="40"/>
    </row>
    <row r="359" customFormat="false" ht="15.75" hidden="false" customHeight="true" outlineLevel="0" collapsed="false">
      <c r="A359" s="40" t="s">
        <v>806</v>
      </c>
      <c r="B359" s="57" t="n">
        <f aca="false">M359</f>
        <v>45451</v>
      </c>
      <c r="C359" s="34" t="n">
        <v>44961</v>
      </c>
      <c r="D359" s="34" t="n">
        <v>45471</v>
      </c>
      <c r="E359" s="35" t="n">
        <f aca="false">(D359-C359)/7</f>
        <v>72.8571428571429</v>
      </c>
      <c r="F359" s="35" t="n">
        <f aca="false">($B$2-C359)/7</f>
        <v>172.857142857143</v>
      </c>
      <c r="G359" s="36" t="n">
        <v>92</v>
      </c>
      <c r="H359" s="36" t="n">
        <v>86</v>
      </c>
      <c r="I359" s="37"/>
      <c r="J359" s="37"/>
      <c r="K359" s="38" t="n">
        <f aca="false">IFERROR(((F359*G359)/E359)-H359,"")</f>
        <v>132.274509803921</v>
      </c>
      <c r="L359" s="36" t="str">
        <f aca="false">IF(K359&lt;-10,"MUITO ADIANTADO",IF(K359&lt;-6,"ADIANTADO",IF(K359&lt;6,"EM DIAS",IF(K359&lt;12,"ATRASADO","MUITO ATRASADO"))))</f>
        <v>MUITO ATRASADO</v>
      </c>
      <c r="M359" s="39" t="n">
        <v>45451</v>
      </c>
      <c r="N359" s="55" t="n">
        <f aca="false">$B$2-M359</f>
        <v>720</v>
      </c>
      <c r="O359" s="56" t="str">
        <f aca="false">IF(N359&lt;8,"VERIFICADO",IF(N359&lt;15,"VERIFICAR","VERIFICAR URGENTE"))</f>
        <v>VERIFICAR URGENTE</v>
      </c>
      <c r="P359" s="40"/>
      <c r="Q359" s="40"/>
      <c r="R359" s="40"/>
      <c r="S359" s="40"/>
      <c r="T359" s="40"/>
      <c r="U359" s="40"/>
    </row>
    <row r="360" customFormat="false" ht="15.75" hidden="false" customHeight="true" outlineLevel="0" collapsed="false">
      <c r="A360" s="40" t="s">
        <v>807</v>
      </c>
      <c r="B360" s="57" t="n">
        <f aca="false">M360</f>
        <v>45451</v>
      </c>
      <c r="C360" s="34" t="n">
        <v>44884</v>
      </c>
      <c r="D360" s="34" t="n">
        <v>45498</v>
      </c>
      <c r="E360" s="35" t="n">
        <f aca="false">(D360-C360)/7</f>
        <v>87.7142857142857</v>
      </c>
      <c r="F360" s="35" t="n">
        <f aca="false">($B$2-C360)/7</f>
        <v>183.857142857143</v>
      </c>
      <c r="G360" s="36" t="n">
        <v>76</v>
      </c>
      <c r="H360" s="36" t="n">
        <v>70</v>
      </c>
      <c r="I360" s="37" t="n">
        <f aca="false">IFERROR(H360/G360,"")</f>
        <v>0.921052631578947</v>
      </c>
      <c r="J360" s="37" t="n">
        <f aca="false">IFERROR(F360/E360,"")</f>
        <v>2.09609120521173</v>
      </c>
      <c r="K360" s="38" t="n">
        <f aca="false">IFERROR(((F360*G360)/E360)-H360,"")</f>
        <v>89.3029315960912</v>
      </c>
      <c r="L360" s="36" t="str">
        <f aca="false">IF(K360&lt;-10,"MUITO ADIANTADO",IF(K360&lt;-6,"ADIANTADO",IF(K360&lt;6,"EM DIAS",IF(K360&lt;12,"ATRASADO","MUITO ATRASADO"))))</f>
        <v>MUITO ATRASADO</v>
      </c>
      <c r="M360" s="39" t="n">
        <v>45451</v>
      </c>
      <c r="N360" s="55" t="n">
        <f aca="false">$B$2-M360</f>
        <v>720</v>
      </c>
      <c r="O360" s="56" t="str">
        <f aca="false">IF(N360&lt;8,"VERIFICADO",IF(N360&lt;15,"VERIFICAR","VERIFICAR URGENTE"))</f>
        <v>VERIFICAR URGENTE</v>
      </c>
      <c r="P360" s="40"/>
      <c r="Q360" s="40"/>
      <c r="R360" s="40"/>
      <c r="S360" s="40"/>
      <c r="T360" s="40"/>
      <c r="U360" s="40"/>
    </row>
    <row r="361" customFormat="false" ht="15.75" hidden="false" customHeight="true" outlineLevel="0" collapsed="false">
      <c r="A361" s="40" t="s">
        <v>808</v>
      </c>
      <c r="B361" s="57" t="n">
        <f aca="false">M361</f>
        <v>45451</v>
      </c>
      <c r="C361" s="34" t="n">
        <v>45045</v>
      </c>
      <c r="D361" s="34" t="n">
        <v>45562</v>
      </c>
      <c r="E361" s="35" t="n">
        <f aca="false">(D361-C361)/7</f>
        <v>73.8571428571429</v>
      </c>
      <c r="F361" s="35" t="n">
        <f aca="false">($B$2-C361)/7</f>
        <v>160.857142857143</v>
      </c>
      <c r="G361" s="36" t="n">
        <v>80</v>
      </c>
      <c r="H361" s="36" t="n">
        <v>64</v>
      </c>
      <c r="I361" s="37" t="n">
        <f aca="false">IFERROR(H361/G361,"")</f>
        <v>0.8</v>
      </c>
      <c r="J361" s="37" t="n">
        <f aca="false">IFERROR(F361/E361,"")</f>
        <v>2.1779497098646</v>
      </c>
      <c r="K361" s="38" t="n">
        <f aca="false">IFERROR(((F361*G361)/E361)-H361,"")</f>
        <v>110.235976789168</v>
      </c>
      <c r="L361" s="36" t="str">
        <f aca="false">IF(K361&lt;-10,"MUITO ADIANTADO",IF(K361&lt;-6,"ADIANTADO",IF(K361&lt;6,"EM DIAS",IF(K361&lt;12,"ATRASADO","MUITO ATRASADO"))))</f>
        <v>MUITO ATRASADO</v>
      </c>
      <c r="M361" s="39" t="n">
        <v>45451</v>
      </c>
      <c r="N361" s="55" t="n">
        <f aca="false">$B$2-M361</f>
        <v>720</v>
      </c>
      <c r="O361" s="56" t="str">
        <f aca="false">IF(N361&lt;8,"VERIFICADO",IF(N361&lt;15,"VERIFICAR","VERIFICAR URGENTE"))</f>
        <v>VERIFICAR URGENTE</v>
      </c>
      <c r="P361" s="40"/>
      <c r="Q361" s="40"/>
      <c r="R361" s="40"/>
      <c r="S361" s="40"/>
      <c r="T361" s="40"/>
      <c r="U361" s="40"/>
    </row>
    <row r="362" customFormat="false" ht="15.75" hidden="false" customHeight="true" outlineLevel="0" collapsed="false">
      <c r="A362" s="40" t="s">
        <v>809</v>
      </c>
      <c r="B362" s="57" t="n">
        <f aca="false">M362</f>
        <v>45451</v>
      </c>
      <c r="C362" s="34" t="n">
        <v>45210</v>
      </c>
      <c r="D362" s="34" t="n">
        <v>45721</v>
      </c>
      <c r="E362" s="35" t="n">
        <f aca="false">(D362-C362)/7</f>
        <v>73</v>
      </c>
      <c r="F362" s="35" t="n">
        <f aca="false">($B$2-C362)/7</f>
        <v>137.285714285714</v>
      </c>
      <c r="G362" s="36" t="n">
        <v>80</v>
      </c>
      <c r="H362" s="36" t="n">
        <v>19</v>
      </c>
      <c r="I362" s="37"/>
      <c r="J362" s="37"/>
      <c r="K362" s="38" t="n">
        <f aca="false">IFERROR(((F362*G362)/E362)-H362,"")</f>
        <v>131.450097847358</v>
      </c>
      <c r="L362" s="36" t="str">
        <f aca="false">IF(K362&lt;-10,"MUITO ADIANTADO",IF(K362&lt;-6,"ADIANTADO",IF(K362&lt;6,"EM DIAS",IF(K362&lt;12,"ATRASADO","MUITO ATRASADO"))))</f>
        <v>MUITO ATRASADO</v>
      </c>
      <c r="M362" s="39" t="n">
        <v>45451</v>
      </c>
      <c r="N362" s="55" t="n">
        <f aca="false">$B$2-M362</f>
        <v>720</v>
      </c>
      <c r="O362" s="56" t="str">
        <f aca="false">IF(N362&lt;8,"VERIFICADO",IF(N362&lt;15,"VERIFICAR","VERIFICAR URGENTE"))</f>
        <v>VERIFICAR URGENTE</v>
      </c>
      <c r="P362" s="40"/>
      <c r="Q362" s="40"/>
      <c r="R362" s="40"/>
      <c r="S362" s="40"/>
      <c r="T362" s="40"/>
      <c r="U362" s="40"/>
    </row>
    <row r="363" customFormat="false" ht="15.75" hidden="false" customHeight="true" outlineLevel="0" collapsed="false">
      <c r="A363" s="40" t="s">
        <v>810</v>
      </c>
      <c r="B363" s="57" t="n">
        <f aca="false">M363</f>
        <v>45451</v>
      </c>
      <c r="C363" s="34" t="n">
        <v>45304</v>
      </c>
      <c r="D363" s="34" t="n">
        <v>45879</v>
      </c>
      <c r="E363" s="35" t="n">
        <f aca="false">(D363-C363)/7</f>
        <v>82.1428571428571</v>
      </c>
      <c r="F363" s="35" t="n">
        <f aca="false">($B$2-C363)/7</f>
        <v>123.857142857143</v>
      </c>
      <c r="G363" s="36" t="n">
        <v>108</v>
      </c>
      <c r="H363" s="36" t="n">
        <v>32</v>
      </c>
      <c r="I363" s="37" t="n">
        <f aca="false">IFERROR(H363/G363,"")</f>
        <v>0.296296296296296</v>
      </c>
      <c r="J363" s="37" t="n">
        <f aca="false">IFERROR(F363/E363,"")</f>
        <v>1.50782608695652</v>
      </c>
      <c r="K363" s="38" t="n">
        <f aca="false">IFERROR(((F363*G363)/E363)-H363,"")</f>
        <v>130.845217391304</v>
      </c>
      <c r="L363" s="36" t="str">
        <f aca="false">IF(K363&lt;-10,"MUITO ADIANTADO",IF(K363&lt;-6,"ADIANTADO",IF(K363&lt;6,"EM DIAS",IF(K363&lt;12,"ATRASADO","MUITO ATRASADO"))))</f>
        <v>MUITO ATRASADO</v>
      </c>
      <c r="M363" s="39" t="n">
        <v>45451</v>
      </c>
      <c r="N363" s="55" t="n">
        <f aca="false">$B$2-M363</f>
        <v>720</v>
      </c>
      <c r="O363" s="56" t="str">
        <f aca="false">IF(N363&lt;8,"VERIFICADO",IF(N363&lt;15,"VERIFICAR","VERIFICAR URGENTE"))</f>
        <v>VERIFICAR URGENTE</v>
      </c>
      <c r="P363" s="40"/>
      <c r="Q363" s="40"/>
      <c r="R363" s="40"/>
      <c r="S363" s="40"/>
      <c r="T363" s="40"/>
      <c r="U363" s="40"/>
    </row>
    <row r="364" customFormat="false" ht="15.75" hidden="false" customHeight="true" outlineLevel="0" collapsed="false">
      <c r="A364" s="40" t="s">
        <v>811</v>
      </c>
      <c r="B364" s="57" t="n">
        <f aca="false">M364</f>
        <v>45451</v>
      </c>
      <c r="C364" s="34" t="n">
        <v>44986</v>
      </c>
      <c r="D364" s="34" t="n">
        <v>45623</v>
      </c>
      <c r="E364" s="35" t="n">
        <f aca="false">(D364-C364)/7</f>
        <v>91</v>
      </c>
      <c r="F364" s="35" t="n">
        <f aca="false">($B$2-C364)/7</f>
        <v>169.285714285714</v>
      </c>
      <c r="G364" s="36" t="n">
        <v>80</v>
      </c>
      <c r="H364" s="36" t="n">
        <v>51</v>
      </c>
      <c r="I364" s="37"/>
      <c r="J364" s="37"/>
      <c r="K364" s="38" t="n">
        <f aca="false">IFERROR(((F364*G364)/E364)-H364,"")</f>
        <v>97.8226059654631</v>
      </c>
      <c r="L364" s="36" t="str">
        <f aca="false">IF(K364&lt;-10,"MUITO ADIANTADO",IF(K364&lt;-6,"ADIANTADO",IF(K364&lt;6,"EM DIAS",IF(K364&lt;12,"ATRASADO","MUITO ATRASADO"))))</f>
        <v>MUITO ATRASADO</v>
      </c>
      <c r="M364" s="39" t="n">
        <v>45451</v>
      </c>
      <c r="N364" s="55" t="n">
        <f aca="false">$B$2-M364</f>
        <v>720</v>
      </c>
      <c r="O364" s="56" t="str">
        <f aca="false">IF(N364&lt;8,"VERIFICADO",IF(N364&lt;15,"VERIFICAR","VERIFICAR URGENTE"))</f>
        <v>VERIFICAR URGENTE</v>
      </c>
      <c r="P364" s="40"/>
      <c r="Q364" s="40"/>
      <c r="R364" s="40"/>
      <c r="S364" s="40"/>
      <c r="T364" s="40"/>
      <c r="U364" s="40"/>
    </row>
    <row r="365" customFormat="false" ht="15.75" hidden="false" customHeight="true" outlineLevel="0" collapsed="false">
      <c r="A365" s="40" t="s">
        <v>166</v>
      </c>
      <c r="B365" s="57" t="n">
        <f aca="false">M365</f>
        <v>45451</v>
      </c>
      <c r="C365" s="34" t="n">
        <v>45049</v>
      </c>
      <c r="D365" s="34" t="n">
        <v>45563</v>
      </c>
      <c r="E365" s="35" t="n">
        <f aca="false">(D365-C365)/7</f>
        <v>73.4285714285714</v>
      </c>
      <c r="F365" s="35" t="n">
        <f aca="false">($B$2-C365)/7</f>
        <v>160.285714285714</v>
      </c>
      <c r="G365" s="36" t="n">
        <v>80</v>
      </c>
      <c r="H365" s="36" t="n">
        <v>78</v>
      </c>
      <c r="I365" s="37" t="n">
        <f aca="false">IFERROR(H365/G365,"")</f>
        <v>0.975</v>
      </c>
      <c r="J365" s="37" t="n">
        <f aca="false">IFERROR(F365/E365,"")</f>
        <v>2.18287937743191</v>
      </c>
      <c r="K365" s="38" t="n">
        <f aca="false">IFERROR(((F365*G365)/E365)-H365,"")</f>
        <v>96.6303501945526</v>
      </c>
      <c r="L365" s="36" t="str">
        <f aca="false">IF(K365&lt;-10,"MUITO ADIANTADO",IF(K365&lt;-6,"ADIANTADO",IF(K365&lt;6,"EM DIAS",IF(K365&lt;12,"ATRASADO","MUITO ATRASADO"))))</f>
        <v>MUITO ATRASADO</v>
      </c>
      <c r="M365" s="39" t="n">
        <v>45451</v>
      </c>
      <c r="N365" s="55" t="n">
        <f aca="false">$B$2-M365</f>
        <v>720</v>
      </c>
      <c r="O365" s="56" t="str">
        <f aca="false">IF(N365&lt;8,"VERIFICADO",IF(N365&lt;15,"VERIFICAR","VERIFICAR URGENTE"))</f>
        <v>VERIFICAR URGENTE</v>
      </c>
      <c r="P365" s="40"/>
      <c r="Q365" s="40"/>
      <c r="R365" s="40"/>
      <c r="S365" s="40"/>
      <c r="T365" s="40"/>
      <c r="U365" s="40"/>
    </row>
    <row r="366" customFormat="false" ht="15.75" hidden="false" customHeight="true" outlineLevel="0" collapsed="false">
      <c r="A366" s="40" t="s">
        <v>812</v>
      </c>
      <c r="B366" s="57" t="n">
        <f aca="false">M366</f>
        <v>45451</v>
      </c>
      <c r="C366" s="34" t="n">
        <v>45029</v>
      </c>
      <c r="D366" s="34" t="n">
        <v>45626</v>
      </c>
      <c r="E366" s="35" t="n">
        <f aca="false">(D366-C366)/7</f>
        <v>85.2857142857143</v>
      </c>
      <c r="F366" s="35" t="n">
        <f aca="false">($B$2-C366)/7</f>
        <v>163.142857142857</v>
      </c>
      <c r="G366" s="36" t="n">
        <v>80</v>
      </c>
      <c r="H366" s="36" t="n">
        <v>55</v>
      </c>
      <c r="I366" s="37" t="n">
        <f aca="false">IFERROR(H366/G366,"")</f>
        <v>0.6875</v>
      </c>
      <c r="J366" s="37" t="n">
        <f aca="false">IFERROR(F366/E366,"")</f>
        <v>1.91289782244556</v>
      </c>
      <c r="K366" s="38" t="n">
        <f aca="false">IFERROR(((F366*G366)/E366)-H366,"")</f>
        <v>98.0318257956448</v>
      </c>
      <c r="L366" s="36" t="str">
        <f aca="false">IF(K366&lt;-10,"MUITO ADIANTADO",IF(K366&lt;-6,"ADIANTADO",IF(K366&lt;6,"EM DIAS",IF(K366&lt;12,"ATRASADO","MUITO ATRASADO"))))</f>
        <v>MUITO ATRASADO</v>
      </c>
      <c r="M366" s="39" t="n">
        <v>45451</v>
      </c>
      <c r="N366" s="55" t="n">
        <f aca="false">$B$2-M366</f>
        <v>720</v>
      </c>
      <c r="O366" s="56" t="str">
        <f aca="false">IF(N366&lt;8,"VERIFICADO",IF(N366&lt;15,"VERIFICAR","VERIFICAR URGENTE"))</f>
        <v>VERIFICAR URGENTE</v>
      </c>
      <c r="P366" s="40"/>
      <c r="Q366" s="40"/>
      <c r="R366" s="40"/>
      <c r="S366" s="40"/>
      <c r="T366" s="40"/>
      <c r="U366" s="40"/>
    </row>
    <row r="367" customFormat="false" ht="15.75" hidden="false" customHeight="true" outlineLevel="0" collapsed="false">
      <c r="A367" s="40" t="s">
        <v>813</v>
      </c>
      <c r="B367" s="57" t="n">
        <f aca="false">M367</f>
        <v>45451</v>
      </c>
      <c r="C367" s="34" t="n">
        <v>45276</v>
      </c>
      <c r="D367" s="34" t="n">
        <v>45946</v>
      </c>
      <c r="E367" s="35" t="n">
        <f aca="false">(D367-C367)/7</f>
        <v>95.7142857142857</v>
      </c>
      <c r="F367" s="35" t="n">
        <f aca="false">($B$2-C367)/7</f>
        <v>127.857142857143</v>
      </c>
      <c r="G367" s="36" t="n">
        <v>86</v>
      </c>
      <c r="H367" s="36" t="n">
        <v>7</v>
      </c>
      <c r="I367" s="37"/>
      <c r="J367" s="37"/>
      <c r="K367" s="38" t="n">
        <f aca="false">IFERROR(((F367*G367)/E367)-H367,"")</f>
        <v>107.880597014925</v>
      </c>
      <c r="L367" s="36" t="str">
        <f aca="false">IF(K367&lt;-10,"MUITO ADIANTADO",IF(K367&lt;-6,"ADIANTADO",IF(K367&lt;6,"EM DIAS",IF(K367&lt;12,"ATRASADO","MUITO ATRASADO"))))</f>
        <v>MUITO ATRASADO</v>
      </c>
      <c r="M367" s="39" t="n">
        <v>45451</v>
      </c>
      <c r="N367" s="55" t="n">
        <f aca="false">$B$2-M367</f>
        <v>720</v>
      </c>
      <c r="O367" s="56" t="str">
        <f aca="false">IF(N367&lt;8,"VERIFICADO",IF(N367&lt;15,"VERIFICAR","VERIFICAR URGENTE"))</f>
        <v>VERIFICAR URGENTE</v>
      </c>
      <c r="P367" s="40"/>
      <c r="Q367" s="40"/>
      <c r="R367" s="40"/>
      <c r="S367" s="40"/>
      <c r="T367" s="40"/>
      <c r="U367" s="40"/>
    </row>
    <row r="368" customFormat="false" ht="15.75" hidden="false" customHeight="true" outlineLevel="0" collapsed="false">
      <c r="A368" s="40" t="s">
        <v>814</v>
      </c>
      <c r="B368" s="57" t="n">
        <f aca="false">M368</f>
        <v>45448</v>
      </c>
      <c r="C368" s="34" t="n">
        <v>45239</v>
      </c>
      <c r="D368" s="34" t="n">
        <v>45726</v>
      </c>
      <c r="E368" s="35" t="n">
        <f aca="false">(D368-C368)/7</f>
        <v>69.5714285714286</v>
      </c>
      <c r="F368" s="35" t="n">
        <f aca="false">($B$2-C368)/7</f>
        <v>133.142857142857</v>
      </c>
      <c r="G368" s="36" t="n">
        <v>96</v>
      </c>
      <c r="H368" s="36" t="n">
        <v>44</v>
      </c>
      <c r="I368" s="37" t="n">
        <f aca="false">IFERROR(H368/G368,"")</f>
        <v>0.458333333333333</v>
      </c>
      <c r="J368" s="37" t="n">
        <f aca="false">IFERROR(F368/E368,"")</f>
        <v>1.91375770020534</v>
      </c>
      <c r="K368" s="38" t="n">
        <f aca="false">IFERROR(((F368*G368)/E368)-H368,"")</f>
        <v>139.720739219712</v>
      </c>
      <c r="L368" s="36" t="str">
        <f aca="false">IF(K368&lt;-10,"MUITO ADIANTADO",IF(K368&lt;-6,"ADIANTADO",IF(K368&lt;6,"EM DIAS",IF(K368&lt;12,"ATRASADO","MUITO ATRASADO"))))</f>
        <v>MUITO ATRASADO</v>
      </c>
      <c r="M368" s="39" t="n">
        <v>45448</v>
      </c>
      <c r="N368" s="55" t="n">
        <f aca="false">$B$2-M368</f>
        <v>723</v>
      </c>
      <c r="O368" s="56" t="str">
        <f aca="false">IF(N368&lt;8,"VERIFICADO",IF(N368&lt;15,"VERIFICAR","VERIFICAR URGENTE"))</f>
        <v>VERIFICAR URGENTE</v>
      </c>
      <c r="P368" s="40"/>
      <c r="Q368" s="40"/>
      <c r="R368" s="40"/>
      <c r="S368" s="40"/>
      <c r="T368" s="40"/>
      <c r="U368" s="40"/>
    </row>
    <row r="369" customFormat="false" ht="15.75" hidden="false" customHeight="true" outlineLevel="0" collapsed="false">
      <c r="A369" s="40" t="s">
        <v>815</v>
      </c>
      <c r="B369" s="57" t="n">
        <f aca="false">M369</f>
        <v>45448</v>
      </c>
      <c r="C369" s="34" t="n">
        <v>45045</v>
      </c>
      <c r="D369" s="34" t="n">
        <v>45582</v>
      </c>
      <c r="E369" s="35" t="n">
        <f aca="false">(D369-C369)/7</f>
        <v>76.7142857142857</v>
      </c>
      <c r="F369" s="35" t="n">
        <f aca="false">($B$2-C369)/7</f>
        <v>160.857142857143</v>
      </c>
      <c r="G369" s="36" t="n">
        <v>80</v>
      </c>
      <c r="H369" s="36" t="n">
        <v>60</v>
      </c>
      <c r="I369" s="37" t="n">
        <f aca="false">IFERROR(H369/G369,"")</f>
        <v>0.75</v>
      </c>
      <c r="J369" s="37" t="n">
        <f aca="false">IFERROR(F369/E369,"")</f>
        <v>2.09683426443203</v>
      </c>
      <c r="K369" s="38" t="n">
        <f aca="false">IFERROR(((F369*G369)/E369)-H369,"")</f>
        <v>107.746741154562</v>
      </c>
      <c r="L369" s="36" t="str">
        <f aca="false">IF(K369&lt;-10,"MUITO ADIANTADO",IF(K369&lt;-6,"ADIANTADO",IF(K369&lt;6,"EM DIAS",IF(K369&lt;12,"ATRASADO","MUITO ATRASADO"))))</f>
        <v>MUITO ATRASADO</v>
      </c>
      <c r="M369" s="39" t="n">
        <v>45448</v>
      </c>
      <c r="N369" s="55" t="n">
        <f aca="false">$B$2-M369</f>
        <v>723</v>
      </c>
      <c r="O369" s="56" t="str">
        <f aca="false">IF(N369&lt;8,"VERIFICADO",IF(N369&lt;15,"VERIFICAR","VERIFICAR URGENTE"))</f>
        <v>VERIFICAR URGENTE</v>
      </c>
      <c r="P369" s="40"/>
      <c r="Q369" s="40"/>
      <c r="R369" s="40"/>
      <c r="S369" s="40"/>
      <c r="T369" s="40"/>
      <c r="U369" s="40"/>
    </row>
    <row r="370" customFormat="false" ht="15.75" hidden="false" customHeight="true" outlineLevel="0" collapsed="false">
      <c r="A370" s="40" t="s">
        <v>816</v>
      </c>
      <c r="B370" s="57" t="n">
        <f aca="false">M370</f>
        <v>45451</v>
      </c>
      <c r="C370" s="34" t="n">
        <v>45416</v>
      </c>
      <c r="D370" s="34" t="n">
        <v>45546</v>
      </c>
      <c r="E370" s="35" t="n">
        <f aca="false">(D370-C370)/7</f>
        <v>18.5714285714286</v>
      </c>
      <c r="F370" s="35" t="n">
        <f aca="false">($B$2-C370)/7</f>
        <v>107.857142857143</v>
      </c>
      <c r="G370" s="36" t="n">
        <v>16</v>
      </c>
      <c r="H370" s="36" t="n">
        <v>7</v>
      </c>
      <c r="I370" s="37"/>
      <c r="J370" s="37"/>
      <c r="K370" s="38" t="n">
        <f aca="false">IFERROR(((F370*G370)/E370)-H370,"")</f>
        <v>85.9230769230768</v>
      </c>
      <c r="L370" s="36" t="str">
        <f aca="false">IF(K370&lt;-10,"MUITO ADIANTADO",IF(K370&lt;-6,"ADIANTADO",IF(K370&lt;6,"EM DIAS",IF(K370&lt;12,"ATRASADO","MUITO ATRASADO"))))</f>
        <v>MUITO ATRASADO</v>
      </c>
      <c r="M370" s="39" t="n">
        <v>45451</v>
      </c>
      <c r="N370" s="55" t="n">
        <f aca="false">$B$2-M370</f>
        <v>720</v>
      </c>
      <c r="O370" s="56" t="str">
        <f aca="false">IF(N370&lt;8,"VERIFICADO",IF(N370&lt;15,"VERIFICAR","VERIFICAR URGENTE"))</f>
        <v>VERIFICAR URGENTE</v>
      </c>
      <c r="P370" s="40"/>
      <c r="Q370" s="40"/>
      <c r="R370" s="40"/>
      <c r="S370" s="40"/>
      <c r="T370" s="40"/>
      <c r="U370" s="40"/>
    </row>
    <row r="371" customFormat="false" ht="15.75" hidden="false" customHeight="true" outlineLevel="0" collapsed="false">
      <c r="A371" s="40" t="s">
        <v>817</v>
      </c>
      <c r="B371" s="57" t="n">
        <f aca="false">M371</f>
        <v>45451</v>
      </c>
      <c r="C371" s="34" t="n">
        <v>45374</v>
      </c>
      <c r="D371" s="34" t="n">
        <v>46561</v>
      </c>
      <c r="E371" s="35" t="n">
        <f aca="false">(D371-C371)/7</f>
        <v>169.571428571429</v>
      </c>
      <c r="F371" s="35" t="n">
        <f aca="false">($B$2-C371)/7</f>
        <v>113.857142857143</v>
      </c>
      <c r="G371" s="36" t="n">
        <v>176</v>
      </c>
      <c r="H371" s="36" t="n">
        <v>12</v>
      </c>
      <c r="I371" s="37"/>
      <c r="J371" s="37"/>
      <c r="K371" s="38" t="n">
        <f aca="false">IFERROR(((F371*G371)/E371)-H371,"")</f>
        <v>106.173546756529</v>
      </c>
      <c r="L371" s="36" t="str">
        <f aca="false">IF(K371&lt;-10,"MUITO ADIANTADO",IF(K371&lt;-6,"ADIANTADO",IF(K371&lt;6,"EM DIAS",IF(K371&lt;12,"ATRASADO","MUITO ATRASADO"))))</f>
        <v>MUITO ATRASADO</v>
      </c>
      <c r="M371" s="39" t="n">
        <v>45451</v>
      </c>
      <c r="N371" s="55" t="n">
        <f aca="false">$B$2-M371</f>
        <v>720</v>
      </c>
      <c r="O371" s="56" t="str">
        <f aca="false">IF(N371&lt;8,"VERIFICADO",IF(N371&lt;15,"VERIFICAR","VERIFICAR URGENTE"))</f>
        <v>VERIFICAR URGENTE</v>
      </c>
      <c r="P371" s="40"/>
      <c r="Q371" s="40"/>
      <c r="R371" s="40"/>
      <c r="S371" s="40"/>
      <c r="T371" s="40"/>
      <c r="U371" s="40"/>
    </row>
    <row r="372" customFormat="false" ht="15.75" hidden="false" customHeight="true" outlineLevel="0" collapsed="false">
      <c r="A372" s="40" t="s">
        <v>490</v>
      </c>
      <c r="B372" s="57" t="n">
        <f aca="false">M372</f>
        <v>45453</v>
      </c>
      <c r="C372" s="34" t="n">
        <v>44865</v>
      </c>
      <c r="D372" s="34" t="n">
        <v>46157</v>
      </c>
      <c r="E372" s="35" t="n">
        <f aca="false">(D372-C372)/7</f>
        <v>184.571428571429</v>
      </c>
      <c r="F372" s="35" t="n">
        <f aca="false">($B$2-C372)/7</f>
        <v>186.571428571429</v>
      </c>
      <c r="G372" s="36" t="n">
        <v>253</v>
      </c>
      <c r="H372" s="36" t="n">
        <v>122</v>
      </c>
      <c r="I372" s="37"/>
      <c r="J372" s="37"/>
      <c r="K372" s="38" t="n">
        <f aca="false">IFERROR(((F372*G372)/E372)-H372,"")</f>
        <v>133.741486068111</v>
      </c>
      <c r="L372" s="36" t="str">
        <f aca="false">IF(K372&lt;-10,"MUITO ADIANTADO",IF(K372&lt;-6,"ADIANTADO",IF(K372&lt;6,"EM DIAS",IF(K372&lt;12,"ATRASADO","MUITO ATRASADO"))))</f>
        <v>MUITO ATRASADO</v>
      </c>
      <c r="M372" s="39" t="n">
        <v>45453</v>
      </c>
      <c r="N372" s="55" t="n">
        <f aca="false">$B$2-M372</f>
        <v>718</v>
      </c>
      <c r="O372" s="56" t="str">
        <f aca="false">IF(N372&lt;8,"VERIFICADO",IF(N372&lt;15,"VERIFICAR","VERIFICAR URGENTE"))</f>
        <v>VERIFICAR URGENTE</v>
      </c>
      <c r="P372" s="40"/>
      <c r="Q372" s="40"/>
      <c r="R372" s="40"/>
      <c r="S372" s="40"/>
      <c r="T372" s="40"/>
      <c r="U372" s="40"/>
    </row>
    <row r="373" customFormat="false" ht="15.75" hidden="false" customHeight="true" outlineLevel="0" collapsed="false">
      <c r="A373" s="40" t="s">
        <v>340</v>
      </c>
      <c r="B373" s="57" t="n">
        <f aca="false">M373</f>
        <v>45451</v>
      </c>
      <c r="C373" s="34" t="n">
        <v>44898</v>
      </c>
      <c r="D373" s="34" t="n">
        <v>46196</v>
      </c>
      <c r="E373" s="35" t="n">
        <f aca="false">(D373-C373)/7</f>
        <v>185.428571428571</v>
      </c>
      <c r="F373" s="35" t="n">
        <f aca="false">($B$2-C373)/7</f>
        <v>181.857142857143</v>
      </c>
      <c r="G373" s="36" t="n">
        <v>268</v>
      </c>
      <c r="H373" s="36" t="n">
        <v>113</v>
      </c>
      <c r="I373" s="37" t="n">
        <f aca="false">IFERROR(H373/G373,"")</f>
        <v>0.421641791044776</v>
      </c>
      <c r="J373" s="37" t="n">
        <f aca="false">IFERROR(F373/E373,"")</f>
        <v>0.98073959938367</v>
      </c>
      <c r="K373" s="38" t="n">
        <f aca="false">IFERROR(((F373*G373)/E373)-H373,"")</f>
        <v>149.838212634823</v>
      </c>
      <c r="L373" s="36" t="str">
        <f aca="false">IF(K373&lt;-10,"MUITO ADIANTADO",IF(K373&lt;-6,"ADIANTADO",IF(K373&lt;6,"EM DIAS",IF(K373&lt;12,"ATRASADO","MUITO ATRASADO"))))</f>
        <v>MUITO ATRASADO</v>
      </c>
      <c r="M373" s="39" t="n">
        <v>45451</v>
      </c>
      <c r="N373" s="55" t="n">
        <f aca="false">$B$2-M373</f>
        <v>720</v>
      </c>
      <c r="O373" s="56" t="str">
        <f aca="false">IF(N373&lt;8,"VERIFICADO",IF(N373&lt;15,"VERIFICAR","VERIFICAR URGENTE"))</f>
        <v>VERIFICAR URGENTE</v>
      </c>
      <c r="P373" s="40"/>
      <c r="Q373" s="40"/>
      <c r="R373" s="40"/>
      <c r="S373" s="40"/>
      <c r="T373" s="40"/>
      <c r="U373" s="40"/>
    </row>
    <row r="374" customFormat="false" ht="15.75" hidden="false" customHeight="true" outlineLevel="0" collapsed="false">
      <c r="A374" s="40" t="s">
        <v>818</v>
      </c>
      <c r="B374" s="57" t="n">
        <f aca="false">M374</f>
        <v>45453</v>
      </c>
      <c r="C374" s="34" t="n">
        <v>45195</v>
      </c>
      <c r="D374" s="34" t="n">
        <v>45847</v>
      </c>
      <c r="E374" s="35" t="n">
        <f aca="false">(D374-C374)/7</f>
        <v>93.1428571428571</v>
      </c>
      <c r="F374" s="35" t="n">
        <f aca="false">($B$2-C374)/7</f>
        <v>139.428571428571</v>
      </c>
      <c r="G374" s="36" t="n">
        <v>91</v>
      </c>
      <c r="H374" s="36" t="n">
        <v>33</v>
      </c>
      <c r="I374" s="37" t="n">
        <f aca="false">IFERROR(H374/G374,"")</f>
        <v>0.362637362637363</v>
      </c>
      <c r="J374" s="37" t="n">
        <f aca="false">IFERROR(F374/E374,"")</f>
        <v>1.49693251533742</v>
      </c>
      <c r="K374" s="38" t="n">
        <f aca="false">IFERROR(((F374*G374)/E374)-H374,"")</f>
        <v>103.220858895706</v>
      </c>
      <c r="L374" s="36" t="str">
        <f aca="false">IF(K374&lt;-10,"MUITO ADIANTADO",IF(K374&lt;-6,"ADIANTADO",IF(K374&lt;6,"EM DIAS",IF(K374&lt;12,"ATRASADO","MUITO ATRASADO"))))</f>
        <v>MUITO ATRASADO</v>
      </c>
      <c r="M374" s="39" t="n">
        <v>45453</v>
      </c>
      <c r="N374" s="55" t="n">
        <f aca="false">$B$2-M374</f>
        <v>718</v>
      </c>
      <c r="O374" s="56" t="str">
        <f aca="false">IF(N374&lt;8,"VERIFICADO",IF(N374&lt;15,"VERIFICAR","VERIFICAR URGENTE"))</f>
        <v>VERIFICAR URGENTE</v>
      </c>
      <c r="P374" s="40"/>
      <c r="Q374" s="40"/>
      <c r="R374" s="40"/>
      <c r="S374" s="40"/>
      <c r="T374" s="40"/>
      <c r="U374" s="40"/>
    </row>
    <row r="375" customFormat="false" ht="15.75" hidden="false" customHeight="true" outlineLevel="0" collapsed="false">
      <c r="A375" s="40" t="s">
        <v>819</v>
      </c>
      <c r="B375" s="57" t="n">
        <f aca="false">M375</f>
        <v>45453</v>
      </c>
      <c r="C375" s="34" t="n">
        <v>45250</v>
      </c>
      <c r="D375" s="34" t="n">
        <v>45823</v>
      </c>
      <c r="E375" s="35" t="n">
        <f aca="false">(D375-C375)/7</f>
        <v>81.8571428571429</v>
      </c>
      <c r="F375" s="35" t="n">
        <f aca="false">($B$2-C375)/7</f>
        <v>131.571428571429</v>
      </c>
      <c r="G375" s="36" t="n">
        <v>80</v>
      </c>
      <c r="H375" s="36" t="n">
        <v>22</v>
      </c>
      <c r="I375" s="37"/>
      <c r="J375" s="37"/>
      <c r="K375" s="38" t="n">
        <f aca="false">IFERROR(((F375*G375)/E375)-H375,"")</f>
        <v>106.586387434555</v>
      </c>
      <c r="L375" s="36" t="str">
        <f aca="false">IF(K375&lt;-10,"MUITO ADIANTADO",IF(K375&lt;-6,"ADIANTADO",IF(K375&lt;6,"EM DIAS",IF(K375&lt;12,"ATRASADO","MUITO ATRASADO"))))</f>
        <v>MUITO ATRASADO</v>
      </c>
      <c r="M375" s="39" t="n">
        <v>45453</v>
      </c>
      <c r="N375" s="55" t="n">
        <f aca="false">$B$2-M375</f>
        <v>718</v>
      </c>
      <c r="O375" s="56" t="str">
        <f aca="false">IF(N375&lt;8,"VERIFICADO",IF(N375&lt;15,"VERIFICAR","VERIFICAR URGENTE"))</f>
        <v>VERIFICAR URGENTE</v>
      </c>
      <c r="P375" s="40"/>
      <c r="Q375" s="40"/>
      <c r="R375" s="40"/>
      <c r="S375" s="40"/>
      <c r="T375" s="40"/>
      <c r="U375" s="40"/>
    </row>
    <row r="376" customFormat="false" ht="15.75" hidden="false" customHeight="true" outlineLevel="0" collapsed="false">
      <c r="A376" s="41" t="s">
        <v>820</v>
      </c>
      <c r="B376" s="57" t="n">
        <f aca="false">M376</f>
        <v>45451</v>
      </c>
      <c r="C376" s="34" t="n">
        <v>45203</v>
      </c>
      <c r="D376" s="34" t="n">
        <v>45777</v>
      </c>
      <c r="E376" s="35" t="n">
        <f aca="false">(D376-C376)/7</f>
        <v>82</v>
      </c>
      <c r="F376" s="35" t="n">
        <f aca="false">($B$2-C376)/7</f>
        <v>138.285714285714</v>
      </c>
      <c r="G376" s="36" t="n">
        <v>80</v>
      </c>
      <c r="H376" s="36" t="n">
        <v>33</v>
      </c>
      <c r="I376" s="37"/>
      <c r="J376" s="37"/>
      <c r="K376" s="38" t="n">
        <f aca="false">IFERROR(((F376*G376)/E376)-H376,"")</f>
        <v>101.912891986063</v>
      </c>
      <c r="L376" s="36" t="str">
        <f aca="false">IF(K376&lt;-10,"MUITO ADIANTADO",IF(K376&lt;-6,"ADIANTADO",IF(K376&lt;6,"EM DIAS",IF(K376&lt;12,"ATRASADO","MUITO ATRASADO"))))</f>
        <v>MUITO ATRASADO</v>
      </c>
      <c r="M376" s="39" t="n">
        <v>45451</v>
      </c>
      <c r="N376" s="55" t="n">
        <f aca="false">$B$2-M376</f>
        <v>720</v>
      </c>
      <c r="O376" s="56" t="str">
        <f aca="false">IF(N376&lt;8,"VERIFICADO",IF(N376&lt;15,"VERIFICAR","VERIFICAR URGENTE"))</f>
        <v>VERIFICAR URGENTE</v>
      </c>
      <c r="P376" s="40"/>
      <c r="Q376" s="40"/>
      <c r="R376" s="40"/>
      <c r="S376" s="40"/>
      <c r="T376" s="40"/>
      <c r="U376" s="40"/>
    </row>
    <row r="377" customFormat="false" ht="15.75" hidden="false" customHeight="true" outlineLevel="0" collapsed="false">
      <c r="A377" s="40" t="s">
        <v>129</v>
      </c>
      <c r="B377" s="57" t="n">
        <f aca="false">M377</f>
        <v>45453</v>
      </c>
      <c r="C377" s="34" t="n">
        <v>44797</v>
      </c>
      <c r="D377" s="34" t="n">
        <v>45406</v>
      </c>
      <c r="E377" s="35" t="n">
        <f aca="false">(D377-C377)/7</f>
        <v>87</v>
      </c>
      <c r="F377" s="35" t="n">
        <f aca="false">($B$2-C377)/7</f>
        <v>196.285714285714</v>
      </c>
      <c r="G377" s="36" t="n">
        <v>76</v>
      </c>
      <c r="H377" s="36" t="n">
        <v>80</v>
      </c>
      <c r="I377" s="37" t="n">
        <f aca="false">IFERROR(H377/G377,"")</f>
        <v>1.05263157894737</v>
      </c>
      <c r="J377" s="37" t="n">
        <f aca="false">IFERROR(F377/E377,"")</f>
        <v>2.25615763546798</v>
      </c>
      <c r="K377" s="38" t="n">
        <f aca="false">IFERROR(((F377*G377)/E377)-H377,"")</f>
        <v>91.4679802955665</v>
      </c>
      <c r="L377" s="36" t="str">
        <f aca="false">IF(K377&lt;-10,"MUITO ADIANTADO",IF(K377&lt;-6,"ADIANTADO",IF(K377&lt;6,"EM DIAS",IF(K377&lt;12,"ATRASADO","MUITO ATRASADO"))))</f>
        <v>MUITO ATRASADO</v>
      </c>
      <c r="M377" s="39" t="n">
        <v>45453</v>
      </c>
      <c r="N377" s="55" t="n">
        <f aca="false">$B$2-M377</f>
        <v>718</v>
      </c>
      <c r="O377" s="56" t="str">
        <f aca="false">IF(N377&lt;8,"VERIFICADO",IF(N377&lt;15,"VERIFICAR","VERIFICAR URGENTE"))</f>
        <v>VERIFICAR URGENTE</v>
      </c>
      <c r="P377" s="40"/>
      <c r="Q377" s="40"/>
      <c r="R377" s="40"/>
      <c r="S377" s="40"/>
      <c r="T377" s="40"/>
      <c r="U377" s="40"/>
    </row>
    <row r="378" customFormat="false" ht="15.75" hidden="false" customHeight="true" outlineLevel="0" collapsed="false">
      <c r="A378" s="40" t="s">
        <v>821</v>
      </c>
      <c r="B378" s="57" t="n">
        <f aca="false">M378</f>
        <v>45449</v>
      </c>
      <c r="C378" s="34" t="n">
        <v>45435</v>
      </c>
      <c r="D378" s="34" t="n">
        <v>45745</v>
      </c>
      <c r="E378" s="35" t="n">
        <f aca="false">(D378-C378)/7</f>
        <v>44.2857142857143</v>
      </c>
      <c r="F378" s="35" t="n">
        <f aca="false">($B$2-C378)/7</f>
        <v>105.142857142857</v>
      </c>
      <c r="G378" s="36" t="n">
        <v>100</v>
      </c>
      <c r="H378" s="36" t="n">
        <v>0</v>
      </c>
      <c r="I378" s="37"/>
      <c r="J378" s="37"/>
      <c r="K378" s="38" t="n">
        <f aca="false">IFERROR(((F378*G378)/E378)-H378,"")</f>
        <v>237.41935483871</v>
      </c>
      <c r="L378" s="36" t="str">
        <f aca="false">IF(K378&lt;-10,"MUITO ADIANTADO",IF(K378&lt;-6,"ADIANTADO",IF(K378&lt;6,"EM DIAS",IF(K378&lt;12,"ATRASADO","MUITO ATRASADO"))))</f>
        <v>MUITO ATRASADO</v>
      </c>
      <c r="M378" s="39" t="n">
        <v>45449</v>
      </c>
      <c r="N378" s="55" t="n">
        <f aca="false">$B$2-M378</f>
        <v>722</v>
      </c>
      <c r="O378" s="56" t="str">
        <f aca="false">IF(N378&lt;8,"VERIFICADO",IF(N378&lt;15,"VERIFICAR","VERIFICAR URGENTE"))</f>
        <v>VERIFICAR URGENTE</v>
      </c>
      <c r="P378" s="40"/>
      <c r="Q378" s="40"/>
      <c r="R378" s="40"/>
      <c r="S378" s="40"/>
      <c r="T378" s="40"/>
      <c r="U378" s="40"/>
    </row>
    <row r="379" customFormat="false" ht="15.75" hidden="false" customHeight="true" outlineLevel="0" collapsed="false">
      <c r="A379" s="40" t="s">
        <v>822</v>
      </c>
      <c r="B379" s="57" t="n">
        <f aca="false">M379</f>
        <v>45451</v>
      </c>
      <c r="C379" s="34" t="n">
        <v>45240</v>
      </c>
      <c r="D379" s="34" t="n">
        <v>45787</v>
      </c>
      <c r="E379" s="35" t="n">
        <f aca="false">(D379-C379)/7</f>
        <v>78.1428571428571</v>
      </c>
      <c r="F379" s="35" t="n">
        <f aca="false">($B$2-C379)/7</f>
        <v>133</v>
      </c>
      <c r="G379" s="36" t="n">
        <v>80</v>
      </c>
      <c r="H379" s="36" t="n">
        <v>13</v>
      </c>
      <c r="I379" s="37"/>
      <c r="J379" s="37"/>
      <c r="K379" s="38" t="n">
        <f aca="false">IFERROR(((F379*G379)/E379)-H379,"")</f>
        <v>123.160877513711</v>
      </c>
      <c r="L379" s="36" t="str">
        <f aca="false">IF(K379&lt;-10,"MUITO ADIANTADO",IF(K379&lt;-6,"ADIANTADO",IF(K379&lt;6,"EM DIAS",IF(K379&lt;12,"ATRASADO","MUITO ATRASADO"))))</f>
        <v>MUITO ATRASADO</v>
      </c>
      <c r="M379" s="39" t="n">
        <v>45451</v>
      </c>
      <c r="N379" s="55" t="n">
        <f aca="false">$B$2-M379</f>
        <v>720</v>
      </c>
      <c r="O379" s="56" t="str">
        <f aca="false">IF(N379&lt;8,"VERIFICADO",IF(N379&lt;15,"VERIFICAR","VERIFICAR URGENTE"))</f>
        <v>VERIFICAR URGENTE</v>
      </c>
      <c r="P379" s="40"/>
      <c r="Q379" s="40"/>
      <c r="R379" s="40"/>
      <c r="S379" s="40"/>
      <c r="T379" s="40"/>
      <c r="U379" s="40"/>
    </row>
    <row r="380" customFormat="false" ht="15.75" hidden="false" customHeight="true" outlineLevel="0" collapsed="false">
      <c r="A380" s="66" t="s">
        <v>823</v>
      </c>
      <c r="B380" s="57" t="n">
        <f aca="false">M380</f>
        <v>45449</v>
      </c>
      <c r="C380" s="34" t="n">
        <v>45363</v>
      </c>
      <c r="D380" s="34" t="n">
        <v>45721</v>
      </c>
      <c r="E380" s="35" t="n">
        <f aca="false">(D380-C380)/7</f>
        <v>51.1428571428571</v>
      </c>
      <c r="F380" s="35" t="n">
        <f aca="false">($B$2-C380)/7</f>
        <v>115.428571428571</v>
      </c>
      <c r="G380" s="36" t="n">
        <v>80</v>
      </c>
      <c r="H380" s="36" t="n">
        <v>17</v>
      </c>
      <c r="I380" s="37"/>
      <c r="J380" s="37"/>
      <c r="K380" s="38" t="n">
        <f aca="false">IFERROR(((F380*G380)/E380)-H380,"")</f>
        <v>163.558659217877</v>
      </c>
      <c r="L380" s="36" t="str">
        <f aca="false">IF(K380&lt;-10,"MUITO ADIANTADO",IF(K380&lt;-6,"ADIANTADO",IF(K380&lt;6,"EM DIAS",IF(K380&lt;12,"ATRASADO","MUITO ATRASADO"))))</f>
        <v>MUITO ATRASADO</v>
      </c>
      <c r="M380" s="39" t="n">
        <v>45449</v>
      </c>
      <c r="N380" s="55" t="n">
        <f aca="false">$B$2-M380</f>
        <v>722</v>
      </c>
      <c r="O380" s="56" t="str">
        <f aca="false">IF(N380&lt;8,"VERIFICADO",IF(N380&lt;15,"VERIFICAR","VERIFICAR URGENTE"))</f>
        <v>VERIFICAR URGENTE</v>
      </c>
      <c r="P380" s="40"/>
      <c r="Q380" s="40"/>
      <c r="R380" s="40"/>
      <c r="S380" s="40"/>
      <c r="T380" s="40"/>
      <c r="U380" s="40"/>
    </row>
    <row r="381" customFormat="false" ht="15.75" hidden="false" customHeight="true" outlineLevel="0" collapsed="false">
      <c r="A381" s="40" t="s">
        <v>824</v>
      </c>
      <c r="B381" s="57" t="n">
        <f aca="false">M381</f>
        <v>45451</v>
      </c>
      <c r="C381" s="34" t="n">
        <v>45252</v>
      </c>
      <c r="D381" s="34" t="n">
        <v>46244</v>
      </c>
      <c r="E381" s="35" t="n">
        <f aca="false">(D381-C381)/7</f>
        <v>141.714285714286</v>
      </c>
      <c r="F381" s="35" t="n">
        <f aca="false">($B$2-C381)/7</f>
        <v>131.285714285714</v>
      </c>
      <c r="G381" s="36" t="n">
        <v>144</v>
      </c>
      <c r="H381" s="36" t="n">
        <v>28</v>
      </c>
      <c r="I381" s="37"/>
      <c r="J381" s="37"/>
      <c r="K381" s="38" t="n">
        <f aca="false">IFERROR(((F381*G381)/E381)-H381,"")</f>
        <v>105.403225806451</v>
      </c>
      <c r="L381" s="36" t="str">
        <f aca="false">IF(K381&lt;-10,"MUITO ADIANTADO",IF(K381&lt;-6,"ADIANTADO",IF(K381&lt;6,"EM DIAS",IF(K381&lt;12,"ATRASADO","MUITO ATRASADO"))))</f>
        <v>MUITO ATRASADO</v>
      </c>
      <c r="M381" s="39" t="n">
        <v>45451</v>
      </c>
      <c r="N381" s="55" t="n">
        <f aca="false">$B$2-M381</f>
        <v>720</v>
      </c>
      <c r="O381" s="56" t="str">
        <f aca="false">IF(N381&lt;8,"VERIFICADO",IF(N381&lt;15,"VERIFICAR","VERIFICAR URGENTE"))</f>
        <v>VERIFICAR URGENTE</v>
      </c>
      <c r="P381" s="40"/>
      <c r="Q381" s="40"/>
      <c r="R381" s="40"/>
      <c r="S381" s="40"/>
      <c r="T381" s="40"/>
      <c r="U381" s="40"/>
    </row>
    <row r="382" customFormat="false" ht="15.75" hidden="false" customHeight="true" outlineLevel="0" collapsed="false">
      <c r="A382" s="40" t="s">
        <v>825</v>
      </c>
      <c r="B382" s="57" t="n">
        <f aca="false">M382</f>
        <v>45451</v>
      </c>
      <c r="C382" s="34" t="n">
        <v>45357</v>
      </c>
      <c r="D382" s="34" t="n">
        <v>45915</v>
      </c>
      <c r="E382" s="35" t="n">
        <f aca="false">(D382-C382)/7</f>
        <v>79.7142857142857</v>
      </c>
      <c r="F382" s="35" t="n">
        <f aca="false">($B$2-C382)/7</f>
        <v>116.285714285714</v>
      </c>
      <c r="G382" s="36" t="n">
        <v>80</v>
      </c>
      <c r="H382" s="36" t="n">
        <v>22</v>
      </c>
      <c r="I382" s="37"/>
      <c r="J382" s="37"/>
      <c r="K382" s="38" t="n">
        <f aca="false">IFERROR(((F382*G382)/E382)-H382,"")</f>
        <v>94.7025089605735</v>
      </c>
      <c r="L382" s="36" t="str">
        <f aca="false">IF(K382&lt;-10,"MUITO ADIANTADO",IF(K382&lt;-6,"ADIANTADO",IF(K382&lt;6,"EM DIAS",IF(K382&lt;12,"ATRASADO","MUITO ATRASADO"))))</f>
        <v>MUITO ATRASADO</v>
      </c>
      <c r="M382" s="39" t="n">
        <v>45451</v>
      </c>
      <c r="N382" s="55" t="n">
        <f aca="false">$B$2-M382</f>
        <v>720</v>
      </c>
      <c r="O382" s="56" t="str">
        <f aca="false">IF(N382&lt;8,"VERIFICADO",IF(N382&lt;15,"VERIFICAR","VERIFICAR URGENTE"))</f>
        <v>VERIFICAR URGENTE</v>
      </c>
      <c r="P382" s="40"/>
      <c r="Q382" s="40"/>
      <c r="R382" s="40"/>
      <c r="S382" s="40"/>
      <c r="T382" s="40"/>
      <c r="U382" s="40"/>
    </row>
    <row r="383" customFormat="false" ht="15.75" hidden="false" customHeight="true" outlineLevel="0" collapsed="false">
      <c r="A383" s="40" t="s">
        <v>826</v>
      </c>
      <c r="B383" s="57" t="n">
        <f aca="false">M383</f>
        <v>45449</v>
      </c>
      <c r="C383" s="34" t="n">
        <v>45358</v>
      </c>
      <c r="D383" s="34" t="n">
        <v>46157</v>
      </c>
      <c r="E383" s="35" t="n">
        <f aca="false">(D383-C383)/7</f>
        <v>114.142857142857</v>
      </c>
      <c r="F383" s="35" t="n">
        <f aca="false">($B$2-C383)/7</f>
        <v>116.142857142857</v>
      </c>
      <c r="G383" s="36" t="n">
        <v>112</v>
      </c>
      <c r="H383" s="36" t="n">
        <v>17</v>
      </c>
      <c r="I383" s="37"/>
      <c r="J383" s="37"/>
      <c r="K383" s="38" t="n">
        <f aca="false">IFERROR(((F383*G383)/E383)-H383,"")</f>
        <v>96.9624530663331</v>
      </c>
      <c r="L383" s="36" t="str">
        <f aca="false">IF(K383&lt;-10,"MUITO ADIANTADO",IF(K383&lt;-6,"ADIANTADO",IF(K383&lt;6,"EM DIAS",IF(K383&lt;12,"ATRASADO","MUITO ATRASADO"))))</f>
        <v>MUITO ATRASADO</v>
      </c>
      <c r="M383" s="39" t="n">
        <v>45449</v>
      </c>
      <c r="N383" s="55" t="n">
        <f aca="false">$B$2-M383</f>
        <v>722</v>
      </c>
      <c r="O383" s="56" t="str">
        <f aca="false">IF(N383&lt;8,"VERIFICADO",IF(N383&lt;15,"VERIFICAR","VERIFICAR URGENTE"))</f>
        <v>VERIFICAR URGENTE</v>
      </c>
      <c r="P383" s="40"/>
      <c r="Q383" s="40"/>
      <c r="R383" s="40"/>
      <c r="S383" s="40"/>
      <c r="T383" s="40"/>
      <c r="U383" s="40"/>
    </row>
    <row r="384" customFormat="false" ht="15.75" hidden="false" customHeight="true" outlineLevel="0" collapsed="false">
      <c r="A384" s="40" t="s">
        <v>827</v>
      </c>
      <c r="B384" s="57" t="n">
        <f aca="false">M384</f>
        <v>45449</v>
      </c>
      <c r="C384" s="34" t="n">
        <v>45364</v>
      </c>
      <c r="D384" s="34" t="n">
        <v>45915</v>
      </c>
      <c r="E384" s="35" t="n">
        <f aca="false">(D384-C384)/7</f>
        <v>78.7142857142857</v>
      </c>
      <c r="F384" s="35" t="n">
        <f aca="false">($B$2-C384)/7</f>
        <v>115.285714285714</v>
      </c>
      <c r="G384" s="36" t="n">
        <v>80</v>
      </c>
      <c r="H384" s="36" t="n">
        <v>8</v>
      </c>
      <c r="I384" s="37"/>
      <c r="J384" s="37"/>
      <c r="K384" s="38" t="n">
        <f aca="false">IFERROR(((F384*G384)/E384)-H384,"")</f>
        <v>109.168784029038</v>
      </c>
      <c r="L384" s="36" t="str">
        <f aca="false">IF(K384&lt;-10,"MUITO ADIANTADO",IF(K384&lt;-6,"ADIANTADO",IF(K384&lt;6,"EM DIAS",IF(K384&lt;12,"ATRASADO","MUITO ATRASADO"))))</f>
        <v>MUITO ATRASADO</v>
      </c>
      <c r="M384" s="39" t="n">
        <v>45449</v>
      </c>
      <c r="N384" s="55" t="n">
        <f aca="false">$B$2-M384</f>
        <v>722</v>
      </c>
      <c r="O384" s="56" t="str">
        <f aca="false">IF(N384&lt;8,"VERIFICADO",IF(N384&lt;15,"VERIFICAR","VERIFICAR URGENTE"))</f>
        <v>VERIFICAR URGENTE</v>
      </c>
      <c r="P384" s="40"/>
      <c r="Q384" s="40"/>
      <c r="R384" s="40"/>
      <c r="S384" s="40"/>
      <c r="T384" s="40"/>
      <c r="U384" s="40"/>
    </row>
    <row r="385" customFormat="false" ht="15.75" hidden="false" customHeight="true" outlineLevel="0" collapsed="false">
      <c r="A385" s="40" t="s">
        <v>828</v>
      </c>
      <c r="B385" s="57" t="n">
        <f aca="false">M385</f>
        <v>45453</v>
      </c>
      <c r="C385" s="34" t="n">
        <v>44900</v>
      </c>
      <c r="D385" s="34" t="n">
        <v>45582</v>
      </c>
      <c r="E385" s="35" t="n">
        <f aca="false">(D385-C385)/7</f>
        <v>97.4285714285714</v>
      </c>
      <c r="F385" s="35" t="n">
        <f aca="false">($B$2-C385)/7</f>
        <v>181.571428571429</v>
      </c>
      <c r="G385" s="36" t="n">
        <v>76</v>
      </c>
      <c r="H385" s="36" t="n">
        <v>65</v>
      </c>
      <c r="I385" s="37"/>
      <c r="J385" s="37"/>
      <c r="K385" s="38" t="n">
        <f aca="false">IFERROR(((F385*G385)/E385)-H385,"")</f>
        <v>76.6363636363637</v>
      </c>
      <c r="L385" s="36" t="str">
        <f aca="false">IF(K385&lt;-10,"MUITO ADIANTADO",IF(K385&lt;-6,"ADIANTADO",IF(K385&lt;6,"EM DIAS",IF(K385&lt;12,"ATRASADO","MUITO ATRASADO"))))</f>
        <v>MUITO ATRASADO</v>
      </c>
      <c r="M385" s="39" t="n">
        <v>45453</v>
      </c>
      <c r="N385" s="55" t="n">
        <f aca="false">$B$2-M385</f>
        <v>718</v>
      </c>
      <c r="O385" s="56" t="str">
        <f aca="false">IF(N385&lt;8,"VERIFICADO",IF(N385&lt;15,"VERIFICAR","VERIFICAR URGENTE"))</f>
        <v>VERIFICAR URGENTE</v>
      </c>
      <c r="P385" s="40"/>
      <c r="Q385" s="40"/>
      <c r="R385" s="40"/>
      <c r="S385" s="40"/>
      <c r="T385" s="40"/>
      <c r="U385" s="40"/>
    </row>
    <row r="386" customFormat="false" ht="15.75" hidden="false" customHeight="true" outlineLevel="0" collapsed="false">
      <c r="A386" s="40" t="s">
        <v>53</v>
      </c>
      <c r="B386" s="57" t="n">
        <f aca="false">M386</f>
        <v>45449</v>
      </c>
      <c r="C386" s="34" t="n">
        <v>45365</v>
      </c>
      <c r="D386" s="34" t="n">
        <v>46047</v>
      </c>
      <c r="E386" s="35" t="n">
        <f aca="false">(D386-C386)/7</f>
        <v>97.4285714285714</v>
      </c>
      <c r="F386" s="35" t="n">
        <f aca="false">($B$2-C386)/7</f>
        <v>115.142857142857</v>
      </c>
      <c r="G386" s="36" t="n">
        <v>96</v>
      </c>
      <c r="H386" s="36" t="n">
        <v>11</v>
      </c>
      <c r="I386" s="37"/>
      <c r="J386" s="37"/>
      <c r="K386" s="38" t="n">
        <f aca="false">IFERROR(((F386*G386)/E386)-H386,"")</f>
        <v>102.454545454546</v>
      </c>
      <c r="L386" s="36" t="str">
        <f aca="false">IF(K386&lt;-10,"MUITO ADIANTADO",IF(K386&lt;-6,"ADIANTADO",IF(K386&lt;6,"EM DIAS",IF(K386&lt;12,"ATRASADO","MUITO ATRASADO"))))</f>
        <v>MUITO ATRASADO</v>
      </c>
      <c r="M386" s="39" t="n">
        <v>45449</v>
      </c>
      <c r="N386" s="55" t="n">
        <f aca="false">$B$2-M386</f>
        <v>722</v>
      </c>
      <c r="O386" s="56" t="str">
        <f aca="false">IF(N386&lt;8,"VERIFICADO",IF(N386&lt;15,"VERIFICAR","VERIFICAR URGENTE"))</f>
        <v>VERIFICAR URGENTE</v>
      </c>
      <c r="P386" s="40"/>
      <c r="Q386" s="40"/>
      <c r="R386" s="40"/>
      <c r="S386" s="40"/>
      <c r="T386" s="40"/>
      <c r="U386" s="40"/>
    </row>
    <row r="387" customFormat="false" ht="15.75" hidden="false" customHeight="true" outlineLevel="0" collapsed="false">
      <c r="A387" s="40" t="s">
        <v>829</v>
      </c>
      <c r="B387" s="57" t="n">
        <f aca="false">M387</f>
        <v>45451</v>
      </c>
      <c r="C387" s="34" t="n">
        <v>45363</v>
      </c>
      <c r="D387" s="34" t="n">
        <v>47102</v>
      </c>
      <c r="E387" s="35" t="n">
        <f aca="false">(D387-C387)/7</f>
        <v>248.428571428571</v>
      </c>
      <c r="F387" s="35" t="n">
        <f aca="false">($B$2-C387)/7</f>
        <v>115.428571428571</v>
      </c>
      <c r="G387" s="36" t="n">
        <v>256</v>
      </c>
      <c r="H387" s="36" t="n">
        <v>11</v>
      </c>
      <c r="I387" s="37"/>
      <c r="J387" s="37"/>
      <c r="K387" s="38" t="n">
        <f aca="false">IFERROR(((F387*G387)/E387)-H387,"")</f>
        <v>107.946520989074</v>
      </c>
      <c r="L387" s="36" t="str">
        <f aca="false">IF(K387&lt;-10,"MUITO ADIANTADO",IF(K387&lt;-6,"ADIANTADO",IF(K387&lt;6,"EM DIAS",IF(K387&lt;12,"ATRASADO","MUITO ATRASADO"))))</f>
        <v>MUITO ATRASADO</v>
      </c>
      <c r="M387" s="39" t="n">
        <v>45451</v>
      </c>
      <c r="N387" s="55" t="n">
        <f aca="false">$B$2-M387</f>
        <v>720</v>
      </c>
      <c r="O387" s="56" t="str">
        <f aca="false">IF(N387&lt;8,"VERIFICADO",IF(N387&lt;15,"VERIFICAR","VERIFICAR URGENTE"))</f>
        <v>VERIFICAR URGENTE</v>
      </c>
      <c r="P387" s="40"/>
      <c r="Q387" s="40"/>
      <c r="R387" s="40"/>
      <c r="S387" s="40"/>
      <c r="T387" s="40"/>
      <c r="U387" s="40"/>
    </row>
    <row r="388" customFormat="false" ht="15.75" hidden="false" customHeight="true" outlineLevel="0" collapsed="false">
      <c r="A388" s="40" t="s">
        <v>381</v>
      </c>
      <c r="B388" s="57" t="n">
        <f aca="false">M388</f>
        <v>45451</v>
      </c>
      <c r="C388" s="34" t="n">
        <v>45360</v>
      </c>
      <c r="D388" s="34" t="n">
        <v>46300</v>
      </c>
      <c r="E388" s="35" t="n">
        <f aca="false">(D388-C388)/7</f>
        <v>134.285714285714</v>
      </c>
      <c r="F388" s="35" t="n">
        <f aca="false">($B$2-C388)/7</f>
        <v>115.857142857143</v>
      </c>
      <c r="G388" s="36" t="n">
        <v>180</v>
      </c>
      <c r="H388" s="36" t="n">
        <v>18</v>
      </c>
      <c r="I388" s="37"/>
      <c r="J388" s="37"/>
      <c r="K388" s="38" t="n">
        <f aca="false">IFERROR(((F388*G388)/E388)-H388,"")</f>
        <v>137.297872340426</v>
      </c>
      <c r="L388" s="36" t="str">
        <f aca="false">IF(K388&lt;-10,"MUITO ADIANTADO",IF(K388&lt;-6,"ADIANTADO",IF(K388&lt;6,"EM DIAS",IF(K388&lt;12,"ATRASADO","MUITO ATRASADO"))))</f>
        <v>MUITO ATRASADO</v>
      </c>
      <c r="M388" s="39" t="n">
        <v>45451</v>
      </c>
      <c r="N388" s="55" t="n">
        <f aca="false">$B$2-M388</f>
        <v>720</v>
      </c>
      <c r="O388" s="56" t="str">
        <f aca="false">IF(N388&lt;8,"VERIFICADO",IF(N388&lt;15,"VERIFICAR","VERIFICAR URGENTE"))</f>
        <v>VERIFICAR URGENTE</v>
      </c>
      <c r="P388" s="40"/>
      <c r="Q388" s="40"/>
      <c r="R388" s="40"/>
      <c r="S388" s="40"/>
      <c r="T388" s="40"/>
      <c r="U388" s="40"/>
    </row>
    <row r="389" customFormat="false" ht="15.75" hidden="false" customHeight="true" outlineLevel="0" collapsed="false">
      <c r="A389" s="40" t="s">
        <v>273</v>
      </c>
      <c r="B389" s="57" t="n">
        <f aca="false">M389</f>
        <v>45453</v>
      </c>
      <c r="C389" s="34" t="n">
        <v>45272</v>
      </c>
      <c r="D389" s="34" t="n">
        <v>46398</v>
      </c>
      <c r="E389" s="35" t="n">
        <f aca="false">(D389-C389)/7</f>
        <v>160.857142857143</v>
      </c>
      <c r="F389" s="35" t="n">
        <f aca="false">($B$2-C389)/7</f>
        <v>128.428571428571</v>
      </c>
      <c r="G389" s="36" t="n">
        <v>160</v>
      </c>
      <c r="H389" s="36" t="n">
        <v>33</v>
      </c>
      <c r="I389" s="37"/>
      <c r="J389" s="37"/>
      <c r="K389" s="38" t="n">
        <f aca="false">IFERROR(((F389*G389)/E389)-H389,"")</f>
        <v>94.7442273534635</v>
      </c>
      <c r="L389" s="36" t="str">
        <f aca="false">IF(K389&lt;-10,"MUITO ADIANTADO",IF(K389&lt;-6,"ADIANTADO",IF(K389&lt;6,"EM DIAS",IF(K389&lt;12,"ATRASADO","MUITO ATRASADO"))))</f>
        <v>MUITO ATRASADO</v>
      </c>
      <c r="M389" s="39" t="n">
        <v>45453</v>
      </c>
      <c r="N389" s="55" t="n">
        <f aca="false">$B$2-M389</f>
        <v>718</v>
      </c>
      <c r="O389" s="56" t="str">
        <f aca="false">IF(N389&lt;8,"VERIFICADO",IF(N389&lt;15,"VERIFICAR","VERIFICAR URGENTE"))</f>
        <v>VERIFICAR URGENTE</v>
      </c>
      <c r="P389" s="40"/>
      <c r="Q389" s="40"/>
      <c r="R389" s="40"/>
      <c r="S389" s="40"/>
      <c r="T389" s="40"/>
      <c r="U389" s="40"/>
    </row>
    <row r="390" customFormat="false" ht="15.75" hidden="false" customHeight="true" outlineLevel="0" collapsed="false">
      <c r="A390" s="40" t="s">
        <v>830</v>
      </c>
      <c r="B390" s="57" t="n">
        <f aca="false">M390</f>
        <v>45446</v>
      </c>
      <c r="C390" s="34" t="n">
        <v>45398</v>
      </c>
      <c r="D390" s="34" t="n">
        <v>45418</v>
      </c>
      <c r="E390" s="35" t="n">
        <f aca="false">(D390-C390)/7</f>
        <v>2.85714285714286</v>
      </c>
      <c r="F390" s="35" t="n">
        <f aca="false">($B$2-C390)/7</f>
        <v>110.428571428571</v>
      </c>
      <c r="G390" s="36" t="n">
        <v>16</v>
      </c>
      <c r="H390" s="36" t="n">
        <v>12</v>
      </c>
      <c r="I390" s="37"/>
      <c r="J390" s="37"/>
      <c r="K390" s="38" t="n">
        <f aca="false">IFERROR(((F390*G390)/E390)-H390,"")</f>
        <v>606.399999999999</v>
      </c>
      <c r="L390" s="36" t="str">
        <f aca="false">IF(K390&lt;-10,"MUITO ADIANTADO",IF(K390&lt;-6,"ADIANTADO",IF(K390&lt;6,"EM DIAS",IF(K390&lt;12,"ATRASADO","MUITO ATRASADO"))))</f>
        <v>MUITO ATRASADO</v>
      </c>
      <c r="M390" s="39" t="n">
        <v>45446</v>
      </c>
      <c r="N390" s="55" t="n">
        <f aca="false">$B$2-M390</f>
        <v>725</v>
      </c>
      <c r="O390" s="56" t="str">
        <f aca="false">IF(N390&lt;8,"VERIFICADO",IF(N390&lt;15,"VERIFICAR","VERIFICAR URGENTE"))</f>
        <v>VERIFICAR URGENTE</v>
      </c>
      <c r="P390" s="40"/>
      <c r="Q390" s="40"/>
      <c r="R390" s="40"/>
      <c r="S390" s="40"/>
      <c r="T390" s="40"/>
      <c r="U390" s="40"/>
    </row>
    <row r="391" customFormat="false" ht="15.75" hidden="false" customHeight="true" outlineLevel="0" collapsed="false">
      <c r="A391" s="40" t="s">
        <v>831</v>
      </c>
      <c r="B391" s="57" t="n">
        <f aca="false">M391</f>
        <v>45446</v>
      </c>
      <c r="C391" s="34" t="n">
        <v>45362</v>
      </c>
      <c r="D391" s="34" t="n">
        <v>45925</v>
      </c>
      <c r="E391" s="35" t="n">
        <f aca="false">(D391-C391)/7</f>
        <v>80.4285714285714</v>
      </c>
      <c r="F391" s="35" t="n">
        <f aca="false">($B$2-C391)/7</f>
        <v>115.571428571429</v>
      </c>
      <c r="G391" s="36" t="n">
        <v>80</v>
      </c>
      <c r="H391" s="36" t="n">
        <v>6</v>
      </c>
      <c r="I391" s="37"/>
      <c r="J391" s="37"/>
      <c r="K391" s="38" t="n">
        <f aca="false">IFERROR(((F391*G391)/E391)-H391,"")</f>
        <v>108.955595026643</v>
      </c>
      <c r="L391" s="36" t="str">
        <f aca="false">IF(K391&lt;-10,"MUITO ADIANTADO",IF(K391&lt;-6,"ADIANTADO",IF(K391&lt;6,"EM DIAS",IF(K391&lt;12,"ATRASADO","MUITO ATRASADO"))))</f>
        <v>MUITO ATRASADO</v>
      </c>
      <c r="M391" s="39" t="n">
        <v>45446</v>
      </c>
      <c r="N391" s="55" t="n">
        <f aca="false">$B$2-M391</f>
        <v>725</v>
      </c>
      <c r="O391" s="56" t="str">
        <f aca="false">IF(N391&lt;8,"VERIFICADO",IF(N391&lt;15,"VERIFICAR","VERIFICAR URGENTE"))</f>
        <v>VERIFICAR URGENTE</v>
      </c>
      <c r="P391" s="40"/>
      <c r="Q391" s="40"/>
      <c r="R391" s="40"/>
      <c r="S391" s="40"/>
      <c r="T391" s="40"/>
      <c r="U391" s="40"/>
    </row>
    <row r="392" customFormat="false" ht="15.75" hidden="false" customHeight="true" outlineLevel="0" collapsed="false">
      <c r="A392" s="40" t="s">
        <v>832</v>
      </c>
      <c r="B392" s="57" t="n">
        <f aca="false">M392</f>
        <v>45448</v>
      </c>
      <c r="C392" s="34" t="n">
        <v>45364</v>
      </c>
      <c r="D392" s="34" t="n">
        <v>46042</v>
      </c>
      <c r="E392" s="35" t="n">
        <f aca="false">(D392-C392)/7</f>
        <v>96.8571428571429</v>
      </c>
      <c r="F392" s="35" t="n">
        <f aca="false">($B$2-C392)/7</f>
        <v>115.285714285714</v>
      </c>
      <c r="G392" s="36" t="n">
        <v>96</v>
      </c>
      <c r="H392" s="36" t="n">
        <v>15</v>
      </c>
      <c r="I392" s="37"/>
      <c r="J392" s="37"/>
      <c r="K392" s="38" t="n">
        <f aca="false">IFERROR(((F392*G392)/E392)-H392,"")</f>
        <v>99.2654867256637</v>
      </c>
      <c r="L392" s="36" t="str">
        <f aca="false">IF(K392&lt;-10,"MUITO ADIANTADO",IF(K392&lt;-6,"ADIANTADO",IF(K392&lt;6,"EM DIAS",IF(K392&lt;12,"ATRASADO","MUITO ATRASADO"))))</f>
        <v>MUITO ATRASADO</v>
      </c>
      <c r="M392" s="39" t="n">
        <v>45448</v>
      </c>
      <c r="N392" s="55" t="n">
        <f aca="false">$B$2-M392</f>
        <v>723</v>
      </c>
      <c r="O392" s="56" t="str">
        <f aca="false">IF(N392&lt;8,"VERIFICADO",IF(N392&lt;15,"VERIFICAR","VERIFICAR URGENTE"))</f>
        <v>VERIFICAR URGENTE</v>
      </c>
      <c r="P392" s="40"/>
      <c r="Q392" s="40"/>
      <c r="R392" s="40"/>
      <c r="S392" s="40"/>
      <c r="T392" s="40"/>
      <c r="U392" s="40"/>
    </row>
    <row r="393" customFormat="false" ht="15.75" hidden="false" customHeight="true" outlineLevel="0" collapsed="false">
      <c r="A393" s="40" t="s">
        <v>833</v>
      </c>
      <c r="B393" s="57" t="n">
        <f aca="false">M393</f>
        <v>45449</v>
      </c>
      <c r="C393" s="34" t="n">
        <v>45365</v>
      </c>
      <c r="D393" s="34" t="n">
        <v>45920</v>
      </c>
      <c r="E393" s="35" t="n">
        <f aca="false">(D393-C393)/7</f>
        <v>79.2857142857143</v>
      </c>
      <c r="F393" s="35" t="n">
        <f aca="false">($B$2-C393)/7</f>
        <v>115.142857142857</v>
      </c>
      <c r="G393" s="36" t="n">
        <v>80</v>
      </c>
      <c r="H393" s="36" t="n">
        <v>13</v>
      </c>
      <c r="I393" s="37"/>
      <c r="J393" s="37"/>
      <c r="K393" s="38" t="n">
        <f aca="false">IFERROR(((F393*G393)/E393)-H393,"")</f>
        <v>103.18018018018</v>
      </c>
      <c r="L393" s="36" t="str">
        <f aca="false">IF(K393&lt;-10,"MUITO ADIANTADO",IF(K393&lt;-6,"ADIANTADO",IF(K393&lt;6,"EM DIAS",IF(K393&lt;12,"ATRASADO","MUITO ATRASADO"))))</f>
        <v>MUITO ATRASADO</v>
      </c>
      <c r="M393" s="39" t="n">
        <v>45449</v>
      </c>
      <c r="N393" s="55" t="n">
        <f aca="false">$B$2-M393</f>
        <v>722</v>
      </c>
      <c r="O393" s="56" t="str">
        <f aca="false">IF(N393&lt;8,"VERIFICADO",IF(N393&lt;15,"VERIFICAR","VERIFICAR URGENTE"))</f>
        <v>VERIFICAR URGENTE</v>
      </c>
      <c r="P393" s="40"/>
      <c r="Q393" s="40"/>
      <c r="R393" s="40"/>
      <c r="S393" s="40"/>
      <c r="T393" s="40"/>
      <c r="U393" s="40"/>
    </row>
    <row r="394" customFormat="false" ht="15.75" hidden="false" customHeight="true" outlineLevel="0" collapsed="false">
      <c r="A394" s="40" t="s">
        <v>834</v>
      </c>
      <c r="B394" s="57" t="n">
        <f aca="false">M394</f>
        <v>45449</v>
      </c>
      <c r="C394" s="34" t="n">
        <v>45370</v>
      </c>
      <c r="D394" s="34" t="n">
        <v>45425</v>
      </c>
      <c r="E394" s="35" t="n">
        <f aca="false">(D394-C394)/7</f>
        <v>7.85714285714286</v>
      </c>
      <c r="F394" s="35" t="n">
        <f aca="false">($B$2-C394)/7</f>
        <v>114.428571428571</v>
      </c>
      <c r="G394" s="36" t="n">
        <v>16</v>
      </c>
      <c r="H394" s="36" t="n">
        <v>6</v>
      </c>
      <c r="I394" s="37"/>
      <c r="J394" s="37"/>
      <c r="K394" s="38" t="n">
        <f aca="false">IFERROR(((F394*G394)/E394)-H394,"")</f>
        <v>227.018181818182</v>
      </c>
      <c r="L394" s="36" t="str">
        <f aca="false">IF(K394&lt;-10,"MUITO ADIANTADO",IF(K394&lt;-6,"ADIANTADO",IF(K394&lt;6,"EM DIAS",IF(K394&lt;12,"ATRASADO","MUITO ATRASADO"))))</f>
        <v>MUITO ATRASADO</v>
      </c>
      <c r="M394" s="39" t="n">
        <v>45449</v>
      </c>
      <c r="N394" s="55" t="n">
        <f aca="false">$B$2-M394</f>
        <v>722</v>
      </c>
      <c r="O394" s="56" t="str">
        <f aca="false">IF(N394&lt;8,"VERIFICADO",IF(N394&lt;15,"VERIFICAR","VERIFICAR URGENTE"))</f>
        <v>VERIFICAR URGENTE</v>
      </c>
      <c r="P394" s="40"/>
      <c r="Q394" s="40"/>
      <c r="R394" s="40"/>
      <c r="S394" s="40"/>
      <c r="T394" s="40"/>
      <c r="U394" s="40"/>
    </row>
    <row r="395" customFormat="false" ht="15.75" hidden="false" customHeight="true" outlineLevel="0" collapsed="false">
      <c r="A395" s="40" t="s">
        <v>835</v>
      </c>
      <c r="B395" s="57" t="n">
        <f aca="false">M395</f>
        <v>45453</v>
      </c>
      <c r="C395" s="34" t="n">
        <v>45362</v>
      </c>
      <c r="D395" s="34" t="n">
        <v>45925</v>
      </c>
      <c r="E395" s="35" t="n">
        <f aca="false">(D395-C395)/7</f>
        <v>80.4285714285714</v>
      </c>
      <c r="F395" s="35" t="n">
        <f aca="false">($B$2-C395)/7</f>
        <v>115.571428571429</v>
      </c>
      <c r="G395" s="36" t="n">
        <v>80</v>
      </c>
      <c r="H395" s="36" t="n">
        <v>19</v>
      </c>
      <c r="I395" s="37"/>
      <c r="J395" s="37"/>
      <c r="K395" s="38" t="n">
        <f aca="false">IFERROR(((F395*G395)/E395)-H395,"")</f>
        <v>95.955595026643</v>
      </c>
      <c r="L395" s="36" t="str">
        <f aca="false">IF(K395&lt;-10,"MUITO ADIANTADO",IF(K395&lt;-6,"ADIANTADO",IF(K395&lt;6,"EM DIAS",IF(K395&lt;12,"ATRASADO","MUITO ATRASADO"))))</f>
        <v>MUITO ATRASADO</v>
      </c>
      <c r="M395" s="39" t="n">
        <v>45453</v>
      </c>
      <c r="N395" s="55" t="n">
        <f aca="false">$B$2-M395</f>
        <v>718</v>
      </c>
      <c r="O395" s="56" t="str">
        <f aca="false">IF(N395&lt;8,"VERIFICADO",IF(N395&lt;15,"VERIFICAR","VERIFICAR URGENTE"))</f>
        <v>VERIFICAR URGENTE</v>
      </c>
      <c r="P395" s="40"/>
      <c r="Q395" s="40"/>
      <c r="R395" s="40"/>
      <c r="S395" s="40"/>
      <c r="T395" s="40"/>
      <c r="U395" s="40"/>
    </row>
    <row r="396" customFormat="false" ht="15.75" hidden="false" customHeight="true" outlineLevel="0" collapsed="false">
      <c r="A396" s="40" t="s">
        <v>836</v>
      </c>
      <c r="B396" s="72" t="s">
        <v>837</v>
      </c>
      <c r="C396" s="34" t="n">
        <v>44239</v>
      </c>
      <c r="D396" s="34" t="n">
        <v>45465</v>
      </c>
      <c r="E396" s="35" t="n">
        <f aca="false">(D396-C396)/7</f>
        <v>175.142857142857</v>
      </c>
      <c r="F396" s="35" t="n">
        <f aca="false">($B$2-C396)/7</f>
        <v>276</v>
      </c>
      <c r="G396" s="36" t="n">
        <v>227</v>
      </c>
      <c r="H396" s="36" t="n">
        <v>224</v>
      </c>
      <c r="I396" s="37"/>
      <c r="J396" s="37"/>
      <c r="K396" s="38" t="n">
        <f aca="false">IFERROR(((F396*G396)/E396)-H396,"")</f>
        <v>133.719412724307</v>
      </c>
      <c r="L396" s="36" t="str">
        <f aca="false">IF(K396&lt;-10,"MUITO ADIANTADO",IF(K396&lt;-6,"ADIANTADO",IF(K396&lt;6,"EM DIAS",IF(K396&lt;12,"ATRASADO","MUITO ATRASADO"))))</f>
        <v>MUITO ATRASADO</v>
      </c>
      <c r="M396" s="39" t="n">
        <v>45449</v>
      </c>
      <c r="N396" s="55" t="n">
        <f aca="false">$B$2-M396</f>
        <v>722</v>
      </c>
      <c r="O396" s="56" t="str">
        <f aca="false">IF(N396&lt;8,"VERIFICADO",IF(N396&lt;15,"VERIFICAR","VERIFICAR URGENTE"))</f>
        <v>VERIFICAR URGENTE</v>
      </c>
      <c r="P396" s="40"/>
      <c r="Q396" s="40"/>
      <c r="R396" s="40"/>
      <c r="S396" s="40"/>
      <c r="T396" s="40"/>
      <c r="U396" s="40"/>
    </row>
    <row r="397" customFormat="false" ht="15.75" hidden="false" customHeight="true" outlineLevel="0" collapsed="false">
      <c r="A397" s="40" t="s">
        <v>120</v>
      </c>
      <c r="B397" s="57" t="n">
        <f aca="false">M397</f>
        <v>45453</v>
      </c>
      <c r="C397" s="34" t="n">
        <v>45362</v>
      </c>
      <c r="D397" s="34" t="n">
        <v>46610</v>
      </c>
      <c r="E397" s="35" t="n">
        <f aca="false">(D397-C397)/7</f>
        <v>178.285714285714</v>
      </c>
      <c r="F397" s="35" t="n">
        <f aca="false">($B$2-C397)/7</f>
        <v>115.571428571429</v>
      </c>
      <c r="G397" s="36" t="n">
        <v>176</v>
      </c>
      <c r="H397" s="36" t="n">
        <v>19</v>
      </c>
      <c r="I397" s="37"/>
      <c r="J397" s="37"/>
      <c r="K397" s="38" t="n">
        <f aca="false">IFERROR(((F397*G397)/E397)-H397,"")</f>
        <v>95.0897435897438</v>
      </c>
      <c r="L397" s="36" t="str">
        <f aca="false">IF(K397&lt;-10,"MUITO ADIANTADO",IF(K397&lt;-6,"ADIANTADO",IF(K397&lt;6,"EM DIAS",IF(K397&lt;12,"ATRASADO","MUITO ATRASADO"))))</f>
        <v>MUITO ATRASADO</v>
      </c>
      <c r="M397" s="39" t="n">
        <v>45453</v>
      </c>
      <c r="N397" s="55" t="n">
        <f aca="false">$B$2-M397</f>
        <v>718</v>
      </c>
      <c r="O397" s="56" t="str">
        <f aca="false">IF(N397&lt;8,"VERIFICADO",IF(N397&lt;15,"VERIFICAR","VERIFICAR URGENTE"))</f>
        <v>VERIFICAR URGENTE</v>
      </c>
      <c r="P397" s="40"/>
      <c r="Q397" s="40"/>
      <c r="R397" s="40"/>
      <c r="S397" s="40"/>
      <c r="T397" s="40"/>
      <c r="U397" s="40"/>
    </row>
    <row r="398" customFormat="false" ht="15.75" hidden="false" customHeight="true" outlineLevel="0" collapsed="false">
      <c r="A398" s="40" t="s">
        <v>838</v>
      </c>
      <c r="B398" s="57" t="n">
        <f aca="false">M398</f>
        <v>45454</v>
      </c>
      <c r="C398" s="34" t="n">
        <v>45376</v>
      </c>
      <c r="D398" s="34" t="n">
        <v>46137</v>
      </c>
      <c r="E398" s="35" t="n">
        <f aca="false">(D398-C398)/7</f>
        <v>108.714285714286</v>
      </c>
      <c r="F398" s="35" t="n">
        <f aca="false">($B$2-C398)/7</f>
        <v>113.571428571429</v>
      </c>
      <c r="G398" s="36" t="n">
        <v>96</v>
      </c>
      <c r="H398" s="36" t="n">
        <v>10</v>
      </c>
      <c r="I398" s="37"/>
      <c r="J398" s="37"/>
      <c r="K398" s="38" t="n">
        <f aca="false">IFERROR(((F398*G398)/E398)-H398,"")</f>
        <v>90.2890932982915</v>
      </c>
      <c r="L398" s="36" t="str">
        <f aca="false">IF(K398&lt;-10,"MUITO ADIANTADO",IF(K398&lt;-6,"ADIANTADO",IF(K398&lt;6,"EM DIAS",IF(K398&lt;12,"ATRASADO","MUITO ATRASADO"))))</f>
        <v>MUITO ATRASADO</v>
      </c>
      <c r="M398" s="39" t="n">
        <v>45454</v>
      </c>
      <c r="N398" s="55" t="n">
        <f aca="false">$B$2-M398</f>
        <v>717</v>
      </c>
      <c r="O398" s="56" t="str">
        <f aca="false">IF(N398&lt;8,"VERIFICADO",IF(N398&lt;15,"VERIFICAR","VERIFICAR URGENTE"))</f>
        <v>VERIFICAR URGENTE</v>
      </c>
      <c r="P398" s="40"/>
      <c r="Q398" s="40"/>
      <c r="R398" s="40"/>
      <c r="S398" s="40"/>
      <c r="T398" s="40"/>
      <c r="U398" s="40"/>
    </row>
    <row r="399" customFormat="false" ht="15.75" hidden="false" customHeight="true" outlineLevel="0" collapsed="false">
      <c r="A399" s="40" t="s">
        <v>103</v>
      </c>
      <c r="B399" s="72" t="s">
        <v>837</v>
      </c>
      <c r="C399" s="34" t="n">
        <v>45392</v>
      </c>
      <c r="D399" s="34" t="n">
        <v>45806</v>
      </c>
      <c r="E399" s="35" t="n">
        <f aca="false">(D399-C399)/7</f>
        <v>59.1428571428571</v>
      </c>
      <c r="F399" s="35" t="n">
        <f aca="false">($B$2-C399)/7</f>
        <v>111.285714285714</v>
      </c>
      <c r="G399" s="36" t="n">
        <v>80</v>
      </c>
      <c r="H399" s="36" t="n">
        <v>6</v>
      </c>
      <c r="I399" s="36"/>
      <c r="J399" s="36"/>
      <c r="K399" s="38" t="n">
        <f aca="false">IFERROR(((F399*G399)/E399)-H399,"")</f>
        <v>144.531400966184</v>
      </c>
      <c r="L399" s="36" t="str">
        <f aca="false">IF(K399&lt;-10,"MUITO ADIANTADO",IF(K399&lt;-6,"ADIANTADO",IF(K399&lt;6,"EM DIAS",IF(K399&lt;12,"ATRASADO","MUITO ATRASADO"))))</f>
        <v>MUITO ATRASADO</v>
      </c>
      <c r="M399" s="39" t="n">
        <v>45448</v>
      </c>
      <c r="N399" s="55" t="n">
        <f aca="false">$B$2-M399</f>
        <v>723</v>
      </c>
      <c r="O399" s="56" t="str">
        <f aca="false">IF(N399&lt;8,"VERIFICADO",IF(N399&lt;15,"VERIFICAR","VERIFICAR URGENTE"))</f>
        <v>VERIFICAR URGENTE</v>
      </c>
      <c r="P399" s="40"/>
      <c r="Q399" s="40"/>
      <c r="R399" s="40"/>
      <c r="S399" s="40"/>
      <c r="T399" s="40"/>
      <c r="U399" s="40"/>
    </row>
    <row r="400" customFormat="false" ht="15" hidden="false" customHeight="false" outlineLevel="0" collapsed="false">
      <c r="A400" s="40" t="s">
        <v>839</v>
      </c>
      <c r="B400" s="57" t="n">
        <f aca="false">M400</f>
        <v>45453</v>
      </c>
      <c r="C400" s="34" t="n">
        <v>45401</v>
      </c>
      <c r="D400" s="34" t="n">
        <v>45949</v>
      </c>
      <c r="E400" s="35" t="n">
        <f aca="false">(D400-C400)/7</f>
        <v>78.2857142857143</v>
      </c>
      <c r="F400" s="35" t="n">
        <f aca="false">($B$2-C400)/7</f>
        <v>110</v>
      </c>
      <c r="G400" s="36" t="n">
        <v>80</v>
      </c>
      <c r="H400" s="36" t="n">
        <v>5</v>
      </c>
      <c r="I400" s="36"/>
      <c r="J400" s="36"/>
      <c r="K400" s="38" t="n">
        <f aca="false">IFERROR(((F400*G400)/E400)-H400,"")</f>
        <v>107.408759124088</v>
      </c>
      <c r="L400" s="36" t="str">
        <f aca="false">IF(K400&lt;-10,"MUITO ADIANTADO",IF(K400&lt;-6,"ADIANTADO",IF(K400&lt;6,"EM DIAS",IF(K400&lt;12,"ATRASADO","MUITO ATRASADO"))))</f>
        <v>MUITO ATRASADO</v>
      </c>
      <c r="M400" s="39" t="n">
        <v>45453</v>
      </c>
      <c r="N400" s="55"/>
      <c r="O400" s="56" t="str">
        <f aca="false">IF(N400&lt;8,"VERIFICADO",IF(N400&lt;15,"VERIFICAR","VERIFICAR URGENTE"))</f>
        <v>VERIFICADO</v>
      </c>
      <c r="P400" s="40"/>
      <c r="Q400" s="40"/>
      <c r="R400" s="40"/>
      <c r="S400" s="40"/>
      <c r="T400" s="40"/>
      <c r="U400" s="40"/>
    </row>
    <row r="401" customFormat="false" ht="15" hidden="false" customHeight="false" outlineLevel="0" collapsed="false">
      <c r="A401" s="40" t="s">
        <v>840</v>
      </c>
      <c r="B401" s="57" t="n">
        <f aca="false">M401</f>
        <v>45783</v>
      </c>
      <c r="C401" s="34" t="n">
        <v>45401</v>
      </c>
      <c r="D401" s="34" t="n">
        <v>45949</v>
      </c>
      <c r="E401" s="35" t="n">
        <f aca="false">(D401-C401)/7</f>
        <v>78.2857142857143</v>
      </c>
      <c r="F401" s="35" t="n">
        <f aca="false">($B$2-C401)/7</f>
        <v>110</v>
      </c>
      <c r="G401" s="36" t="n">
        <v>80</v>
      </c>
      <c r="H401" s="36" t="n">
        <v>5</v>
      </c>
      <c r="I401" s="36"/>
      <c r="J401" s="36"/>
      <c r="K401" s="38" t="n">
        <f aca="false">IFERROR(((F401*G401)/E401)-H401,"")</f>
        <v>107.408759124088</v>
      </c>
      <c r="L401" s="36" t="str">
        <f aca="false">IF(K401&lt;-10,"MUITO ADIANTADO",IF(K401&lt;-6,"ADIANTADO",IF(K401&lt;6,"EM DIAS",IF(K401&lt;12,"ATRASADO","MUITO ATRASADO"))))</f>
        <v>MUITO ATRASADO</v>
      </c>
      <c r="M401" s="65" t="n">
        <v>45783</v>
      </c>
      <c r="N401" s="55"/>
      <c r="O401" s="56" t="str">
        <f aca="false">IF(N401&lt;8,"VERIFICADO",IF(N401&lt;15,"VERIFICAR","VERIFICAR URGENTE"))</f>
        <v>VERIFICADO</v>
      </c>
      <c r="P401" s="40"/>
      <c r="Q401" s="40"/>
      <c r="R401" s="40"/>
      <c r="S401" s="40"/>
      <c r="T401" s="40"/>
      <c r="U401" s="40"/>
    </row>
    <row r="402" customFormat="false" ht="15" hidden="false" customHeight="false" outlineLevel="0" collapsed="false">
      <c r="A402" s="40" t="s">
        <v>194</v>
      </c>
      <c r="B402" s="57" t="n">
        <f aca="false">M402</f>
        <v>45454</v>
      </c>
      <c r="C402" s="34" t="n">
        <v>45370</v>
      </c>
      <c r="D402" s="34" t="n">
        <v>46522</v>
      </c>
      <c r="E402" s="35" t="n">
        <f aca="false">(D402-C402)/7</f>
        <v>164.571428571429</v>
      </c>
      <c r="F402" s="35" t="n">
        <f aca="false">($B$2-C402)/7</f>
        <v>114.428571428571</v>
      </c>
      <c r="G402" s="36" t="n">
        <v>160</v>
      </c>
      <c r="H402" s="36" t="n">
        <v>20</v>
      </c>
      <c r="I402" s="36" t="n">
        <v>0</v>
      </c>
      <c r="J402" s="36" t="n">
        <v>0</v>
      </c>
      <c r="K402" s="38" t="n">
        <f aca="false">IFERROR(((F402*G402)/E402)-H402,"")</f>
        <v>91.2499999999997</v>
      </c>
      <c r="L402" s="36" t="str">
        <f aca="false">IF(K402&lt;-10,"MUITO ADIANTADO",IF(K402&lt;-6,"ADIANTADO",IF(K402&lt;6,"EM DIAS",IF(K402&lt;12,"ATRASADO","MUITO ATRASADO"))))</f>
        <v>MUITO ATRASADO</v>
      </c>
      <c r="M402" s="39" t="n">
        <v>45454</v>
      </c>
      <c r="N402" s="55" t="n">
        <f aca="false">$B$2-M402</f>
        <v>717</v>
      </c>
      <c r="O402" s="56" t="str">
        <f aca="false">IF(N402&lt;8,"VERIFICADO",IF(N402&lt;15,"VERIFICAR","VERIFICAR URGENTE"))</f>
        <v>VERIFICAR URGENTE</v>
      </c>
      <c r="P402" s="40"/>
      <c r="Q402" s="40"/>
      <c r="R402" s="40"/>
      <c r="S402" s="40"/>
      <c r="T402" s="40"/>
      <c r="U402" s="40"/>
    </row>
    <row r="403" customFormat="false" ht="15.75" hidden="false" customHeight="true" outlineLevel="0" collapsed="false">
      <c r="A403" s="40" t="s">
        <v>841</v>
      </c>
      <c r="B403" s="57" t="n">
        <f aca="false">M403</f>
        <v>45449</v>
      </c>
      <c r="C403" s="34" t="n">
        <v>45372</v>
      </c>
      <c r="D403" s="34" t="n">
        <v>46665</v>
      </c>
      <c r="E403" s="35" t="n">
        <f aca="false">(D403-C403)/7</f>
        <v>184.714285714286</v>
      </c>
      <c r="F403" s="35" t="n">
        <f aca="false">($B$2-C403)/7</f>
        <v>114.142857142857</v>
      </c>
      <c r="G403" s="36" t="n">
        <v>192</v>
      </c>
      <c r="H403" s="36" t="n">
        <v>12</v>
      </c>
      <c r="I403" s="37"/>
      <c r="J403" s="37"/>
      <c r="K403" s="38" t="n">
        <f aca="false">IFERROR(((F403*G403)/E403)-H403,"")</f>
        <v>106.645011600928</v>
      </c>
      <c r="L403" s="36" t="str">
        <f aca="false">IF(K403&lt;-10,"MUITO ADIANTADO",IF(K403&lt;-6,"ADIANTADO",IF(K403&lt;6,"EM DIAS",IF(K403&lt;12,"ATRASADO","MUITO ATRASADO"))))</f>
        <v>MUITO ATRASADO</v>
      </c>
      <c r="M403" s="39" t="n">
        <v>45449</v>
      </c>
      <c r="N403" s="55" t="n">
        <f aca="false">$B$2-M403</f>
        <v>722</v>
      </c>
      <c r="O403" s="56" t="str">
        <f aca="false">IF(N403&lt;8,"VERIFICADO",IF(N403&lt;15,"VERIFICAR","VERIFICAR URGENTE"))</f>
        <v>VERIFICAR URGENTE</v>
      </c>
      <c r="P403" s="40"/>
      <c r="Q403" s="40"/>
      <c r="R403" s="40"/>
      <c r="S403" s="40"/>
      <c r="T403" s="40"/>
      <c r="U403" s="40"/>
    </row>
    <row r="404" customFormat="false" ht="15.75" hidden="false" customHeight="true" outlineLevel="0" collapsed="false">
      <c r="A404" s="40" t="s">
        <v>842</v>
      </c>
      <c r="B404" s="57" t="n">
        <f aca="false">M404</f>
        <v>45449</v>
      </c>
      <c r="C404" s="34" t="n">
        <v>45373</v>
      </c>
      <c r="D404" s="34" t="n">
        <v>46162</v>
      </c>
      <c r="E404" s="35" t="n">
        <f aca="false">(D404-C404)/7</f>
        <v>112.714285714286</v>
      </c>
      <c r="F404" s="35" t="n">
        <f aca="false">($B$2-C404)/7</f>
        <v>114</v>
      </c>
      <c r="G404" s="36" t="n">
        <v>96</v>
      </c>
      <c r="H404" s="36" t="n">
        <v>15</v>
      </c>
      <c r="I404" s="37"/>
      <c r="J404" s="37"/>
      <c r="K404" s="38" t="n">
        <f aca="false">IFERROR(((F404*G404)/E404)-H404,"")</f>
        <v>82.0950570342203</v>
      </c>
      <c r="L404" s="36" t="str">
        <f aca="false">IF(K404&lt;-10,"MUITO ADIANTADO",IF(K404&lt;-6,"ADIANTADO",IF(K404&lt;6,"EM DIAS",IF(K404&lt;12,"ATRASADO","MUITO ATRASADO"))))</f>
        <v>MUITO ATRASADO</v>
      </c>
      <c r="M404" s="39" t="n">
        <v>45449</v>
      </c>
      <c r="N404" s="55" t="n">
        <f aca="false">$B$2-M404</f>
        <v>722</v>
      </c>
      <c r="O404" s="56" t="str">
        <f aca="false">IF(N404&lt;8,"VERIFICADO",IF(N404&lt;15,"VERIFICAR","VERIFICAR URGENTE"))</f>
        <v>VERIFICAR URGENTE</v>
      </c>
      <c r="P404" s="40"/>
      <c r="Q404" s="40"/>
      <c r="R404" s="40"/>
      <c r="S404" s="40"/>
      <c r="T404" s="40"/>
      <c r="U404" s="40"/>
    </row>
    <row r="405" customFormat="false" ht="15.75" hidden="false" customHeight="true" outlineLevel="0" collapsed="false">
      <c r="A405" s="40" t="s">
        <v>843</v>
      </c>
      <c r="B405" s="57" t="n">
        <f aca="false">M405</f>
        <v>45453</v>
      </c>
      <c r="C405" s="34" t="n">
        <v>45383</v>
      </c>
      <c r="D405" s="34" t="n">
        <v>46285</v>
      </c>
      <c r="E405" s="35" t="n">
        <f aca="false">(D405-C405)/7</f>
        <v>128.857142857143</v>
      </c>
      <c r="F405" s="35" t="n">
        <f aca="false">($B$2-C405)/7</f>
        <v>112.571428571429</v>
      </c>
      <c r="G405" s="36" t="n">
        <v>128</v>
      </c>
      <c r="H405" s="36" t="n">
        <v>8</v>
      </c>
      <c r="I405" s="37"/>
      <c r="J405" s="37"/>
      <c r="K405" s="38" t="n">
        <f aca="false">IFERROR(((F405*G405)/E405)-H405,"")</f>
        <v>103.822616407982</v>
      </c>
      <c r="L405" s="36" t="str">
        <f aca="false">IF(K405&lt;-10,"MUITO ADIANTADO",IF(K405&lt;-6,"ADIANTADO",IF(K405&lt;6,"EM DIAS",IF(K405&lt;12,"ATRASADO","MUITO ATRASADO"))))</f>
        <v>MUITO ATRASADO</v>
      </c>
      <c r="M405" s="39" t="n">
        <v>45453</v>
      </c>
      <c r="N405" s="55" t="n">
        <f aca="false">$B$2-M405</f>
        <v>718</v>
      </c>
      <c r="O405" s="56" t="str">
        <f aca="false">IF(N405&lt;8,"VERIFICADO",IF(N405&lt;15,"VERIFICAR","VERIFICAR URGENTE"))</f>
        <v>VERIFICAR URGENTE</v>
      </c>
      <c r="P405" s="40"/>
      <c r="Q405" s="40"/>
      <c r="R405" s="40"/>
      <c r="S405" s="40"/>
      <c r="T405" s="40"/>
      <c r="U405" s="40"/>
    </row>
    <row r="406" customFormat="false" ht="15.75" hidden="false" customHeight="true" outlineLevel="0" collapsed="false">
      <c r="A406" s="40" t="s">
        <v>844</v>
      </c>
      <c r="B406" s="57" t="n">
        <f aca="false">M406</f>
        <v>45447</v>
      </c>
      <c r="C406" s="34" t="n">
        <v>45377</v>
      </c>
      <c r="D406" s="34" t="n">
        <v>45926</v>
      </c>
      <c r="E406" s="35" t="n">
        <f aca="false">(D406-C406)/7</f>
        <v>78.4285714285714</v>
      </c>
      <c r="F406" s="35" t="n">
        <f aca="false">($B$2-C406)/7</f>
        <v>113.428571428571</v>
      </c>
      <c r="G406" s="36" t="n">
        <v>80</v>
      </c>
      <c r="H406" s="36" t="n">
        <v>17</v>
      </c>
      <c r="I406" s="37"/>
      <c r="J406" s="37"/>
      <c r="K406" s="38" t="n">
        <f aca="false">IFERROR(((F406*G406)/E406)-H406,"")</f>
        <v>98.7012750455374</v>
      </c>
      <c r="L406" s="36" t="str">
        <f aca="false">IF(K406&lt;-10,"MUITO ADIANTADO",IF(K406&lt;-6,"ADIANTADO",IF(K406&lt;6,"EM DIAS",IF(K406&lt;12,"ATRASADO","MUITO ATRASADO"))))</f>
        <v>MUITO ATRASADO</v>
      </c>
      <c r="M406" s="39" t="n">
        <v>45447</v>
      </c>
      <c r="N406" s="55" t="n">
        <f aca="false">$B$2-M406</f>
        <v>724</v>
      </c>
      <c r="O406" s="56" t="str">
        <f aca="false">IF(N406&lt;8,"VERIFICADO",IF(N406&lt;15,"VERIFICAR","VERIFICAR URGENTE"))</f>
        <v>VERIFICAR URGENTE</v>
      </c>
      <c r="P406" s="40"/>
      <c r="Q406" s="40"/>
      <c r="R406" s="40"/>
      <c r="S406" s="40"/>
      <c r="T406" s="40"/>
      <c r="U406" s="40"/>
    </row>
    <row r="407" customFormat="false" ht="15.75" hidden="false" customHeight="true" outlineLevel="0" collapsed="false">
      <c r="A407" s="40" t="s">
        <v>845</v>
      </c>
      <c r="B407" s="57" t="n">
        <f aca="false">M407</f>
        <v>45453</v>
      </c>
      <c r="C407" s="34" t="n">
        <v>45390</v>
      </c>
      <c r="D407" s="34" t="n">
        <v>46371</v>
      </c>
      <c r="E407" s="35" t="n">
        <f aca="false">(D407-C407)/7</f>
        <v>140.142857142857</v>
      </c>
      <c r="F407" s="35" t="n">
        <f aca="false">($B$2-C407)/7</f>
        <v>111.571428571429</v>
      </c>
      <c r="G407" s="36" t="n">
        <v>128</v>
      </c>
      <c r="H407" s="36" t="n">
        <v>6</v>
      </c>
      <c r="I407" s="36"/>
      <c r="J407" s="36"/>
      <c r="K407" s="38" t="n">
        <f aca="false">IFERROR(((F407*G407)/E407)-H407,"")</f>
        <v>95.9041794087667</v>
      </c>
      <c r="L407" s="36" t="str">
        <f aca="false">IF(K407&lt;-10,"MUITO ADIANTADO",IF(K407&lt;-6,"ADIANTADO",IF(K407&lt;6,"EM DIAS",IF(K407&lt;12,"ATRASADO","MUITO ATRASADO"))))</f>
        <v>MUITO ATRASADO</v>
      </c>
      <c r="M407" s="39" t="n">
        <v>45453</v>
      </c>
      <c r="N407" s="55" t="n">
        <f aca="false">$B$2-M407</f>
        <v>718</v>
      </c>
      <c r="O407" s="56" t="str">
        <f aca="false">IF(N407&lt;8,"VERIFICADO",IF(N407&lt;15,"VERIFICAR","VERIFICAR URGENTE"))</f>
        <v>VERIFICAR URGENTE</v>
      </c>
      <c r="P407" s="40"/>
      <c r="Q407" s="40"/>
      <c r="R407" s="40"/>
      <c r="S407" s="40"/>
      <c r="T407" s="40"/>
      <c r="U407" s="40"/>
    </row>
    <row r="408" customFormat="false" ht="15.75" hidden="false" customHeight="true" outlineLevel="0" collapsed="false">
      <c r="A408" s="40" t="s">
        <v>846</v>
      </c>
      <c r="B408" s="57" t="n">
        <f aca="false">M408</f>
        <v>45447</v>
      </c>
      <c r="C408" s="34" t="n">
        <v>45412</v>
      </c>
      <c r="D408" s="34" t="n">
        <v>45656</v>
      </c>
      <c r="E408" s="35" t="n">
        <f aca="false">(D408-C408)/7</f>
        <v>34.8571428571429</v>
      </c>
      <c r="F408" s="35" t="n">
        <f aca="false">($B$2-C408)/7</f>
        <v>108.428571428571</v>
      </c>
      <c r="G408" s="36" t="n">
        <v>26</v>
      </c>
      <c r="H408" s="36" t="n">
        <v>4</v>
      </c>
      <c r="I408" s="36"/>
      <c r="J408" s="36"/>
      <c r="K408" s="38" t="n">
        <v>0</v>
      </c>
      <c r="L408" s="36" t="str">
        <f aca="false">IF(K408&lt;-10,"MUITO ADIANTADO",IF(K408&lt;-6,"ADIANTADO",IF(K408&lt;6,"EM DIAS",IF(K408&lt;12,"ATRASADO","MUITO ATRASADO"))))</f>
        <v>EM DIAS</v>
      </c>
      <c r="M408" s="39" t="n">
        <v>45447</v>
      </c>
      <c r="N408" s="55" t="n">
        <f aca="false">$B$2-M408</f>
        <v>724</v>
      </c>
      <c r="O408" s="56" t="str">
        <f aca="false">IF(N408&lt;8,"VERIFICADO",IF(N408&lt;15,"VERIFICAR","VERIFICAR URGENTE"))</f>
        <v>VERIFICAR URGENTE</v>
      </c>
      <c r="P408" s="40"/>
      <c r="Q408" s="40"/>
      <c r="R408" s="40"/>
      <c r="S408" s="40"/>
      <c r="T408" s="40"/>
      <c r="U408" s="40"/>
    </row>
    <row r="409" customFormat="false" ht="15.75" hidden="false" customHeight="true" outlineLevel="0" collapsed="false">
      <c r="A409" s="40" t="s">
        <v>847</v>
      </c>
      <c r="B409" s="57" t="n">
        <f aca="false">M409</f>
        <v>45453</v>
      </c>
      <c r="C409" s="34" t="n">
        <v>45390</v>
      </c>
      <c r="D409" s="34" t="n">
        <v>46331</v>
      </c>
      <c r="E409" s="35" t="n">
        <f aca="false">(D409-C409)/7</f>
        <v>134.428571428571</v>
      </c>
      <c r="F409" s="35" t="n">
        <f aca="false">($B$2-C409)/7</f>
        <v>111.571428571429</v>
      </c>
      <c r="G409" s="36" t="n">
        <v>128</v>
      </c>
      <c r="H409" s="36" t="n">
        <v>16</v>
      </c>
      <c r="I409" s="36" t="n">
        <v>8</v>
      </c>
      <c r="J409" s="36" t="n">
        <v>8</v>
      </c>
      <c r="K409" s="38" t="n">
        <f aca="false">IFERROR(((F409*G409)/E409)-H409,"")</f>
        <v>90.2359192348569</v>
      </c>
      <c r="L409" s="36" t="str">
        <f aca="false">IF(K409&lt;-10,"MUITO ADIANTADO",IF(K409&lt;-6,"ADIANTADO",IF(K409&lt;6,"EM DIAS",IF(K409&lt;12,"ATRASADO","MUITO ATRASADO"))))</f>
        <v>MUITO ATRASADO</v>
      </c>
      <c r="M409" s="39" t="n">
        <v>45453</v>
      </c>
      <c r="N409" s="55" t="n">
        <f aca="false">$B$2-M409</f>
        <v>718</v>
      </c>
      <c r="O409" s="56" t="str">
        <f aca="false">IF(N409&lt;8,"VERIFICADO",IF(N409&lt;15,"VERIFICAR","VERIFICAR URGENTE"))</f>
        <v>VERIFICAR URGENTE</v>
      </c>
      <c r="P409" s="40"/>
      <c r="Q409" s="40"/>
      <c r="R409" s="40"/>
      <c r="S409" s="40"/>
      <c r="T409" s="40"/>
      <c r="U409" s="40"/>
    </row>
    <row r="410" customFormat="false" ht="15.75" hidden="false" customHeight="true" outlineLevel="0" collapsed="false">
      <c r="A410" s="40" t="s">
        <v>848</v>
      </c>
      <c r="B410" s="72" t="s">
        <v>837</v>
      </c>
      <c r="C410" s="34" t="n">
        <v>45166</v>
      </c>
      <c r="D410" s="34" t="n">
        <v>45655</v>
      </c>
      <c r="E410" s="35" t="n">
        <f aca="false">(D410-C410)/7</f>
        <v>69.8571428571429</v>
      </c>
      <c r="F410" s="35" t="n">
        <f aca="false">($B$2-C410)/7</f>
        <v>143.571428571429</v>
      </c>
      <c r="G410" s="36" t="n">
        <v>112</v>
      </c>
      <c r="H410" s="36" t="n">
        <v>80</v>
      </c>
      <c r="I410" s="37"/>
      <c r="J410" s="37"/>
      <c r="K410" s="38" t="n">
        <f aca="false">IFERROR(((F410*G410)/E410)-H410,"")</f>
        <v>150.184049079755</v>
      </c>
      <c r="L410" s="36" t="str">
        <f aca="false">IF(K410&lt;-10,"MUITO ADIANTADO",IF(K410&lt;-6,"ADIANTADO",IF(K410&lt;6,"EM DIAS",IF(K410&lt;12,"ATRASADO","MUITO ATRASADO"))))</f>
        <v>MUITO ATRASADO</v>
      </c>
      <c r="M410" s="39" t="n">
        <v>45453</v>
      </c>
      <c r="N410" s="55" t="n">
        <f aca="false">$B$2-M410</f>
        <v>718</v>
      </c>
      <c r="O410" s="56" t="str">
        <f aca="false">IF(N410&lt;8,"VERIFICADO",IF(N410&lt;15,"VERIFICAR","VERIFICAR URGENTE"))</f>
        <v>VERIFICAR URGENTE</v>
      </c>
      <c r="P410" s="40"/>
      <c r="Q410" s="40"/>
      <c r="R410" s="40"/>
      <c r="S410" s="40"/>
      <c r="T410" s="40"/>
      <c r="U410" s="40"/>
    </row>
    <row r="411" customFormat="false" ht="15.75" hidden="false" customHeight="true" outlineLevel="0" collapsed="false">
      <c r="A411" s="40" t="s">
        <v>849</v>
      </c>
      <c r="B411" s="57" t="n">
        <f aca="false">M411</f>
        <v>45453</v>
      </c>
      <c r="C411" s="34" t="n">
        <v>45394</v>
      </c>
      <c r="D411" s="34" t="n">
        <v>45942</v>
      </c>
      <c r="E411" s="35" t="n">
        <f aca="false">(D411-C411)/7</f>
        <v>78.2857142857143</v>
      </c>
      <c r="F411" s="35" t="n">
        <f aca="false">($B$2-C411)/7</f>
        <v>111</v>
      </c>
      <c r="G411" s="36" t="n">
        <v>80</v>
      </c>
      <c r="H411" s="36" t="n">
        <v>6</v>
      </c>
      <c r="I411" s="37"/>
      <c r="J411" s="37"/>
      <c r="K411" s="38" t="n">
        <f aca="false">IFERROR(((F411*G411)/E411)-H411,"")</f>
        <v>107.430656934307</v>
      </c>
      <c r="L411" s="36" t="str">
        <f aca="false">IF(K411&lt;-10,"MUITO ADIANTADO",IF(K411&lt;-6,"ADIANTADO",IF(K411&lt;6,"EM DIAS",IF(K411&lt;12,"ATRASADO","MUITO ATRASADO"))))</f>
        <v>MUITO ATRASADO</v>
      </c>
      <c r="M411" s="39" t="n">
        <v>45453</v>
      </c>
      <c r="N411" s="55"/>
      <c r="O411" s="56" t="str">
        <f aca="false">IF(N411&lt;8,"VERIFICADO",IF(N411&lt;15,"VERIFICAR","VERIFICAR URGENTE"))</f>
        <v>VERIFICADO</v>
      </c>
      <c r="P411" s="40"/>
      <c r="Q411" s="40"/>
      <c r="R411" s="40"/>
      <c r="S411" s="40"/>
      <c r="T411" s="40"/>
      <c r="U411" s="40"/>
    </row>
    <row r="412" customFormat="false" ht="15.75" hidden="false" customHeight="true" outlineLevel="0" collapsed="false">
      <c r="A412" s="40" t="s">
        <v>850</v>
      </c>
      <c r="B412" s="57" t="n">
        <f aca="false">M412</f>
        <v>45406</v>
      </c>
      <c r="C412" s="34" t="n">
        <v>45392</v>
      </c>
      <c r="D412" s="34" t="n">
        <v>46244</v>
      </c>
      <c r="E412" s="35" t="n">
        <f aca="false">(D412-C412)/7</f>
        <v>121.714285714286</v>
      </c>
      <c r="F412" s="35" t="n">
        <f aca="false">($B$2-C412)/7</f>
        <v>111.285714285714</v>
      </c>
      <c r="G412" s="36" t="n">
        <v>112</v>
      </c>
      <c r="H412" s="36" t="n">
        <v>4</v>
      </c>
      <c r="I412" s="37"/>
      <c r="J412" s="37"/>
      <c r="K412" s="38" t="n">
        <f aca="false">IFERROR(((F412*G412)/E412)-H412,"")</f>
        <v>98.4037558685444</v>
      </c>
      <c r="L412" s="36" t="str">
        <f aca="false">IF(K412&lt;-10,"MUITO ADIANTADO",IF(K412&lt;-6,"ADIANTADO",IF(K412&lt;6,"EM DIAS",IF(K412&lt;12,"ATRASADO","MUITO ATRASADO"))))</f>
        <v>MUITO ATRASADO</v>
      </c>
      <c r="M412" s="39" t="n">
        <v>45406</v>
      </c>
      <c r="N412" s="55"/>
      <c r="O412" s="56" t="str">
        <f aca="false">IF(N412&lt;8,"VERIFICADO",IF(N412&lt;15,"VERIFICAR","VERIFICAR URGENTE"))</f>
        <v>VERIFICADO</v>
      </c>
      <c r="P412" s="40"/>
      <c r="Q412" s="40"/>
      <c r="R412" s="40"/>
      <c r="S412" s="40"/>
      <c r="T412" s="40"/>
      <c r="U412" s="40"/>
    </row>
    <row r="413" customFormat="false" ht="15.75" hidden="false" customHeight="true" outlineLevel="0" collapsed="false">
      <c r="A413" s="73" t="s">
        <v>851</v>
      </c>
      <c r="B413" s="57" t="n">
        <f aca="false">M413</f>
        <v>45428</v>
      </c>
      <c r="C413" s="34" t="n">
        <v>45392</v>
      </c>
      <c r="D413" s="34" t="n">
        <v>46281</v>
      </c>
      <c r="E413" s="35" t="n">
        <f aca="false">(D413-C413)/7</f>
        <v>127</v>
      </c>
      <c r="F413" s="35" t="n">
        <f aca="false">($B$2-C413)/7</f>
        <v>111.285714285714</v>
      </c>
      <c r="G413" s="36" t="n">
        <v>128</v>
      </c>
      <c r="H413" s="36" t="n">
        <v>8</v>
      </c>
      <c r="I413" s="37"/>
      <c r="J413" s="37"/>
      <c r="K413" s="38" t="n">
        <f aca="false">IFERROR(((F413*G413)/E413)-H413,"")</f>
        <v>104.161979752531</v>
      </c>
      <c r="L413" s="36" t="str">
        <f aca="false">IF(K413&lt;-10,"MUITO ADIANTADO",IF(K413&lt;-6,"ADIANTADO",IF(K413&lt;6,"EM DIAS",IF(K413&lt;12,"ATRASADO","MUITO ATRASADO"))))</f>
        <v>MUITO ATRASADO</v>
      </c>
      <c r="M413" s="39" t="n">
        <v>45428</v>
      </c>
      <c r="N413" s="55"/>
      <c r="O413" s="56" t="str">
        <f aca="false">IF(N413&lt;8,"VERIFICADO",IF(N413&lt;15,"VERIFICAR","VERIFICAR URGENTE"))</f>
        <v>VERIFICADO</v>
      </c>
      <c r="P413" s="40"/>
      <c r="Q413" s="40"/>
      <c r="R413" s="40"/>
      <c r="S413" s="40"/>
      <c r="T413" s="40"/>
      <c r="U413" s="40"/>
    </row>
    <row r="414" customFormat="false" ht="15.75" hidden="false" customHeight="true" outlineLevel="0" collapsed="false">
      <c r="A414" s="40" t="s">
        <v>190</v>
      </c>
      <c r="B414" s="57" t="n">
        <f aca="false">M414</f>
        <v>45420</v>
      </c>
      <c r="C414" s="34" t="n">
        <v>45392</v>
      </c>
      <c r="D414" s="34" t="n">
        <v>46553</v>
      </c>
      <c r="E414" s="35" t="n">
        <f aca="false">(D414-C414)/7</f>
        <v>165.857142857143</v>
      </c>
      <c r="F414" s="35" t="n">
        <f aca="false">($B$2-C414)/7</f>
        <v>111.285714285714</v>
      </c>
      <c r="G414" s="36" t="n">
        <v>144</v>
      </c>
      <c r="H414" s="36" t="n">
        <v>4</v>
      </c>
      <c r="I414" s="37"/>
      <c r="J414" s="37"/>
      <c r="K414" s="38" t="n">
        <f aca="false">IFERROR(((F414*G414)/E414)-H414,"")</f>
        <v>92.6201550387596</v>
      </c>
      <c r="L414" s="36" t="str">
        <f aca="false">IF(K414&lt;-10,"MUITO ADIANTADO",IF(K414&lt;-6,"ADIANTADO",IF(K414&lt;6,"EM DIAS",IF(K414&lt;12,"ATRASADO","MUITO ATRASADO"))))</f>
        <v>MUITO ATRASADO</v>
      </c>
      <c r="M414" s="39" t="n">
        <v>45420</v>
      </c>
      <c r="N414" s="55"/>
      <c r="O414" s="56" t="str">
        <f aca="false">IF(N414&lt;8,"VERIFICADO",IF(N414&lt;15,"VERIFICAR","VERIFICAR URGENTE"))</f>
        <v>VERIFICADO</v>
      </c>
      <c r="P414" s="40"/>
      <c r="Q414" s="40"/>
      <c r="R414" s="40"/>
      <c r="S414" s="40"/>
      <c r="T414" s="40"/>
      <c r="U414" s="40"/>
    </row>
    <row r="415" customFormat="false" ht="15.75" hidden="false" customHeight="true" outlineLevel="0" collapsed="false">
      <c r="A415" s="40" t="s">
        <v>453</v>
      </c>
      <c r="B415" s="57" t="n">
        <f aca="false">M415</f>
        <v>45420</v>
      </c>
      <c r="C415" s="34" t="n">
        <v>45392</v>
      </c>
      <c r="D415" s="34" t="n">
        <v>46553</v>
      </c>
      <c r="E415" s="35" t="n">
        <f aca="false">(D415-C415)/7</f>
        <v>165.857142857143</v>
      </c>
      <c r="F415" s="35" t="n">
        <f aca="false">($B$2-C415)/7</f>
        <v>111.285714285714</v>
      </c>
      <c r="G415" s="36" t="n">
        <v>144</v>
      </c>
      <c r="H415" s="36" t="n">
        <v>4</v>
      </c>
      <c r="I415" s="37"/>
      <c r="J415" s="37"/>
      <c r="K415" s="38" t="n">
        <f aca="false">IFERROR(((F415*G415)/E415)-H415,"")</f>
        <v>92.6201550387596</v>
      </c>
      <c r="L415" s="36" t="str">
        <f aca="false">IF(K415&lt;-10,"MUITO ADIANTADO",IF(K415&lt;-6,"ADIANTADO",IF(K415&lt;6,"EM DIAS",IF(K415&lt;12,"ATRASADO","MUITO ATRASADO"))))</f>
        <v>MUITO ATRASADO</v>
      </c>
      <c r="M415" s="39" t="n">
        <v>45420</v>
      </c>
      <c r="N415" s="55"/>
      <c r="O415" s="56" t="str">
        <f aca="false">IF(N415&lt;8,"VERIFICADO",IF(N415&lt;15,"VERIFICAR","VERIFICAR URGENTE"))</f>
        <v>VERIFICADO</v>
      </c>
      <c r="P415" s="40"/>
      <c r="Q415" s="40"/>
      <c r="R415" s="40"/>
      <c r="S415" s="40"/>
      <c r="T415" s="40"/>
      <c r="U415" s="40"/>
    </row>
    <row r="416" customFormat="false" ht="15.75" hidden="false" customHeight="true" outlineLevel="0" collapsed="false">
      <c r="A416" s="40" t="s">
        <v>852</v>
      </c>
      <c r="B416" s="57" t="n">
        <f aca="false">M416</f>
        <v>45419</v>
      </c>
      <c r="C416" s="34" t="n">
        <v>45391</v>
      </c>
      <c r="D416" s="34" t="n">
        <v>45482</v>
      </c>
      <c r="E416" s="35" t="n">
        <f aca="false">(D416-C416)/7</f>
        <v>13</v>
      </c>
      <c r="F416" s="35" t="n">
        <f aca="false">($B$2-C416)/7</f>
        <v>111.428571428571</v>
      </c>
      <c r="G416" s="36" t="n">
        <v>16</v>
      </c>
      <c r="H416" s="36" t="n">
        <v>5</v>
      </c>
      <c r="I416" s="37"/>
      <c r="J416" s="37"/>
      <c r="K416" s="38" t="n">
        <f aca="false">IFERROR(((F416*G416)/E416)-H416,"")</f>
        <v>132.142857142857</v>
      </c>
      <c r="L416" s="36" t="str">
        <f aca="false">IF(K416&lt;-10,"MUITO ADIANTADO",IF(K416&lt;-6,"ADIANTADO",IF(K416&lt;6,"EM DIAS",IF(K416&lt;12,"ATRASADO","MUITO ATRASADO"))))</f>
        <v>MUITO ATRASADO</v>
      </c>
      <c r="M416" s="39" t="n">
        <v>45419</v>
      </c>
      <c r="N416" s="55"/>
      <c r="O416" s="56" t="str">
        <f aca="false">IF(N416&lt;8,"VERIFICADO",IF(N416&lt;15,"VERIFICAR","VERIFICAR URGENTE"))</f>
        <v>VERIFICADO</v>
      </c>
      <c r="P416" s="40"/>
      <c r="Q416" s="40"/>
      <c r="R416" s="40"/>
      <c r="S416" s="40"/>
      <c r="T416" s="40"/>
      <c r="U416" s="40"/>
    </row>
    <row r="417" customFormat="false" ht="15.75" hidden="false" customHeight="true" outlineLevel="0" collapsed="false">
      <c r="A417" s="40" t="s">
        <v>853</v>
      </c>
      <c r="B417" s="57" t="n">
        <f aca="false">M417</f>
        <v>45409</v>
      </c>
      <c r="C417" s="34" t="n">
        <v>45401</v>
      </c>
      <c r="D417" s="34" t="n">
        <v>46305</v>
      </c>
      <c r="E417" s="35" t="n">
        <f aca="false">(D417-C417)/7</f>
        <v>129.142857142857</v>
      </c>
      <c r="F417" s="35" t="n">
        <f aca="false">($B$2-C417)/7</f>
        <v>110</v>
      </c>
      <c r="G417" s="36" t="n">
        <v>128</v>
      </c>
      <c r="H417" s="36" t="n">
        <v>4</v>
      </c>
      <c r="I417" s="37"/>
      <c r="J417" s="37"/>
      <c r="K417" s="38" t="n">
        <f aca="false">IFERROR(((F417*G417)/E417)-H417,"")</f>
        <v>105.026548672566</v>
      </c>
      <c r="L417" s="36" t="str">
        <f aca="false">IF(K417&lt;-10,"MUITO ADIANTADO",IF(K417&lt;-6,"ADIANTADO",IF(K417&lt;6,"EM DIAS",IF(K417&lt;12,"ATRASADO","MUITO ATRASADO"))))</f>
        <v>MUITO ATRASADO</v>
      </c>
      <c r="M417" s="39" t="n">
        <v>45409</v>
      </c>
      <c r="N417" s="55"/>
      <c r="O417" s="56" t="str">
        <f aca="false">IF(N417&lt;8,"VERIFICADO",IF(N417&lt;15,"VERIFICAR","VERIFICAR URGENTE"))</f>
        <v>VERIFICADO</v>
      </c>
      <c r="P417" s="40"/>
      <c r="Q417" s="40"/>
      <c r="R417" s="40"/>
      <c r="S417" s="40"/>
      <c r="T417" s="40"/>
      <c r="U417" s="40"/>
    </row>
    <row r="418" customFormat="false" ht="15.75" hidden="false" customHeight="true" outlineLevel="0" collapsed="false">
      <c r="A418" s="40" t="s">
        <v>854</v>
      </c>
      <c r="B418" s="57" t="n">
        <f aca="false">M418</f>
        <v>45443</v>
      </c>
      <c r="C418" s="34" t="n">
        <v>45394</v>
      </c>
      <c r="D418" s="34" t="n">
        <v>45485</v>
      </c>
      <c r="E418" s="35" t="n">
        <f aca="false">(D418-C418)/7</f>
        <v>13</v>
      </c>
      <c r="F418" s="35" t="n">
        <f aca="false">($B$2-C418)/7</f>
        <v>111</v>
      </c>
      <c r="G418" s="36" t="n">
        <v>16</v>
      </c>
      <c r="H418" s="36" t="n">
        <v>8</v>
      </c>
      <c r="I418" s="37"/>
      <c r="J418" s="37"/>
      <c r="K418" s="38" t="n">
        <f aca="false">IFERROR(((F418*G418)/E418)-H418,"")</f>
        <v>128.615384615385</v>
      </c>
      <c r="L418" s="36" t="str">
        <f aca="false">IF(K418&lt;-10,"MUITO ADIANTADO",IF(K418&lt;-6,"ADIANTADO",IF(K418&lt;6,"EM DIAS",IF(K418&lt;12,"ATRASADO","MUITO ATRASADO"))))</f>
        <v>MUITO ATRASADO</v>
      </c>
      <c r="M418" s="39" t="n">
        <v>45443</v>
      </c>
      <c r="N418" s="55"/>
      <c r="O418" s="56" t="str">
        <f aca="false">IF(N418&lt;8,"VERIFICADO",IF(N418&lt;15,"VERIFICAR","VERIFICAR URGENTE"))</f>
        <v>VERIFICADO</v>
      </c>
      <c r="P418" s="40"/>
      <c r="Q418" s="40"/>
      <c r="R418" s="40"/>
      <c r="S418" s="40"/>
      <c r="T418" s="40"/>
      <c r="U418" s="40"/>
    </row>
    <row r="419" customFormat="false" ht="15.75" hidden="false" customHeight="true" outlineLevel="0" collapsed="false">
      <c r="A419" s="40" t="s">
        <v>855</v>
      </c>
      <c r="B419" s="57" t="n">
        <f aca="false">M419</f>
        <v>45453</v>
      </c>
      <c r="C419" s="34" t="n">
        <v>45397</v>
      </c>
      <c r="D419" s="34" t="n">
        <v>47123</v>
      </c>
      <c r="E419" s="35" t="n">
        <f aca="false">(D419-C419)/7</f>
        <v>246.571428571429</v>
      </c>
      <c r="F419" s="35" t="n">
        <f aca="false">($B$2-C419)/7</f>
        <v>110.571428571429</v>
      </c>
      <c r="G419" s="36" t="n">
        <v>256</v>
      </c>
      <c r="H419" s="36" t="n">
        <v>7</v>
      </c>
      <c r="I419" s="37"/>
      <c r="J419" s="37"/>
      <c r="K419" s="38" t="n">
        <f aca="false">IFERROR(((F419*G419)/E419)-H419,"")</f>
        <v>107.799536500579</v>
      </c>
      <c r="L419" s="36" t="str">
        <f aca="false">IF(K419&lt;-10,"MUITO ADIANTADO",IF(K419&lt;-6,"ADIANTADO",IF(K419&lt;6,"EM DIAS",IF(K419&lt;12,"ATRASADO","MUITO ATRASADO"))))</f>
        <v>MUITO ATRASADO</v>
      </c>
      <c r="M419" s="39" t="n">
        <v>45453</v>
      </c>
      <c r="N419" s="55"/>
      <c r="O419" s="56" t="str">
        <f aca="false">IF(N419&lt;8,"VERIFICADO",IF(N419&lt;15,"VERIFICAR","VERIFICAR URGENTE"))</f>
        <v>VERIFICADO</v>
      </c>
      <c r="P419" s="68"/>
      <c r="Q419" s="40"/>
      <c r="R419" s="40"/>
      <c r="S419" s="40"/>
      <c r="T419" s="40"/>
      <c r="U419" s="40"/>
    </row>
    <row r="420" customFormat="false" ht="15.75" hidden="false" customHeight="true" outlineLevel="0" collapsed="false">
      <c r="A420" s="40" t="s">
        <v>856</v>
      </c>
      <c r="B420" s="57" t="n">
        <f aca="false">M420</f>
        <v>45411</v>
      </c>
      <c r="C420" s="34" t="n">
        <v>45397</v>
      </c>
      <c r="D420" s="34" t="n">
        <v>46604</v>
      </c>
      <c r="E420" s="35" t="n">
        <f aca="false">(D420-C420)/7</f>
        <v>172.428571428571</v>
      </c>
      <c r="F420" s="35" t="n">
        <f aca="false">($B$2-C420)/7</f>
        <v>110.571428571429</v>
      </c>
      <c r="G420" s="36" t="n">
        <v>160</v>
      </c>
      <c r="H420" s="36" t="n">
        <v>6</v>
      </c>
      <c r="I420" s="37"/>
      <c r="J420" s="37"/>
      <c r="K420" s="38" t="n">
        <f aca="false">IFERROR(((F420*G420)/E420)-H420,"")</f>
        <v>96.6014913007459</v>
      </c>
      <c r="L420" s="36" t="str">
        <f aca="false">IF(K420&lt;-10,"MUITO ADIANTADO",IF(K420&lt;-6,"ADIANTADO",IF(K420&lt;6,"EM DIAS",IF(K420&lt;12,"ATRASADO","MUITO ATRASADO"))))</f>
        <v>MUITO ATRASADO</v>
      </c>
      <c r="M420" s="39" t="n">
        <v>45411</v>
      </c>
      <c r="N420" s="55"/>
      <c r="O420" s="56" t="str">
        <f aca="false">IF(N420&lt;8,"VERIFICADO",IF(N420&lt;15,"VERIFICAR","VERIFICAR URGENTE"))</f>
        <v>VERIFICADO</v>
      </c>
      <c r="P420" s="40"/>
      <c r="Q420" s="40"/>
      <c r="R420" s="40"/>
      <c r="S420" s="40"/>
      <c r="T420" s="40"/>
      <c r="U420" s="40"/>
    </row>
    <row r="421" customFormat="false" ht="15.75" hidden="false" customHeight="true" outlineLevel="0" collapsed="false">
      <c r="A421" s="40" t="s">
        <v>857</v>
      </c>
      <c r="B421" s="57" t="n">
        <f aca="false">M421</f>
        <v>45415</v>
      </c>
      <c r="C421" s="34" t="n">
        <v>45317</v>
      </c>
      <c r="D421" s="34" t="n">
        <v>45976</v>
      </c>
      <c r="E421" s="35" t="n">
        <f aca="false">(D421-C421)/7</f>
        <v>94.1428571428571</v>
      </c>
      <c r="F421" s="35" t="n">
        <f aca="false">($B$2-C421)/7</f>
        <v>122</v>
      </c>
      <c r="G421" s="36" t="n">
        <v>80</v>
      </c>
      <c r="H421" s="36" t="n">
        <v>8</v>
      </c>
      <c r="I421" s="37"/>
      <c r="J421" s="37"/>
      <c r="K421" s="38" t="n">
        <f aca="false">IFERROR(((F421*G421)/E421)-H421,"")</f>
        <v>95.6722306525038</v>
      </c>
      <c r="L421" s="36" t="str">
        <f aca="false">IF(K421&lt;-10,"MUITO ADIANTADO",IF(K421&lt;-6,"ADIANTADO",IF(K421&lt;6,"EM DIAS",IF(K421&lt;12,"ATRASADO","MUITO ATRASADO"))))</f>
        <v>MUITO ATRASADO</v>
      </c>
      <c r="M421" s="39" t="n">
        <v>45415</v>
      </c>
      <c r="N421" s="55"/>
      <c r="O421" s="56" t="str">
        <f aca="false">IF(N421&lt;8,"VERIFICADO",IF(N421&lt;15,"VERIFICAR","VERIFICAR URGENTE"))</f>
        <v>VERIFICADO</v>
      </c>
      <c r="P421" s="40"/>
      <c r="Q421" s="40"/>
      <c r="R421" s="40"/>
      <c r="S421" s="40"/>
      <c r="T421" s="40"/>
      <c r="U421" s="40"/>
    </row>
    <row r="422" customFormat="false" ht="15.75" hidden="false" customHeight="true" outlineLevel="0" collapsed="false">
      <c r="A422" s="40" t="s">
        <v>858</v>
      </c>
      <c r="B422" s="57" t="n">
        <f aca="false">M422</f>
        <v>45454</v>
      </c>
      <c r="C422" s="34" t="n">
        <v>45397</v>
      </c>
      <c r="D422" s="34" t="n">
        <v>45799</v>
      </c>
      <c r="E422" s="35" t="n">
        <f aca="false">(D422-C422)/7</f>
        <v>57.4285714285714</v>
      </c>
      <c r="F422" s="35" t="n">
        <f aca="false">($B$2-C422)/7</f>
        <v>110.571428571429</v>
      </c>
      <c r="G422" s="36" t="n">
        <v>144</v>
      </c>
      <c r="H422" s="36" t="n">
        <v>1</v>
      </c>
      <c r="I422" s="37"/>
      <c r="J422" s="37"/>
      <c r="K422" s="38" t="n">
        <f aca="false">IFERROR(((F422*G422)/E422)-H422,"")</f>
        <v>276.253731343284</v>
      </c>
      <c r="L422" s="36" t="str">
        <f aca="false">IF(K422&lt;-10,"MUITO ADIANTADO",IF(K422&lt;-6,"ADIANTADO",IF(K422&lt;6,"EM DIAS",IF(K422&lt;12,"ATRASADO","MUITO ATRASADO"))))</f>
        <v>MUITO ATRASADO</v>
      </c>
      <c r="M422" s="39" t="n">
        <v>45454</v>
      </c>
      <c r="N422" s="55"/>
      <c r="O422" s="56" t="str">
        <f aca="false">IF(N422&lt;8,"VERIFICADO",IF(N422&lt;15,"VERIFICAR","VERIFICAR URGENTE"))</f>
        <v>VERIFICADO</v>
      </c>
      <c r="P422" s="40"/>
      <c r="Q422" s="40"/>
      <c r="R422" s="40"/>
      <c r="S422" s="40"/>
      <c r="T422" s="40"/>
      <c r="U422" s="40"/>
    </row>
    <row r="423" customFormat="false" ht="15" hidden="false" customHeight="false" outlineLevel="0" collapsed="false">
      <c r="A423" s="68" t="s">
        <v>859</v>
      </c>
      <c r="B423" s="57" t="n">
        <f aca="false">M423</f>
        <v>45454</v>
      </c>
      <c r="C423" s="34" t="n">
        <v>45402</v>
      </c>
      <c r="D423" s="34" t="n">
        <v>45953</v>
      </c>
      <c r="E423" s="35" t="n">
        <f aca="false">(D423-C423)/7</f>
        <v>78.7142857142857</v>
      </c>
      <c r="F423" s="35" t="n">
        <f aca="false">($B$2-C423)/7</f>
        <v>109.857142857143</v>
      </c>
      <c r="G423" s="74" t="n">
        <v>80</v>
      </c>
      <c r="H423" s="74" t="n">
        <v>3</v>
      </c>
      <c r="I423" s="68"/>
      <c r="J423" s="68"/>
      <c r="K423" s="38" t="n">
        <f aca="false">IFERROR(((F423*G423)/E423)-H423,"")</f>
        <v>108.651542649728</v>
      </c>
      <c r="L423" s="36" t="str">
        <f aca="false">IF(K423&lt;-10,"MUITO ADIANTADO",IF(K423&lt;-6,"ADIANTADO",IF(K423&lt;6,"EM DIAS",IF(K423&lt;12,"ATRASADO","MUITO ATRASADO"))))</f>
        <v>MUITO ATRASADO</v>
      </c>
      <c r="M423" s="39" t="n">
        <v>45454</v>
      </c>
      <c r="N423" s="68"/>
      <c r="O423" s="56" t="str">
        <f aca="false">IF(N423&lt;8,"VERIFICADO",IF(N423&lt;15,"VERIFICAR","VERIFICAR URGENTE"))</f>
        <v>VERIFICADO</v>
      </c>
      <c r="P423" s="68"/>
      <c r="Q423" s="68"/>
      <c r="R423" s="68"/>
      <c r="S423" s="68"/>
      <c r="T423" s="68"/>
      <c r="U423" s="68"/>
    </row>
    <row r="424" customFormat="false" ht="15" hidden="false" customHeight="false" outlineLevel="0" collapsed="false">
      <c r="A424" s="68" t="s">
        <v>589</v>
      </c>
      <c r="B424" s="57" t="n">
        <f aca="false">M424</f>
        <v>45415</v>
      </c>
      <c r="C424" s="34" t="n">
        <v>45392</v>
      </c>
      <c r="D424" s="34" t="n">
        <v>46411</v>
      </c>
      <c r="E424" s="35" t="n">
        <f aca="false">(D424-C424)/7</f>
        <v>145.571428571429</v>
      </c>
      <c r="F424" s="35" t="n">
        <f aca="false">($B$2-C424)/7</f>
        <v>111.285714285714</v>
      </c>
      <c r="G424" s="74" t="n">
        <v>121</v>
      </c>
      <c r="H424" s="74" t="n">
        <v>2</v>
      </c>
      <c r="I424" s="68"/>
      <c r="J424" s="68"/>
      <c r="K424" s="38" t="n">
        <f aca="false">IFERROR(((F424*G424)/E424)-H424,"")</f>
        <v>90.5014720314031</v>
      </c>
      <c r="L424" s="36" t="str">
        <f aca="false">IF(K424&lt;-10,"MUITO ADIANTADO",IF(K424&lt;-6,"ADIANTADO",IF(K424&lt;6,"EM DIAS",IF(K424&lt;12,"ATRASADO","MUITO ATRASADO"))))</f>
        <v>MUITO ATRASADO</v>
      </c>
      <c r="M424" s="39" t="n">
        <v>45415</v>
      </c>
      <c r="N424" s="68"/>
      <c r="O424" s="56" t="str">
        <f aca="false">IF(N424&lt;8,"VERIFICADO",IF(N424&lt;15,"VERIFICAR","VERIFICAR URGENTE"))</f>
        <v>VERIFICADO</v>
      </c>
      <c r="P424" s="68"/>
      <c r="Q424" s="68"/>
      <c r="R424" s="68"/>
      <c r="S424" s="68"/>
      <c r="T424" s="68"/>
      <c r="U424" s="68"/>
    </row>
    <row r="425" customFormat="false" ht="15.75" hidden="false" customHeight="true" outlineLevel="0" collapsed="false">
      <c r="A425" s="40" t="s">
        <v>860</v>
      </c>
      <c r="B425" s="57" t="n">
        <f aca="false">M425</f>
        <v>45454</v>
      </c>
      <c r="C425" s="34" t="n">
        <v>45406</v>
      </c>
      <c r="D425" s="34" t="n">
        <v>46015</v>
      </c>
      <c r="E425" s="35" t="n">
        <f aca="false">(D425-C425)/7</f>
        <v>87</v>
      </c>
      <c r="F425" s="35" t="n">
        <f aca="false">($B$2-C425)/7</f>
        <v>109.285714285714</v>
      </c>
      <c r="G425" s="36" t="n">
        <v>144</v>
      </c>
      <c r="H425" s="36" t="n">
        <v>9</v>
      </c>
      <c r="I425" s="37"/>
      <c r="J425" s="37"/>
      <c r="K425" s="38" t="n">
        <f aca="false">IFERROR(((F425*G425)/E425)-H425,"")</f>
        <v>171.886699507389</v>
      </c>
      <c r="L425" s="36" t="str">
        <f aca="false">IF(K425&lt;-10,"MUITO ADIANTADO",IF(K425&lt;-6,"ADIANTADO",IF(K425&lt;6,"EM DIAS",IF(K425&lt;12,"ATRASADO","MUITO ATRASADO"))))</f>
        <v>MUITO ATRASADO</v>
      </c>
      <c r="M425" s="39" t="n">
        <v>45454</v>
      </c>
      <c r="N425" s="55"/>
      <c r="O425" s="56" t="str">
        <f aca="false">IF(N425&lt;8,"VERIFICADO",IF(N425&lt;15,"VERIFICAR","VERIFICAR URGENTE"))</f>
        <v>VERIFICADO</v>
      </c>
      <c r="P425" s="40"/>
      <c r="Q425" s="40"/>
      <c r="R425" s="40"/>
      <c r="S425" s="40"/>
      <c r="T425" s="40"/>
      <c r="U425" s="40"/>
    </row>
    <row r="426" customFormat="false" ht="15.75" hidden="false" customHeight="true" outlineLevel="0" collapsed="false">
      <c r="A426" s="40" t="s">
        <v>275</v>
      </c>
      <c r="B426" s="57" t="n">
        <f aca="false">M426</f>
        <v>45453</v>
      </c>
      <c r="C426" s="34" t="n">
        <v>45404</v>
      </c>
      <c r="D426" s="34" t="n">
        <v>46256</v>
      </c>
      <c r="E426" s="35" t="n">
        <f aca="false">(D426-C426)/7</f>
        <v>121.714285714286</v>
      </c>
      <c r="F426" s="35" t="n">
        <f aca="false">($B$2-C426)/7</f>
        <v>109.571428571429</v>
      </c>
      <c r="G426" s="36" t="n">
        <v>144</v>
      </c>
      <c r="H426" s="36" t="n">
        <v>6</v>
      </c>
      <c r="I426" s="37"/>
      <c r="J426" s="37"/>
      <c r="K426" s="38" t="n">
        <f aca="false">IFERROR(((F426*G426)/E426)-H426,"")</f>
        <v>123.633802816901</v>
      </c>
      <c r="L426" s="36" t="str">
        <f aca="false">IF(K426&lt;-10,"MUITO ADIANTADO",IF(K426&lt;-6,"ADIANTADO",IF(K426&lt;6,"EM DIAS",IF(K426&lt;12,"ATRASADO","MUITO ATRASADO"))))</f>
        <v>MUITO ATRASADO</v>
      </c>
      <c r="M426" s="39" t="n">
        <v>45453</v>
      </c>
      <c r="N426" s="55"/>
      <c r="O426" s="56" t="str">
        <f aca="false">IF(N426&lt;8,"VERIFICADO",IF(N426&lt;15,"VERIFICAR","VERIFICAR URGENTE"))</f>
        <v>VERIFICADO</v>
      </c>
      <c r="P426" s="40"/>
      <c r="Q426" s="40"/>
      <c r="R426" s="40"/>
      <c r="S426" s="40"/>
      <c r="T426" s="40"/>
      <c r="U426" s="40"/>
    </row>
    <row r="427" customFormat="false" ht="15.75" hidden="false" customHeight="true" outlineLevel="0" collapsed="false">
      <c r="A427" s="40" t="s">
        <v>861</v>
      </c>
      <c r="B427" s="57" t="n">
        <f aca="false">M427</f>
        <v>45434</v>
      </c>
      <c r="C427" s="34" t="n">
        <v>45399</v>
      </c>
      <c r="D427" s="34" t="n">
        <v>45716</v>
      </c>
      <c r="E427" s="35" t="n">
        <f aca="false">(D427-C427)/7</f>
        <v>45.2857142857143</v>
      </c>
      <c r="F427" s="35" t="n">
        <f aca="false">($B$2-C427)/7</f>
        <v>110.285714285714</v>
      </c>
      <c r="G427" s="36" t="n">
        <v>80</v>
      </c>
      <c r="H427" s="36" t="n">
        <v>3</v>
      </c>
      <c r="I427" s="37"/>
      <c r="J427" s="37"/>
      <c r="K427" s="38" t="n">
        <f aca="false">IFERROR(((F427*G427)/E427)-H427,"")</f>
        <v>191.826498422713</v>
      </c>
      <c r="L427" s="36" t="str">
        <f aca="false">IF(K427&lt;-10,"MUITO ADIANTADO",IF(K427&lt;-6,"ADIANTADO",IF(K427&lt;6,"EM DIAS",IF(K427&lt;12,"ATRASADO","MUITO ATRASADO"))))</f>
        <v>MUITO ATRASADO</v>
      </c>
      <c r="M427" s="39" t="n">
        <v>45434</v>
      </c>
      <c r="N427" s="55"/>
      <c r="O427" s="56" t="str">
        <f aca="false">IF(N427&lt;8,"VERIFICADO",IF(N427&lt;15,"VERIFICAR","VERIFICAR URGENTE"))</f>
        <v>VERIFICADO</v>
      </c>
      <c r="P427" s="40"/>
      <c r="Q427" s="40"/>
      <c r="R427" s="40"/>
      <c r="S427" s="40"/>
      <c r="T427" s="40"/>
      <c r="U427" s="40"/>
    </row>
    <row r="428" customFormat="false" ht="15.75" hidden="false" customHeight="true" outlineLevel="0" collapsed="false">
      <c r="A428" s="40" t="s">
        <v>862</v>
      </c>
      <c r="B428" s="57" t="n">
        <f aca="false">M428</f>
        <v>45429</v>
      </c>
      <c r="C428" s="34" t="n">
        <v>45407</v>
      </c>
      <c r="D428" s="34" t="n">
        <v>46471</v>
      </c>
      <c r="E428" s="35" t="n">
        <f aca="false">(D428-C428)/7</f>
        <v>152</v>
      </c>
      <c r="F428" s="35" t="n">
        <f aca="false">($B$2-C428)/7</f>
        <v>109.142857142857</v>
      </c>
      <c r="G428" s="36" t="n">
        <v>144</v>
      </c>
      <c r="H428" s="36" t="n">
        <v>4</v>
      </c>
      <c r="I428" s="37"/>
      <c r="J428" s="37"/>
      <c r="K428" s="38" t="n">
        <f aca="false">IFERROR(((F428*G428)/E428)-H428,"")</f>
        <v>99.3984962406015</v>
      </c>
      <c r="L428" s="36" t="str">
        <f aca="false">IF(K428&lt;-10,"MUITO ADIANTADO",IF(K428&lt;-6,"ADIANTADO",IF(K428&lt;6,"EM DIAS",IF(K428&lt;12,"ATRASADO","MUITO ATRASADO"))))</f>
        <v>MUITO ATRASADO</v>
      </c>
      <c r="M428" s="39" t="n">
        <v>45429</v>
      </c>
      <c r="N428" s="55"/>
      <c r="O428" s="56" t="str">
        <f aca="false">IF(N428&lt;8,"VERIFICADO",IF(N428&lt;15,"VERIFICAR","VERIFICAR URGENTE"))</f>
        <v>VERIFICADO</v>
      </c>
      <c r="P428" s="40"/>
      <c r="Q428" s="40"/>
      <c r="R428" s="40"/>
      <c r="S428" s="40"/>
      <c r="T428" s="40"/>
      <c r="U428" s="40"/>
    </row>
    <row r="429" customFormat="false" ht="15.75" hidden="false" customHeight="true" outlineLevel="0" collapsed="false">
      <c r="A429" s="40" t="s">
        <v>328</v>
      </c>
      <c r="B429" s="57" t="n">
        <f aca="false">M429</f>
        <v>45453</v>
      </c>
      <c r="C429" s="34" t="n">
        <v>45405</v>
      </c>
      <c r="D429" s="34" t="n">
        <v>45953</v>
      </c>
      <c r="E429" s="35" t="n">
        <f aca="false">(D429-C429)/7</f>
        <v>78.2857142857143</v>
      </c>
      <c r="F429" s="35" t="n">
        <f aca="false">($B$2-C429)/7</f>
        <v>109.428571428571</v>
      </c>
      <c r="G429" s="36" t="n">
        <v>80</v>
      </c>
      <c r="H429" s="36" t="n">
        <v>4</v>
      </c>
      <c r="I429" s="37"/>
      <c r="J429" s="37"/>
      <c r="K429" s="38" t="n">
        <f aca="false">IFERROR(((F429*G429)/E429)-H429,"")</f>
        <v>107.824817518248</v>
      </c>
      <c r="L429" s="36" t="str">
        <f aca="false">IF(K429&lt;-10,"MUITO ADIANTADO",IF(K429&lt;-6,"ADIANTADO",IF(K429&lt;6,"EM DIAS",IF(K429&lt;12,"ATRASADO","MUITO ATRASADO"))))</f>
        <v>MUITO ATRASADO</v>
      </c>
      <c r="M429" s="39" t="n">
        <v>45453</v>
      </c>
      <c r="N429" s="55"/>
      <c r="O429" s="56" t="str">
        <f aca="false">IF(N429&lt;8,"VERIFICADO",IF(N429&lt;15,"VERIFICAR","VERIFICAR URGENTE"))</f>
        <v>VERIFICADO</v>
      </c>
      <c r="P429" s="40"/>
      <c r="Q429" s="40"/>
      <c r="R429" s="40"/>
      <c r="S429" s="40"/>
      <c r="T429" s="40"/>
      <c r="U429" s="40"/>
    </row>
    <row r="430" customFormat="false" ht="15.75" hidden="false" customHeight="true" outlineLevel="0" collapsed="false">
      <c r="A430" s="40" t="s">
        <v>863</v>
      </c>
      <c r="B430" s="57" t="n">
        <f aca="false">M430</f>
        <v>45418</v>
      </c>
      <c r="C430" s="34" t="n">
        <v>45411</v>
      </c>
      <c r="D430" s="34" t="n">
        <v>46314</v>
      </c>
      <c r="E430" s="35" t="n">
        <f aca="false">(D430-C430)/7</f>
        <v>129</v>
      </c>
      <c r="F430" s="35" t="n">
        <f aca="false">($B$2-C430)/7</f>
        <v>108.571428571429</v>
      </c>
      <c r="G430" s="36" t="n">
        <v>128</v>
      </c>
      <c r="H430" s="36" t="n">
        <v>2</v>
      </c>
      <c r="I430" s="37"/>
      <c r="J430" s="37"/>
      <c r="K430" s="38" t="n">
        <f aca="false">IFERROR(((F430*G430)/E430)-H430,"")</f>
        <v>105.729789590255</v>
      </c>
      <c r="L430" s="36" t="str">
        <f aca="false">IF(K430&lt;-10,"MUITO ADIANTADO",IF(K430&lt;-6,"ADIANTADO",IF(K430&lt;6,"EM DIAS",IF(K430&lt;12,"ATRASADO","MUITO ATRASADO"))))</f>
        <v>MUITO ATRASADO</v>
      </c>
      <c r="M430" s="39" t="n">
        <v>45418</v>
      </c>
      <c r="N430" s="55"/>
      <c r="O430" s="56" t="str">
        <f aca="false">IF(N430&lt;8,"VERIFICADO",IF(N430&lt;15,"VERIFICAR","VERIFICAR URGENTE"))</f>
        <v>VERIFICADO</v>
      </c>
      <c r="P430" s="40"/>
      <c r="Q430" s="40"/>
      <c r="R430" s="40"/>
      <c r="S430" s="40"/>
      <c r="T430" s="40"/>
      <c r="U430" s="40"/>
    </row>
    <row r="431" customFormat="false" ht="15.75" hidden="false" customHeight="true" outlineLevel="0" collapsed="false">
      <c r="A431" s="40" t="s">
        <v>864</v>
      </c>
      <c r="B431" s="57" t="n">
        <f aca="false">M431</f>
        <v>45405</v>
      </c>
      <c r="C431" s="34" t="n">
        <v>45405</v>
      </c>
      <c r="D431" s="34" t="n">
        <v>45528</v>
      </c>
      <c r="E431" s="35" t="n">
        <f aca="false">(D431-C431)/7</f>
        <v>17.5714285714286</v>
      </c>
      <c r="F431" s="35" t="n">
        <f aca="false">($B$2-C431)/7</f>
        <v>109.428571428571</v>
      </c>
      <c r="G431" s="36" t="n">
        <v>16</v>
      </c>
      <c r="H431" s="36" t="n">
        <v>0</v>
      </c>
      <c r="I431" s="37"/>
      <c r="J431" s="37"/>
      <c r="K431" s="38" t="n">
        <f aca="false">IFERROR(((F431*G431)/E431)-H431,"")</f>
        <v>99.6422764227641</v>
      </c>
      <c r="L431" s="36" t="str">
        <f aca="false">IF(K431&lt;-10,"MUITO ADIANTADO",IF(K431&lt;-6,"ADIANTADO",IF(K431&lt;6,"EM DIAS",IF(K431&lt;12,"ATRASADO","MUITO ATRASADO"))))</f>
        <v>MUITO ATRASADO</v>
      </c>
      <c r="M431" s="39" t="n">
        <v>45405</v>
      </c>
      <c r="N431" s="55"/>
      <c r="O431" s="56" t="str">
        <f aca="false">IF(N431&lt;8,"VERIFICADO",IF(N431&lt;15,"VERIFICAR","VERIFICAR URGENTE"))</f>
        <v>VERIFICADO</v>
      </c>
      <c r="P431" s="40"/>
      <c r="Q431" s="40"/>
      <c r="R431" s="40"/>
      <c r="S431" s="40"/>
      <c r="T431" s="40"/>
      <c r="U431" s="40"/>
    </row>
    <row r="432" customFormat="false" ht="15.75" hidden="false" customHeight="true" outlineLevel="0" collapsed="false">
      <c r="A432" s="40" t="s">
        <v>865</v>
      </c>
      <c r="B432" s="57" t="n">
        <f aca="false">M432</f>
        <v>45412</v>
      </c>
      <c r="C432" s="34" t="n">
        <v>45412</v>
      </c>
      <c r="D432" s="34" t="n">
        <v>46006</v>
      </c>
      <c r="E432" s="35" t="n">
        <f aca="false">(D432-C432)/7</f>
        <v>84.8571428571429</v>
      </c>
      <c r="F432" s="35" t="n">
        <f aca="false">($B$2-C432)/7</f>
        <v>108.428571428571</v>
      </c>
      <c r="G432" s="36" t="n">
        <v>32</v>
      </c>
      <c r="H432" s="36" t="n">
        <v>0</v>
      </c>
      <c r="I432" s="37"/>
      <c r="J432" s="37"/>
      <c r="K432" s="38" t="n">
        <f aca="false">IFERROR(((F432*G432)/E432)-H432,"")</f>
        <v>40.8888888888889</v>
      </c>
      <c r="L432" s="36" t="str">
        <f aca="false">IF(K432&lt;-10,"MUITO ADIANTADO",IF(K432&lt;-6,"ADIANTADO",IF(K432&lt;6,"EM DIAS",IF(K432&lt;12,"ATRASADO","MUITO ATRASADO"))))</f>
        <v>MUITO ATRASADO</v>
      </c>
      <c r="M432" s="39" t="n">
        <v>45412</v>
      </c>
      <c r="N432" s="55"/>
      <c r="O432" s="56" t="str">
        <f aca="false">IF(N432&lt;8,"VERIFICADO",IF(N432&lt;15,"VERIFICAR","VERIFICAR URGENTE"))</f>
        <v>VERIFICADO</v>
      </c>
      <c r="P432" s="40"/>
      <c r="Q432" s="40"/>
      <c r="R432" s="40"/>
      <c r="S432" s="40"/>
      <c r="T432" s="40"/>
      <c r="U432" s="40"/>
    </row>
    <row r="433" customFormat="false" ht="15.75" hidden="false" customHeight="true" outlineLevel="0" collapsed="false">
      <c r="A433" s="40" t="s">
        <v>866</v>
      </c>
      <c r="B433" s="57" t="n">
        <f aca="false">M433</f>
        <v>45428</v>
      </c>
      <c r="C433" s="34" t="n">
        <v>45406</v>
      </c>
      <c r="D433" s="34" t="n">
        <v>45771</v>
      </c>
      <c r="E433" s="35" t="n">
        <f aca="false">(D433-C433)/7</f>
        <v>52.1428571428571</v>
      </c>
      <c r="F433" s="35" t="n">
        <f aca="false">($B$2-C433)/7</f>
        <v>109.285714285714</v>
      </c>
      <c r="G433" s="36" t="n">
        <v>64</v>
      </c>
      <c r="H433" s="36" t="n">
        <v>3</v>
      </c>
      <c r="I433" s="37"/>
      <c r="J433" s="37"/>
      <c r="K433" s="38" t="n">
        <f aca="false">IFERROR(((F433*G433)/E433)-H433,"")</f>
        <v>131.13698630137</v>
      </c>
      <c r="L433" s="36" t="str">
        <f aca="false">IF(K433&lt;-10,"MUITO ADIANTADO",IF(K433&lt;-6,"ADIANTADO",IF(K433&lt;6,"EM DIAS",IF(K433&lt;12,"ATRASADO","MUITO ATRASADO"))))</f>
        <v>MUITO ATRASADO</v>
      </c>
      <c r="M433" s="39" t="n">
        <v>45428</v>
      </c>
      <c r="N433" s="55"/>
      <c r="O433" s="56" t="str">
        <f aca="false">IF(N433&lt;8,"VERIFICADO",IF(N433&lt;15,"VERIFICAR","VERIFICAR URGENTE"))</f>
        <v>VERIFICADO</v>
      </c>
      <c r="P433" s="40"/>
      <c r="Q433" s="40"/>
      <c r="R433" s="40"/>
      <c r="S433" s="40"/>
      <c r="T433" s="40"/>
      <c r="U433" s="40"/>
    </row>
    <row r="434" customFormat="false" ht="15.75" hidden="false" customHeight="true" outlineLevel="0" collapsed="false">
      <c r="A434" s="40" t="s">
        <v>867</v>
      </c>
      <c r="B434" s="57" t="n">
        <f aca="false">M434</f>
        <v>45428</v>
      </c>
      <c r="C434" s="34" t="n">
        <v>45406</v>
      </c>
      <c r="D434" s="34" t="n">
        <v>45924</v>
      </c>
      <c r="E434" s="35" t="n">
        <f aca="false">(D434-C434)/7</f>
        <v>74</v>
      </c>
      <c r="F434" s="35" t="n">
        <f aca="false">($B$2-C434)/7</f>
        <v>109.285714285714</v>
      </c>
      <c r="G434" s="36" t="n">
        <v>64</v>
      </c>
      <c r="H434" s="36" t="n">
        <v>3</v>
      </c>
      <c r="I434" s="37"/>
      <c r="J434" s="37"/>
      <c r="K434" s="38" t="n">
        <f aca="false">IFERROR(((F434*G434)/E434)-H434,"")</f>
        <v>91.5173745173745</v>
      </c>
      <c r="L434" s="36" t="str">
        <f aca="false">IF(K434&lt;-10,"MUITO ADIANTADO",IF(K434&lt;-6,"ADIANTADO",IF(K434&lt;6,"EM DIAS",IF(K434&lt;12,"ATRASADO","MUITO ATRASADO"))))</f>
        <v>MUITO ATRASADO</v>
      </c>
      <c r="M434" s="34" t="n">
        <v>45428</v>
      </c>
      <c r="N434" s="55"/>
      <c r="O434" s="56" t="str">
        <f aca="false">IF(N434&lt;8,"VERIFICADO",IF(N434&lt;15,"VERIFICAR","VERIFICAR URGENTE"))</f>
        <v>VERIFICADO</v>
      </c>
      <c r="P434" s="40"/>
      <c r="Q434" s="40"/>
      <c r="R434" s="40"/>
      <c r="S434" s="40"/>
      <c r="T434" s="40"/>
      <c r="U434" s="40"/>
    </row>
    <row r="435" customFormat="false" ht="15.75" hidden="false" customHeight="true" outlineLevel="0" collapsed="false">
      <c r="A435" s="40" t="s">
        <v>277</v>
      </c>
      <c r="B435" s="57" t="n">
        <f aca="false">M435</f>
        <v>45443</v>
      </c>
      <c r="C435" s="34" t="n">
        <v>45407</v>
      </c>
      <c r="D435" s="34" t="n">
        <v>45894</v>
      </c>
      <c r="E435" s="35" t="n">
        <f aca="false">(D435-C435)/7</f>
        <v>69.5714285714286</v>
      </c>
      <c r="F435" s="35" t="n">
        <f aca="false">($B$2-C435)/7</f>
        <v>109.142857142857</v>
      </c>
      <c r="G435" s="36" t="n">
        <v>64</v>
      </c>
      <c r="H435" s="36" t="n">
        <v>6</v>
      </c>
      <c r="I435" s="37"/>
      <c r="J435" s="37"/>
      <c r="K435" s="38" t="n">
        <f aca="false">IFERROR(((F435*G435)/E435)-H435,"")</f>
        <v>94.4024640657084</v>
      </c>
      <c r="L435" s="36" t="str">
        <f aca="false">IF(K435&lt;-10,"MUITO ADIANTADO",IF(K435&lt;-6,"ADIANTADO",IF(K435&lt;6,"EM DIAS",IF(K435&lt;12,"ATRASADO","MUITO ATRASADO"))))</f>
        <v>MUITO ATRASADO</v>
      </c>
      <c r="M435" s="39" t="n">
        <v>45443</v>
      </c>
      <c r="N435" s="55"/>
      <c r="O435" s="56" t="str">
        <f aca="false">IF(N435&lt;8,"VERIFICADO",IF(N435&lt;15,"VERIFICAR","VERIFICAR URGENTE"))</f>
        <v>VERIFICADO</v>
      </c>
      <c r="P435" s="40"/>
      <c r="Q435" s="40"/>
      <c r="R435" s="40"/>
      <c r="S435" s="40"/>
      <c r="T435" s="40"/>
      <c r="U435" s="40"/>
    </row>
    <row r="436" customFormat="false" ht="15.75" hidden="false" customHeight="true" outlineLevel="0" collapsed="false">
      <c r="A436" s="40" t="s">
        <v>435</v>
      </c>
      <c r="B436" s="57" t="n">
        <f aca="false">M436</f>
        <v>45415</v>
      </c>
      <c r="C436" s="34" t="n">
        <v>45407</v>
      </c>
      <c r="D436" s="34" t="n">
        <v>45986</v>
      </c>
      <c r="E436" s="35" t="n">
        <f aca="false">(D436-C436)/7</f>
        <v>82.7142857142857</v>
      </c>
      <c r="F436" s="35" t="n">
        <f aca="false">($B$2-C436)/7</f>
        <v>109.142857142857</v>
      </c>
      <c r="G436" s="36" t="n">
        <v>80</v>
      </c>
      <c r="H436" s="36" t="n">
        <v>3</v>
      </c>
      <c r="I436" s="37"/>
      <c r="J436" s="37"/>
      <c r="K436" s="38" t="n">
        <f aca="false">IFERROR(((F436*G436)/E436)-H436,"")</f>
        <v>102.561312607945</v>
      </c>
      <c r="L436" s="36" t="str">
        <f aca="false">IF(K436&lt;-10,"MUITO ADIANTADO",IF(K436&lt;-6,"ADIANTADO",IF(K436&lt;6,"EM DIAS",IF(K436&lt;12,"ATRASADO","MUITO ATRASADO"))))</f>
        <v>MUITO ATRASADO</v>
      </c>
      <c r="M436" s="39" t="n">
        <v>45415</v>
      </c>
      <c r="N436" s="55"/>
      <c r="O436" s="56" t="str">
        <f aca="false">IF(N436&lt;8,"VERIFICADO",IF(N436&lt;15,"VERIFICAR","VERIFICAR URGENTE"))</f>
        <v>VERIFICADO</v>
      </c>
      <c r="P436" s="40"/>
      <c r="Q436" s="40"/>
      <c r="R436" s="40"/>
      <c r="S436" s="40"/>
      <c r="T436" s="40"/>
      <c r="U436" s="40"/>
    </row>
    <row r="437" customFormat="false" ht="15.75" hidden="false" customHeight="true" outlineLevel="0" collapsed="false">
      <c r="A437" s="40" t="s">
        <v>129</v>
      </c>
      <c r="B437" s="57" t="n">
        <f aca="false">M437</f>
        <v>45411</v>
      </c>
      <c r="C437" s="34" t="n">
        <v>45411</v>
      </c>
      <c r="D437" s="34" t="n">
        <v>46096</v>
      </c>
      <c r="E437" s="35" t="n">
        <f aca="false">(D437-C437)/7</f>
        <v>97.8571428571429</v>
      </c>
      <c r="F437" s="35" t="n">
        <f aca="false">($B$2-C437)/7</f>
        <v>108.571428571429</v>
      </c>
      <c r="G437" s="36" t="n">
        <v>116</v>
      </c>
      <c r="H437" s="36" t="n">
        <v>0</v>
      </c>
      <c r="I437" s="37"/>
      <c r="J437" s="37"/>
      <c r="K437" s="38" t="n">
        <f aca="false">IFERROR(((F437*G437)/E437)-H437,"")</f>
        <v>128.700729927007</v>
      </c>
      <c r="L437" s="36" t="str">
        <f aca="false">IF(K437&lt;-10,"MUITO ADIANTADO",IF(K437&lt;-6,"ADIANTADO",IF(K437&lt;6,"EM DIAS",IF(K437&lt;12,"ATRASADO","MUITO ATRASADO"))))</f>
        <v>MUITO ATRASADO</v>
      </c>
      <c r="M437" s="39" t="n">
        <v>45411</v>
      </c>
      <c r="N437" s="55"/>
      <c r="O437" s="56" t="str">
        <f aca="false">IF(N437&lt;8,"VERIFICADO",IF(N437&lt;15,"VERIFICAR","VERIFICAR URGENTE"))</f>
        <v>VERIFICADO</v>
      </c>
      <c r="P437" s="40"/>
      <c r="Q437" s="40"/>
      <c r="R437" s="40"/>
      <c r="S437" s="40"/>
      <c r="T437" s="40"/>
      <c r="U437" s="40"/>
    </row>
    <row r="438" customFormat="false" ht="15.75" hidden="false" customHeight="true" outlineLevel="0" collapsed="false">
      <c r="A438" s="40" t="s">
        <v>868</v>
      </c>
      <c r="B438" s="57" t="n">
        <f aca="false">M438</f>
        <v>45425</v>
      </c>
      <c r="C438" s="34" t="n">
        <v>45411</v>
      </c>
      <c r="D438" s="34" t="n">
        <v>46020</v>
      </c>
      <c r="E438" s="35" t="n">
        <f aca="false">(D438-C438)/7</f>
        <v>87</v>
      </c>
      <c r="F438" s="35" t="n">
        <f aca="false">($B$2-C438)/7</f>
        <v>108.571428571429</v>
      </c>
      <c r="G438" s="36" t="n">
        <v>80</v>
      </c>
      <c r="H438" s="36" t="n">
        <v>3</v>
      </c>
      <c r="I438" s="37"/>
      <c r="J438" s="37"/>
      <c r="K438" s="38" t="n">
        <f aca="false">IFERROR(((F438*G438)/E438)-H438,"")</f>
        <v>96.8357963875205</v>
      </c>
      <c r="L438" s="36" t="str">
        <f aca="false">IF(K438&lt;-10,"MUITO ADIANTADO",IF(K438&lt;-6,"ADIANTADO",IF(K438&lt;6,"EM DIAS",IF(K438&lt;12,"ATRASADO","MUITO ATRASADO"))))</f>
        <v>MUITO ATRASADO</v>
      </c>
      <c r="M438" s="39" t="n">
        <v>45425</v>
      </c>
      <c r="N438" s="55"/>
      <c r="O438" s="56" t="str">
        <f aca="false">IF(N438&lt;8,"VERIFICADO",IF(N438&lt;15,"VERIFICAR","VERIFICAR URGENTE"))</f>
        <v>VERIFICADO</v>
      </c>
      <c r="P438" s="40"/>
      <c r="Q438" s="40"/>
      <c r="R438" s="40"/>
      <c r="S438" s="40"/>
      <c r="T438" s="40"/>
      <c r="U438" s="40"/>
    </row>
    <row r="439" customFormat="false" ht="15.75" hidden="false" customHeight="true" outlineLevel="0" collapsed="false">
      <c r="A439" s="40" t="s">
        <v>869</v>
      </c>
      <c r="B439" s="57" t="n">
        <f aca="false">M439</f>
        <v>45453</v>
      </c>
      <c r="C439" s="34" t="n">
        <v>45425</v>
      </c>
      <c r="D439" s="34" t="n">
        <v>45785</v>
      </c>
      <c r="E439" s="35" t="n">
        <f aca="false">(D439-C439)/7</f>
        <v>51.4285714285714</v>
      </c>
      <c r="F439" s="35" t="n">
        <f aca="false">($B$2-C439)/7</f>
        <v>106.571428571429</v>
      </c>
      <c r="G439" s="36" t="n">
        <v>48</v>
      </c>
      <c r="H439" s="36" t="n">
        <v>3</v>
      </c>
      <c r="I439" s="37"/>
      <c r="J439" s="37"/>
      <c r="K439" s="38" t="n">
        <f aca="false">IFERROR(((F439*G439)/E439)-H439,"")</f>
        <v>96.4666666666667</v>
      </c>
      <c r="L439" s="36" t="str">
        <f aca="false">IF(K439&lt;-10,"MUITO ADIANTADO",IF(K439&lt;-6,"ADIANTADO",IF(K439&lt;6,"EM DIAS",IF(K439&lt;12,"ATRASADO","MUITO ATRASADO"))))</f>
        <v>MUITO ATRASADO</v>
      </c>
      <c r="M439" s="39" t="n">
        <v>45453</v>
      </c>
      <c r="N439" s="55"/>
      <c r="O439" s="56" t="str">
        <f aca="false">IF(N439&lt;8,"VERIFICADO",IF(N439&lt;15,"VERIFICAR","VERIFICAR URGENTE"))</f>
        <v>VERIFICADO</v>
      </c>
      <c r="P439" s="40"/>
      <c r="Q439" s="40"/>
      <c r="R439" s="40"/>
      <c r="S439" s="40"/>
      <c r="T439" s="40"/>
      <c r="U439" s="40"/>
    </row>
    <row r="440" customFormat="false" ht="15.75" hidden="false" customHeight="true" outlineLevel="0" collapsed="false">
      <c r="A440" s="40" t="s">
        <v>870</v>
      </c>
      <c r="B440" s="57" t="n">
        <f aca="false">M440</f>
        <v>45420</v>
      </c>
      <c r="C440" s="34" t="n">
        <v>45481</v>
      </c>
      <c r="D440" s="34" t="n">
        <v>46063</v>
      </c>
      <c r="E440" s="35" t="n">
        <f aca="false">(D440-C440)/7</f>
        <v>83.1428571428571</v>
      </c>
      <c r="F440" s="35" t="n">
        <f aca="false">($B$2-C440)/7</f>
        <v>98.5714285714286</v>
      </c>
      <c r="G440" s="36" t="n">
        <v>80</v>
      </c>
      <c r="H440" s="36" t="n">
        <v>0</v>
      </c>
      <c r="I440" s="37"/>
      <c r="J440" s="37"/>
      <c r="K440" s="38" t="n">
        <f aca="false">IFERROR(((F440*G440)/E440)-H440,"")</f>
        <v>94.8453608247423</v>
      </c>
      <c r="L440" s="36" t="str">
        <f aca="false">IF(K440&lt;-10,"MUITO ADIANTADO",IF(K440&lt;-6,"ADIANTADO",IF(K440&lt;6,"EM DIAS",IF(K440&lt;12,"ATRASADO","MUITO ATRASADO"))))</f>
        <v>MUITO ATRASADO</v>
      </c>
      <c r="M440" s="39" t="n">
        <v>45420</v>
      </c>
      <c r="N440" s="55"/>
      <c r="O440" s="56" t="str">
        <f aca="false">IF(N440&lt;8,"VERIFICADO",IF(N440&lt;15,"VERIFICAR","VERIFICAR URGENTE"))</f>
        <v>VERIFICADO</v>
      </c>
      <c r="P440" s="40"/>
      <c r="Q440" s="40"/>
      <c r="R440" s="40"/>
      <c r="S440" s="40"/>
      <c r="T440" s="40"/>
      <c r="U440" s="40"/>
    </row>
    <row r="441" customFormat="false" ht="15.75" hidden="false" customHeight="true" outlineLevel="0" collapsed="false">
      <c r="A441" s="40" t="s">
        <v>754</v>
      </c>
      <c r="B441" s="57"/>
      <c r="C441" s="34" t="n">
        <v>45440</v>
      </c>
      <c r="D441" s="34" t="n">
        <v>46081</v>
      </c>
      <c r="E441" s="35" t="n">
        <v>80</v>
      </c>
      <c r="F441" s="35" t="n">
        <f aca="false">($B$2-C441)/7</f>
        <v>104.428571428571</v>
      </c>
      <c r="G441" s="36" t="n">
        <v>80</v>
      </c>
      <c r="H441" s="36" t="n">
        <v>0</v>
      </c>
      <c r="I441" s="37"/>
      <c r="J441" s="37"/>
      <c r="K441" s="38" t="n">
        <v>0</v>
      </c>
      <c r="L441" s="36" t="str">
        <f aca="false">IF(K441&lt;-10,"MUITO ADIANTADO",IF(K441&lt;-6,"ADIANTADO",IF(K441&lt;6,"EM DIAS",IF(K441&lt;12,"ATRASADO","MUITO ATRASADO"))))</f>
        <v>EM DIAS</v>
      </c>
      <c r="M441" s="39" t="n">
        <v>46068</v>
      </c>
      <c r="N441" s="55"/>
      <c r="O441" s="56" t="str">
        <f aca="false">IF(N441&lt;8,"VERIFICADO",IF(N441&lt;15,"VERIFICAR","VERIFICAR URGENTE"))</f>
        <v>VERIFICADO</v>
      </c>
      <c r="P441" s="40"/>
      <c r="Q441" s="40"/>
      <c r="R441" s="40"/>
      <c r="S441" s="40"/>
      <c r="T441" s="40"/>
      <c r="U441" s="40"/>
    </row>
    <row r="442" customFormat="false" ht="15.75" hidden="false" customHeight="true" outlineLevel="0" collapsed="false">
      <c r="A442" s="40" t="s">
        <v>416</v>
      </c>
      <c r="B442" s="57" t="n">
        <f aca="false">M442</f>
        <v>45386</v>
      </c>
      <c r="C442" s="34" t="n">
        <v>45386</v>
      </c>
      <c r="D442" s="34" t="n">
        <v>46299</v>
      </c>
      <c r="E442" s="35" t="n">
        <f aca="false">(D442-C442)/7</f>
        <v>130.428571428571</v>
      </c>
      <c r="F442" s="35" t="n">
        <f aca="false">($B$2-C442)/7</f>
        <v>112.142857142857</v>
      </c>
      <c r="G442" s="36" t="n">
        <v>112</v>
      </c>
      <c r="H442" s="36" t="n">
        <v>0</v>
      </c>
      <c r="I442" s="37"/>
      <c r="J442" s="37"/>
      <c r="K442" s="38" t="n">
        <f aca="false">IFERROR(((F442*G442)/E442)-H442,"")</f>
        <v>96.2979189485217</v>
      </c>
      <c r="L442" s="36" t="str">
        <f aca="false">IF(K442&lt;-10,"MUITO ADIANTADO",IF(K442&lt;-6,"ADIANTADO",IF(K442&lt;6,"EM DIAS",IF(K442&lt;12,"ATRASADO","MUITO ATRASADO"))))</f>
        <v>MUITO ATRASADO</v>
      </c>
      <c r="M442" s="39" t="n">
        <v>45386</v>
      </c>
      <c r="N442" s="55"/>
      <c r="O442" s="56" t="str">
        <f aca="false">IF(N442&lt;8,"VERIFICADO",IF(N442&lt;15,"VERIFICAR","VERIFICAR URGENTE"))</f>
        <v>VERIFICADO</v>
      </c>
      <c r="P442" s="40"/>
      <c r="Q442" s="40"/>
      <c r="R442" s="40"/>
      <c r="S442" s="40"/>
      <c r="T442" s="40"/>
      <c r="U442" s="40"/>
    </row>
    <row r="443" customFormat="false" ht="15.75" hidden="false" customHeight="true" outlineLevel="0" collapsed="false">
      <c r="A443" s="40" t="s">
        <v>871</v>
      </c>
      <c r="B443" s="57" t="n">
        <f aca="false">M443</f>
        <v>45416</v>
      </c>
      <c r="C443" s="34" t="n">
        <v>45416</v>
      </c>
      <c r="D443" s="34" t="n">
        <v>46877</v>
      </c>
      <c r="E443" s="35" t="n">
        <f aca="false">(D443-C443)/7</f>
        <v>208.714285714286</v>
      </c>
      <c r="F443" s="35" t="n">
        <f aca="false">($B$2-C443)/7</f>
        <v>107.857142857143</v>
      </c>
      <c r="G443" s="36" t="n">
        <v>176</v>
      </c>
      <c r="H443" s="36" t="n">
        <v>0</v>
      </c>
      <c r="I443" s="37"/>
      <c r="J443" s="37"/>
      <c r="K443" s="38" t="n">
        <f aca="false">IFERROR(((F443*G443)/E443)-H443,"")</f>
        <v>90.9514031485283</v>
      </c>
      <c r="L443" s="36" t="str">
        <f aca="false">IF(K443&lt;-10,"MUITO ADIANTADO",IF(K443&lt;-6,"ADIANTADO",IF(K443&lt;6,"EM DIAS",IF(K443&lt;12,"ATRASADO","MUITO ATRASADO"))))</f>
        <v>MUITO ATRASADO</v>
      </c>
      <c r="M443" s="39" t="n">
        <v>45416</v>
      </c>
      <c r="N443" s="55"/>
      <c r="O443" s="56" t="str">
        <f aca="false">IF(N443&lt;8,"VERIFICADO",IF(N443&lt;15,"VERIFICAR","VERIFICAR URGENTE"))</f>
        <v>VERIFICADO</v>
      </c>
      <c r="P443" s="40"/>
      <c r="Q443" s="40"/>
      <c r="R443" s="40"/>
      <c r="S443" s="40"/>
      <c r="T443" s="40"/>
      <c r="U443" s="40"/>
    </row>
    <row r="444" customFormat="false" ht="15.75" hidden="false" customHeight="true" outlineLevel="0" collapsed="false">
      <c r="A444" s="40" t="s">
        <v>872</v>
      </c>
      <c r="B444" s="57" t="n">
        <f aca="false">M444</f>
        <v>45416</v>
      </c>
      <c r="C444" s="34" t="n">
        <v>45415</v>
      </c>
      <c r="D444" s="34" t="n">
        <v>45964</v>
      </c>
      <c r="E444" s="35" t="n">
        <f aca="false">(D444-C444)/7</f>
        <v>78.4285714285714</v>
      </c>
      <c r="F444" s="35" t="n">
        <f aca="false">($B$2-C444)/7</f>
        <v>108</v>
      </c>
      <c r="G444" s="36" t="n">
        <v>80</v>
      </c>
      <c r="H444" s="36" t="n">
        <v>2</v>
      </c>
      <c r="I444" s="37"/>
      <c r="J444" s="37"/>
      <c r="K444" s="38" t="n">
        <f aca="false">IFERROR(((F444*G444)/E444)-H444,"")</f>
        <v>108.16393442623</v>
      </c>
      <c r="L444" s="36" t="str">
        <f aca="false">IF(K444&lt;-10,"MUITO ADIANTADO",IF(K444&lt;-6,"ADIANTADO",IF(K444&lt;6,"EM DIAS",IF(K444&lt;12,"ATRASADO","MUITO ATRASADO"))))</f>
        <v>MUITO ATRASADO</v>
      </c>
      <c r="M444" s="39" t="n">
        <v>45416</v>
      </c>
      <c r="N444" s="55"/>
      <c r="O444" s="56" t="str">
        <f aca="false">IF(N444&lt;8,"VERIFICADO",IF(N444&lt;15,"VERIFICAR","VERIFICAR URGENTE"))</f>
        <v>VERIFICADO</v>
      </c>
      <c r="P444" s="40"/>
      <c r="Q444" s="40"/>
      <c r="R444" s="40"/>
      <c r="S444" s="40"/>
      <c r="T444" s="40"/>
      <c r="U444" s="40"/>
    </row>
    <row r="445" customFormat="false" ht="15.75" hidden="false" customHeight="true" outlineLevel="0" collapsed="false">
      <c r="A445" s="40" t="s">
        <v>336</v>
      </c>
      <c r="B445" s="57" t="n">
        <f aca="false">M445</f>
        <v>45420</v>
      </c>
      <c r="C445" s="34" t="n">
        <v>45420</v>
      </c>
      <c r="D445" s="34" t="n">
        <v>47462</v>
      </c>
      <c r="E445" s="35" t="n">
        <f aca="false">(D445-C445)/7</f>
        <v>291.714285714286</v>
      </c>
      <c r="F445" s="35" t="n">
        <f aca="false">($B$2-C445)/7</f>
        <v>107.285714285714</v>
      </c>
      <c r="G445" s="36" t="n">
        <v>32</v>
      </c>
      <c r="H445" s="36" t="n">
        <v>0</v>
      </c>
      <c r="I445" s="37"/>
      <c r="J445" s="37"/>
      <c r="K445" s="38" t="n">
        <f aca="false">IFERROR(((F445*G445)/E445)-H445,"")</f>
        <v>11.7688540646425</v>
      </c>
      <c r="L445" s="36" t="str">
        <f aca="false">IF(K445&lt;-10,"MUITO ADIANTADO",IF(K445&lt;-6,"ADIANTADO",IF(K445&lt;6,"EM DIAS",IF(K445&lt;12,"ATRASADO","MUITO ATRASADO"))))</f>
        <v>ATRASADO</v>
      </c>
      <c r="M445" s="39" t="n">
        <v>45420</v>
      </c>
      <c r="N445" s="55"/>
      <c r="O445" s="56" t="str">
        <f aca="false">IF(N445&lt;8,"VERIFICADO",IF(N445&lt;15,"VERIFICAR","VERIFICAR URGENTE"))</f>
        <v>VERIFICADO</v>
      </c>
      <c r="P445" s="40"/>
      <c r="Q445" s="40"/>
      <c r="R445" s="40"/>
      <c r="S445" s="40"/>
      <c r="T445" s="40"/>
      <c r="U445" s="40"/>
    </row>
    <row r="446" customFormat="false" ht="15.75" hidden="false" customHeight="true" outlineLevel="0" collapsed="false">
      <c r="A446" s="40" t="s">
        <v>159</v>
      </c>
      <c r="B446" s="57" t="n">
        <f aca="false">M446</f>
        <v>45419</v>
      </c>
      <c r="C446" s="34" t="n">
        <v>45419</v>
      </c>
      <c r="D446" s="34" t="n">
        <v>46275</v>
      </c>
      <c r="E446" s="35" t="n">
        <f aca="false">(D446-C446)/7</f>
        <v>122.285714285714</v>
      </c>
      <c r="F446" s="35" t="n">
        <f aca="false">($B$2-C446)/7</f>
        <v>107.428571428571</v>
      </c>
      <c r="G446" s="36" t="n">
        <v>128</v>
      </c>
      <c r="H446" s="36" t="n">
        <v>0</v>
      </c>
      <c r="I446" s="37"/>
      <c r="J446" s="37"/>
      <c r="K446" s="38" t="n">
        <f aca="false">IFERROR(((F446*G446)/E446)-H446,"")</f>
        <v>112.448598130841</v>
      </c>
      <c r="L446" s="36" t="str">
        <f aca="false">IF(K446&lt;-10,"MUITO ADIANTADO",IF(K446&lt;-6,"ADIANTADO",IF(K446&lt;6,"EM DIAS",IF(K446&lt;12,"ATRASADO","MUITO ATRASADO"))))</f>
        <v>MUITO ATRASADO</v>
      </c>
      <c r="M446" s="39" t="n">
        <v>45419</v>
      </c>
      <c r="N446" s="55"/>
      <c r="O446" s="56" t="str">
        <f aca="false">IF(N446&lt;8,"VERIFICADO",IF(N446&lt;15,"VERIFICAR","VERIFICAR URGENTE"))</f>
        <v>VERIFICADO</v>
      </c>
      <c r="P446" s="40"/>
      <c r="Q446" s="40"/>
      <c r="R446" s="40"/>
      <c r="S446" s="40"/>
      <c r="T446" s="40"/>
      <c r="U446" s="40"/>
    </row>
    <row r="447" customFormat="false" ht="15.75" hidden="false" customHeight="true" outlineLevel="0" collapsed="false">
      <c r="A447" s="40" t="s">
        <v>873</v>
      </c>
      <c r="B447" s="57" t="n">
        <f aca="false">M447</f>
        <v>45449</v>
      </c>
      <c r="C447" s="34" t="n">
        <v>45449</v>
      </c>
      <c r="D447" s="34" t="n">
        <v>45814</v>
      </c>
      <c r="E447" s="35" t="n">
        <f aca="false">(D447-C447)/7</f>
        <v>52.1428571428571</v>
      </c>
      <c r="F447" s="35" t="n">
        <f aca="false">($B$2-C447)/7</f>
        <v>103.142857142857</v>
      </c>
      <c r="G447" s="36" t="n">
        <v>100</v>
      </c>
      <c r="H447" s="36" t="n">
        <v>0</v>
      </c>
      <c r="I447" s="37"/>
      <c r="J447" s="37"/>
      <c r="K447" s="38" t="n">
        <f aca="false">IFERROR(((F447*G447)/E447)-H447,"")</f>
        <v>197.808219178082</v>
      </c>
      <c r="L447" s="36" t="str">
        <f aca="false">IF(K447&lt;-10,"MUITO ADIANTADO",IF(K447&lt;-6,"ADIANTADO",IF(K447&lt;6,"EM DIAS",IF(K447&lt;12,"ATRASADO","MUITO ATRASADO"))))</f>
        <v>MUITO ATRASADO</v>
      </c>
      <c r="M447" s="39" t="n">
        <v>45449</v>
      </c>
      <c r="N447" s="55"/>
      <c r="O447" s="56" t="str">
        <f aca="false">IF(N447&lt;8,"VERIFICADO",IF(N447&lt;15,"VERIFICAR","VERIFICAR URGENTE"))</f>
        <v>VERIFICADO</v>
      </c>
      <c r="P447" s="40"/>
      <c r="Q447" s="40"/>
      <c r="R447" s="40"/>
      <c r="S447" s="40"/>
      <c r="T447" s="40"/>
      <c r="U447" s="40"/>
    </row>
    <row r="448" customFormat="false" ht="15.75" hidden="false" customHeight="true" outlineLevel="0" collapsed="false">
      <c r="A448" s="75" t="s">
        <v>874</v>
      </c>
      <c r="B448" s="57" t="n">
        <f aca="false">M448</f>
        <v>45444</v>
      </c>
      <c r="C448" s="34" t="n">
        <v>44583</v>
      </c>
      <c r="D448" s="34" t="n">
        <v>45771</v>
      </c>
      <c r="E448" s="35" t="n">
        <f aca="false">(D448-C448)/7</f>
        <v>169.714285714286</v>
      </c>
      <c r="F448" s="35" t="n">
        <f aca="false">($B$2-C448)/7</f>
        <v>226.857142857143</v>
      </c>
      <c r="G448" s="36" t="n">
        <v>145</v>
      </c>
      <c r="H448" s="36" t="n">
        <v>68</v>
      </c>
      <c r="I448" s="37"/>
      <c r="J448" s="37"/>
      <c r="K448" s="38" t="n">
        <f aca="false">IFERROR(((F448*G448)/E448)-H448,"")</f>
        <v>125.821548821549</v>
      </c>
      <c r="L448" s="36" t="str">
        <f aca="false">IF(K448&lt;-10,"MUITO ADIANTADO",IF(K448&lt;-6,"ADIANTADO",IF(K448&lt;6,"EM DIAS",IF(K448&lt;12,"ATRASADO","MUITO ATRASADO"))))</f>
        <v>MUITO ATRASADO</v>
      </c>
      <c r="M448" s="39" t="n">
        <v>45444</v>
      </c>
      <c r="N448" s="55"/>
      <c r="O448" s="56" t="str">
        <f aca="false">IF(N448&lt;8,"VERIFICADO",IF(N448&lt;15,"VERIFICAR","VERIFICAR URGENTE"))</f>
        <v>VERIFICADO</v>
      </c>
      <c r="P448" s="40"/>
      <c r="Q448" s="40"/>
      <c r="R448" s="40"/>
      <c r="S448" s="40"/>
      <c r="T448" s="40"/>
      <c r="U448" s="40"/>
    </row>
    <row r="449" customFormat="false" ht="15.75" hidden="false" customHeight="true" outlineLevel="0" collapsed="false">
      <c r="A449" s="40" t="s">
        <v>875</v>
      </c>
      <c r="B449" s="57" t="n">
        <f aca="false">M449</f>
        <v>45429</v>
      </c>
      <c r="C449" s="34" t="n">
        <v>45219</v>
      </c>
      <c r="D449" s="34" t="n">
        <v>45743</v>
      </c>
      <c r="E449" s="35" t="n">
        <f aca="false">(D449-C449)/7</f>
        <v>74.8571428571429</v>
      </c>
      <c r="F449" s="35" t="n">
        <f aca="false">($B$2-C449)/7</f>
        <v>136</v>
      </c>
      <c r="G449" s="36" t="n">
        <v>80</v>
      </c>
      <c r="H449" s="36" t="n">
        <v>29</v>
      </c>
      <c r="I449" s="37"/>
      <c r="J449" s="37"/>
      <c r="K449" s="38" t="n">
        <f aca="false">IFERROR(((F449*G449)/E449)-H449,"")</f>
        <v>116.343511450382</v>
      </c>
      <c r="L449" s="36" t="str">
        <f aca="false">IF(K449&lt;-10,"MUITO ADIANTADO",IF(K449&lt;-6,"ADIANTADO",IF(K449&lt;6,"EM DIAS",IF(K449&lt;12,"ATRASADO","MUITO ATRASADO"))))</f>
        <v>MUITO ATRASADO</v>
      </c>
      <c r="M449" s="39" t="n">
        <v>45429</v>
      </c>
      <c r="N449" s="55"/>
      <c r="O449" s="56" t="str">
        <f aca="false">IF(N449&lt;8,"VERIFICADO",IF(N449&lt;15,"VERIFICAR","VERIFICAR URGENTE"))</f>
        <v>VERIFICADO</v>
      </c>
      <c r="P449" s="40"/>
      <c r="Q449" s="40"/>
      <c r="R449" s="40"/>
      <c r="S449" s="40"/>
      <c r="T449" s="40"/>
      <c r="U449" s="40"/>
    </row>
    <row r="450" customFormat="false" ht="15.75" hidden="false" customHeight="true" outlineLevel="0" collapsed="false">
      <c r="A450" s="40" t="s">
        <v>876</v>
      </c>
      <c r="B450" s="57" t="n">
        <f aca="false">M450</f>
        <v>45453</v>
      </c>
      <c r="C450" s="34" t="n">
        <v>45425</v>
      </c>
      <c r="D450" s="34" t="n">
        <v>45737</v>
      </c>
      <c r="E450" s="35" t="n">
        <f aca="false">(D450-C450)/7</f>
        <v>44.5714285714286</v>
      </c>
      <c r="F450" s="35" t="n">
        <f aca="false">($B$2-C450)/7</f>
        <v>106.571428571429</v>
      </c>
      <c r="G450" s="36" t="n">
        <v>108</v>
      </c>
      <c r="H450" s="36" t="n">
        <v>3</v>
      </c>
      <c r="I450" s="37"/>
      <c r="J450" s="37"/>
      <c r="K450" s="38" t="n">
        <f aca="false">IFERROR(((F450*G450)/E450)-H450,"")</f>
        <v>255.230769230769</v>
      </c>
      <c r="L450" s="36" t="str">
        <f aca="false">IF(K450&lt;-10,"MUITO ADIANTADO",IF(K450&lt;-6,"ADIANTADO",IF(K450&lt;6,"EM DIAS",IF(K450&lt;12,"ATRASADO","MUITO ATRASADO"))))</f>
        <v>MUITO ATRASADO</v>
      </c>
      <c r="M450" s="39" t="n">
        <v>45453</v>
      </c>
      <c r="N450" s="55"/>
      <c r="O450" s="56" t="str">
        <f aca="false">IF(N450&lt;8,"VERIFICADO",IF(N450&lt;15,"VERIFICAR","VERIFICAR URGENTE"))</f>
        <v>VERIFICADO</v>
      </c>
      <c r="P450" s="40"/>
      <c r="Q450" s="40"/>
      <c r="R450" s="40"/>
      <c r="S450" s="40"/>
      <c r="T450" s="40"/>
      <c r="U450" s="40"/>
    </row>
    <row r="451" customFormat="false" ht="15.75" hidden="false" customHeight="true" outlineLevel="0" collapsed="false">
      <c r="A451" s="40" t="s">
        <v>348</v>
      </c>
      <c r="B451" s="57" t="n">
        <f aca="false">M451</f>
        <v>45428</v>
      </c>
      <c r="C451" s="34" t="n">
        <v>45428</v>
      </c>
      <c r="D451" s="34" t="n">
        <v>46341</v>
      </c>
      <c r="E451" s="35" t="n">
        <f aca="false">(D451-C451)/7</f>
        <v>130.428571428571</v>
      </c>
      <c r="F451" s="35" t="n">
        <f aca="false">($B$2-C451)/7</f>
        <v>106.142857142857</v>
      </c>
      <c r="G451" s="36" t="n">
        <v>128</v>
      </c>
      <c r="H451" s="36" t="n">
        <v>0</v>
      </c>
      <c r="I451" s="37"/>
      <c r="J451" s="37"/>
      <c r="K451" s="38" t="n">
        <f aca="false">IFERROR(((F451*G451)/E451)-H451,"")</f>
        <v>104.166484118292</v>
      </c>
      <c r="L451" s="36" t="str">
        <f aca="false">IF(K451&lt;-10,"MUITO ADIANTADO",IF(K451&lt;-6,"ADIANTADO",IF(K451&lt;6,"EM DIAS",IF(K451&lt;12,"ATRASADO","MUITO ATRASADO"))))</f>
        <v>MUITO ATRASADO</v>
      </c>
      <c r="M451" s="39" t="n">
        <v>45428</v>
      </c>
      <c r="N451" s="55"/>
      <c r="O451" s="56" t="str">
        <f aca="false">IF(N451&lt;8,"VERIFICADO",IF(N451&lt;15,"VERIFICAR","VERIFICAR URGENTE"))</f>
        <v>VERIFICADO</v>
      </c>
      <c r="P451" s="40"/>
      <c r="Q451" s="40"/>
      <c r="R451" s="40"/>
      <c r="S451" s="40"/>
      <c r="T451" s="40"/>
      <c r="U451" s="40"/>
    </row>
    <row r="452" customFormat="false" ht="15.75" hidden="false" customHeight="true" outlineLevel="0" collapsed="false">
      <c r="A452" s="40" t="s">
        <v>304</v>
      </c>
      <c r="B452" s="57" t="n">
        <f aca="false">M452</f>
        <v>45453</v>
      </c>
      <c r="C452" s="34" t="n">
        <v>45433</v>
      </c>
      <c r="D452" s="34" t="n">
        <v>47169</v>
      </c>
      <c r="E452" s="35" t="n">
        <f aca="false">(D452-C452)/7</f>
        <v>248</v>
      </c>
      <c r="F452" s="35" t="n">
        <f aca="false">($B$2-C452)/7</f>
        <v>105.428571428571</v>
      </c>
      <c r="G452" s="36" t="n">
        <v>256</v>
      </c>
      <c r="H452" s="36" t="n">
        <v>0</v>
      </c>
      <c r="I452" s="37"/>
      <c r="J452" s="37"/>
      <c r="K452" s="38" t="n">
        <v>0</v>
      </c>
      <c r="L452" s="36" t="str">
        <f aca="false">IF(K452&lt;-10,"MUITO ADIANTADO",IF(K452&lt;-6,"ADIANTADO",IF(K452&lt;6,"EM DIAS",IF(K452&lt;12,"ATRASADO","MUITO ATRASADO"))))</f>
        <v>EM DIAS</v>
      </c>
      <c r="M452" s="39" t="n">
        <v>45453</v>
      </c>
      <c r="N452" s="55"/>
      <c r="O452" s="56" t="str">
        <f aca="false">IF(N452&lt;8,"VERIFICADO",IF(N452&lt;15,"VERIFICAR","VERIFICAR URGENTE"))</f>
        <v>VERIFICADO</v>
      </c>
      <c r="P452" s="40"/>
      <c r="Q452" s="40"/>
      <c r="R452" s="40"/>
      <c r="S452" s="40"/>
      <c r="T452" s="40"/>
      <c r="U452" s="40"/>
    </row>
    <row r="453" customFormat="false" ht="15.75" hidden="false" customHeight="true" outlineLevel="0" collapsed="false">
      <c r="A453" s="40" t="s">
        <v>312</v>
      </c>
      <c r="B453" s="57" t="n">
        <f aca="false">M453</f>
        <v>45439</v>
      </c>
      <c r="C453" s="34" t="n">
        <v>45439</v>
      </c>
      <c r="D453" s="34" t="n">
        <v>46169</v>
      </c>
      <c r="E453" s="35" t="n">
        <f aca="false">(D453-C453)/7</f>
        <v>104.285714285714</v>
      </c>
      <c r="F453" s="35" t="n">
        <f aca="false">($B$2-C453)/7</f>
        <v>104.571428571429</v>
      </c>
      <c r="G453" s="36" t="n">
        <v>116</v>
      </c>
      <c r="H453" s="36" t="n">
        <v>0</v>
      </c>
      <c r="I453" s="37"/>
      <c r="J453" s="37"/>
      <c r="K453" s="38" t="n">
        <f aca="false">IFERROR(((F453*G453)/E453)-H453,"")</f>
        <v>116.317808219178</v>
      </c>
      <c r="L453" s="36" t="str">
        <f aca="false">IF(K453&lt;-10,"MUITO ADIANTADO",IF(K453&lt;-6,"ADIANTADO",IF(K453&lt;6,"EM DIAS",IF(K453&lt;12,"ATRASADO","MUITO ATRASADO"))))</f>
        <v>MUITO ATRASADO</v>
      </c>
      <c r="M453" s="39" t="n">
        <v>45439</v>
      </c>
      <c r="N453" s="55"/>
      <c r="O453" s="56" t="str">
        <f aca="false">IF(N453&lt;8,"VERIFICADO",IF(N453&lt;15,"VERIFICAR","VERIFICAR URGENTE"))</f>
        <v>VERIFICADO</v>
      </c>
      <c r="P453" s="40"/>
      <c r="Q453" s="40"/>
      <c r="R453" s="40"/>
      <c r="S453" s="40"/>
      <c r="T453" s="40"/>
      <c r="U453" s="40"/>
    </row>
    <row r="454" customFormat="false" ht="15.75" hidden="false" customHeight="true" outlineLevel="0" collapsed="false">
      <c r="A454" s="40" t="s">
        <v>488</v>
      </c>
      <c r="B454" s="57" t="n">
        <f aca="false">M454</f>
        <v>45430</v>
      </c>
      <c r="C454" s="34" t="n">
        <v>45430</v>
      </c>
      <c r="D454" s="34" t="n">
        <v>46313</v>
      </c>
      <c r="E454" s="35" t="n">
        <f aca="false">(D454-C454)/7</f>
        <v>126.142857142857</v>
      </c>
      <c r="F454" s="35" t="n">
        <f aca="false">($B$2-C454)/7</f>
        <v>105.857142857143</v>
      </c>
      <c r="G454" s="36" t="n">
        <v>116</v>
      </c>
      <c r="H454" s="36" t="n">
        <v>0</v>
      </c>
      <c r="I454" s="37"/>
      <c r="J454" s="37"/>
      <c r="K454" s="38" t="n">
        <f aca="false">IFERROR(((F454*G454)/E454)-H454,"")</f>
        <v>97.3454133635335</v>
      </c>
      <c r="L454" s="36" t="str">
        <f aca="false">IF(K454&lt;-10,"MUITO ADIANTADO",IF(K454&lt;-6,"ADIANTADO",IF(K454&lt;6,"EM DIAS",IF(K454&lt;12,"ATRASADO","MUITO ATRASADO"))))</f>
        <v>MUITO ATRASADO</v>
      </c>
      <c r="M454" s="39" t="n">
        <v>45430</v>
      </c>
      <c r="N454" s="55"/>
      <c r="O454" s="56" t="str">
        <f aca="false">IF(N454&lt;8,"VERIFICADO",IF(N454&lt;15,"VERIFICAR","VERIFICAR URGENTE"))</f>
        <v>VERIFICADO</v>
      </c>
      <c r="P454" s="40"/>
      <c r="Q454" s="40"/>
      <c r="R454" s="40"/>
      <c r="S454" s="40"/>
      <c r="T454" s="40"/>
      <c r="U454" s="40"/>
    </row>
    <row r="455" customFormat="false" ht="15.75" hidden="false" customHeight="true" outlineLevel="0" collapsed="false">
      <c r="A455" s="40" t="s">
        <v>877</v>
      </c>
      <c r="B455" s="57" t="n">
        <f aca="false">M455</f>
        <v>45428</v>
      </c>
      <c r="C455" s="34" t="n">
        <v>45428</v>
      </c>
      <c r="D455" s="34" t="n">
        <v>46493</v>
      </c>
      <c r="E455" s="35" t="n">
        <f aca="false">(D455-C455)/7</f>
        <v>152.142857142857</v>
      </c>
      <c r="F455" s="35" t="n">
        <f aca="false">($B$2-C455)/7</f>
        <v>106.142857142857</v>
      </c>
      <c r="G455" s="36" t="n">
        <v>156</v>
      </c>
      <c r="H455" s="36" t="n">
        <v>0</v>
      </c>
      <c r="I455" s="37"/>
      <c r="J455" s="37"/>
      <c r="K455" s="38" t="n">
        <f aca="false">IFERROR(((F455*G455)/E455)-H455,"")</f>
        <v>108.833802816902</v>
      </c>
      <c r="L455" s="36" t="str">
        <f aca="false">IF(K455&lt;-10,"MUITO ADIANTADO",IF(K455&lt;-6,"ADIANTADO",IF(K455&lt;6,"EM DIAS",IF(K455&lt;12,"ATRASADO","MUITO ATRASADO"))))</f>
        <v>MUITO ATRASADO</v>
      </c>
      <c r="M455" s="39" t="n">
        <v>45428</v>
      </c>
      <c r="N455" s="55"/>
      <c r="O455" s="56" t="str">
        <f aca="false">IF(N455&lt;8,"VERIFICADO",IF(N455&lt;15,"VERIFICAR","VERIFICAR URGENTE"))</f>
        <v>VERIFICADO</v>
      </c>
      <c r="P455" s="40"/>
      <c r="Q455" s="40"/>
      <c r="R455" s="40"/>
      <c r="S455" s="40"/>
      <c r="T455" s="40"/>
      <c r="U455" s="40"/>
    </row>
    <row r="456" customFormat="false" ht="15.75" hidden="false" customHeight="true" outlineLevel="0" collapsed="false">
      <c r="A456" s="40" t="s">
        <v>878</v>
      </c>
      <c r="B456" s="57" t="n">
        <f aca="false">M456</f>
        <v>45429</v>
      </c>
      <c r="C456" s="34" t="n">
        <v>45427</v>
      </c>
      <c r="D456" s="34" t="n">
        <v>46312</v>
      </c>
      <c r="E456" s="35" t="n">
        <f aca="false">(D456-C456)/7</f>
        <v>126.428571428571</v>
      </c>
      <c r="F456" s="35" t="n">
        <f aca="false">($B$2-C456)/7</f>
        <v>106.285714285714</v>
      </c>
      <c r="G456" s="36" t="n">
        <v>144</v>
      </c>
      <c r="H456" s="36" t="n">
        <v>1</v>
      </c>
      <c r="I456" s="68"/>
      <c r="J456" s="68"/>
      <c r="K456" s="38" t="n">
        <f aca="false">IFERROR(((F456*G456)/E456)-H456,"")</f>
        <v>120.057627118644</v>
      </c>
      <c r="L456" s="36" t="str">
        <f aca="false">IF(K456&lt;-10,"MUITO ADIANTADO",IF(K456&lt;-6,"ADIANTADO",IF(K456&lt;6,"EM DIAS",IF(K456&lt;12,"ATRASADO","MUITO ATRASADO"))))</f>
        <v>MUITO ATRASADO</v>
      </c>
      <c r="M456" s="39" t="n">
        <v>45429</v>
      </c>
      <c r="N456" s="68"/>
      <c r="O456" s="56" t="str">
        <f aca="false">IF(N456&lt;8,"VERIFICADO",IF(N456&lt;15,"VERIFICAR","VERIFICAR URGENTE"))</f>
        <v>VERIFICADO</v>
      </c>
      <c r="P456" s="40"/>
      <c r="Q456" s="40"/>
      <c r="R456" s="40"/>
      <c r="S456" s="40"/>
      <c r="T456" s="40"/>
      <c r="U456" s="40"/>
    </row>
    <row r="457" customFormat="false" ht="15" hidden="false" customHeight="false" outlineLevel="0" collapsed="false">
      <c r="A457" s="40" t="s">
        <v>879</v>
      </c>
      <c r="B457" s="57" t="n">
        <f aca="false">M457</f>
        <v>45430</v>
      </c>
      <c r="C457" s="34" t="n">
        <v>45427</v>
      </c>
      <c r="D457" s="34" t="n">
        <v>46312</v>
      </c>
      <c r="E457" s="35" t="n">
        <f aca="false">(D457-C457)/7</f>
        <v>126.428571428571</v>
      </c>
      <c r="F457" s="35" t="n">
        <f aca="false">($B$2-C457)/7</f>
        <v>106.285714285714</v>
      </c>
      <c r="G457" s="36" t="n">
        <v>128</v>
      </c>
      <c r="H457" s="36" t="n">
        <v>0</v>
      </c>
      <c r="I457" s="68"/>
      <c r="J457" s="68"/>
      <c r="K457" s="38" t="n">
        <f aca="false">IFERROR(((F457*G457)/E457)-H457,"")</f>
        <v>107.606779661017</v>
      </c>
      <c r="L457" s="36" t="str">
        <f aca="false">IF(K457&lt;-10,"MUITO ADIANTADO",IF(K457&lt;-6,"ADIANTADO",IF(K457&lt;6,"EM DIAS",IF(K457&lt;12,"ATRASADO","MUITO ATRASADO"))))</f>
        <v>MUITO ATRASADO</v>
      </c>
      <c r="M457" s="39" t="n">
        <v>45430</v>
      </c>
      <c r="N457" s="68"/>
      <c r="O457" s="56" t="str">
        <f aca="false">IF(N457&lt;8,"VERIFICADO",IF(N457&lt;15,"VERIFICAR","VERIFICAR URGENTE"))</f>
        <v>VERIFICADO</v>
      </c>
      <c r="P457" s="40"/>
      <c r="Q457" s="40"/>
      <c r="R457" s="40"/>
      <c r="S457" s="40"/>
      <c r="T457" s="40"/>
      <c r="U457" s="40"/>
    </row>
    <row r="458" customFormat="false" ht="15.75" hidden="false" customHeight="true" outlineLevel="0" collapsed="false">
      <c r="A458" s="68" t="s">
        <v>880</v>
      </c>
      <c r="B458" s="57" t="n">
        <f aca="false">M458</f>
        <v>45453</v>
      </c>
      <c r="C458" s="34" t="n">
        <v>45432</v>
      </c>
      <c r="D458" s="34" t="n">
        <v>46249</v>
      </c>
      <c r="E458" s="35" t="n">
        <f aca="false">(D458-C458)/7</f>
        <v>116.714285714286</v>
      </c>
      <c r="F458" s="35" t="n">
        <f aca="false">($B$2-C458)/7</f>
        <v>105.571428571429</v>
      </c>
      <c r="G458" s="36" t="n">
        <v>112</v>
      </c>
      <c r="H458" s="36" t="n">
        <v>3</v>
      </c>
      <c r="I458" s="68"/>
      <c r="J458" s="68"/>
      <c r="K458" s="38" t="n">
        <f aca="false">IFERROR(((F458*G458)/E458)-H458,"")</f>
        <v>98.3072215422274</v>
      </c>
      <c r="L458" s="36" t="str">
        <f aca="false">IF(K458&lt;-10,"MUITO ADIANTADO",IF(K458&lt;-6,"ADIANTADO",IF(K458&lt;6,"EM DIAS",IF(K458&lt;12,"ATRASADO","MUITO ATRASADO"))))</f>
        <v>MUITO ATRASADO</v>
      </c>
      <c r="M458" s="39" t="n">
        <v>45453</v>
      </c>
      <c r="N458" s="68"/>
      <c r="O458" s="56" t="str">
        <f aca="false">IF(N458&lt;8,"VERIFICADO",IF(N458&lt;15,"VERIFICAR","VERIFICAR URGENTE"))</f>
        <v>VERIFICADO</v>
      </c>
      <c r="P458" s="68"/>
      <c r="Q458" s="68"/>
      <c r="R458" s="68"/>
      <c r="S458" s="68"/>
      <c r="T458" s="68"/>
      <c r="U458" s="68"/>
    </row>
    <row r="459" customFormat="false" ht="18.75" hidden="false" customHeight="true" outlineLevel="0" collapsed="false">
      <c r="A459" s="40" t="s">
        <v>881</v>
      </c>
      <c r="B459" s="57" t="n">
        <f aca="false">M459</f>
        <v>45453</v>
      </c>
      <c r="C459" s="34" t="n">
        <v>45432</v>
      </c>
      <c r="D459" s="49" t="n">
        <v>46249</v>
      </c>
      <c r="E459" s="35" t="n">
        <f aca="false">(D459-C459)/7</f>
        <v>116.714285714286</v>
      </c>
      <c r="F459" s="35" t="n">
        <f aca="false">($B$2-C459)/7</f>
        <v>105.571428571429</v>
      </c>
      <c r="G459" s="36" t="n">
        <v>112</v>
      </c>
      <c r="H459" s="36" t="n">
        <v>2</v>
      </c>
      <c r="I459" s="68"/>
      <c r="J459" s="68"/>
      <c r="K459" s="38" t="n">
        <f aca="false">IFERROR(((F459*G459)/E459)-H459,"")</f>
        <v>99.3072215422274</v>
      </c>
      <c r="L459" s="36" t="str">
        <f aca="false">IF(K459&lt;-10,"MUITO ADIANTADO",IF(K459&lt;-6,"ADIANTADO",IF(K459&lt;6,"EM DIAS",IF(K459&lt;12,"ATRASADO","MUITO ATRASADO"))))</f>
        <v>MUITO ATRASADO</v>
      </c>
      <c r="M459" s="49" t="n">
        <v>45453</v>
      </c>
      <c r="N459" s="68"/>
      <c r="O459" s="56" t="str">
        <f aca="false">IF(N459&lt;8,"VERIFICADO",IF(N459&lt;15,"VERIFICAR","VERIFICAR URGENTE"))</f>
        <v>VERIFICADO</v>
      </c>
      <c r="P459" s="68"/>
      <c r="Q459" s="68"/>
      <c r="R459" s="68"/>
      <c r="S459" s="68"/>
      <c r="T459" s="68"/>
      <c r="U459" s="68"/>
    </row>
    <row r="460" customFormat="false" ht="15" hidden="false" customHeight="false" outlineLevel="0" collapsed="false">
      <c r="A460" s="40" t="s">
        <v>882</v>
      </c>
      <c r="B460" s="57" t="n">
        <f aca="false">M460</f>
        <v>45453</v>
      </c>
      <c r="C460" s="60" t="n">
        <v>45432</v>
      </c>
      <c r="D460" s="34" t="n">
        <v>45666</v>
      </c>
      <c r="E460" s="35" t="n">
        <f aca="false">(D460-C460)/7</f>
        <v>33.4285714285714</v>
      </c>
      <c r="F460" s="35" t="n">
        <f aca="false">($B$2-C460)/7</f>
        <v>105.571428571429</v>
      </c>
      <c r="G460" s="36" t="n">
        <v>112</v>
      </c>
      <c r="H460" s="36" t="n">
        <v>3</v>
      </c>
      <c r="I460" s="68"/>
      <c r="J460" s="68"/>
      <c r="K460" s="38" t="n">
        <f aca="false">IFERROR(((F460*G460)/E460)-H460,"")</f>
        <v>350.709401709402</v>
      </c>
      <c r="L460" s="36" t="str">
        <f aca="false">IF(K460&lt;-10,"MUITO ADIANTADO",IF(K460&lt;-6,"ADIANTADO",IF(K460&lt;6,"EM DIAS",IF(K460&lt;12,"ATRASADO","MUITO ATRASADO"))))</f>
        <v>MUITO ATRASADO</v>
      </c>
      <c r="M460" s="39" t="n">
        <v>45453</v>
      </c>
      <c r="N460" s="68"/>
      <c r="O460" s="56" t="str">
        <f aca="false">IF(N460&lt;8,"VERIFICADO",IF(N460&lt;15,"VERIFICAR","VERIFICAR URGENTE"))</f>
        <v>VERIFICADO</v>
      </c>
      <c r="P460" s="68"/>
      <c r="Q460" s="68"/>
      <c r="R460" s="68"/>
      <c r="S460" s="68"/>
      <c r="T460" s="68"/>
      <c r="U460" s="68"/>
    </row>
    <row r="461" customFormat="false" ht="15.75" hidden="false" customHeight="true" outlineLevel="0" collapsed="false">
      <c r="A461" s="40" t="s">
        <v>883</v>
      </c>
      <c r="B461" s="57" t="n">
        <f aca="false">M461</f>
        <v>45435</v>
      </c>
      <c r="C461" s="34" t="n">
        <v>45435</v>
      </c>
      <c r="D461" s="34" t="n">
        <v>45736</v>
      </c>
      <c r="E461" s="35" t="n">
        <f aca="false">(D461-C461)/7</f>
        <v>43</v>
      </c>
      <c r="F461" s="35" t="n">
        <f aca="false">($B$2-C461)/7</f>
        <v>105.142857142857</v>
      </c>
      <c r="G461" s="36" t="n">
        <v>80</v>
      </c>
      <c r="H461" s="36" t="n">
        <v>0</v>
      </c>
      <c r="I461" s="68"/>
      <c r="J461" s="68"/>
      <c r="K461" s="38" t="n">
        <f aca="false">IFERROR(((F461*G461)/E461)-H461,"")</f>
        <v>195.614617940199</v>
      </c>
      <c r="L461" s="36" t="str">
        <f aca="false">IF(K461&lt;-10,"MUITO ADIANTADO",IF(K461&lt;-6,"ADIANTADO",IF(K461&lt;6,"EM DIAS",IF(K461&lt;12,"ATRASADO","MUITO ATRASADO"))))</f>
        <v>MUITO ATRASADO</v>
      </c>
      <c r="M461" s="39" t="n">
        <v>45435</v>
      </c>
      <c r="N461" s="68"/>
      <c r="O461" s="56" t="str">
        <f aca="false">IF(N461&lt;8,"VERIFICADO",IF(N461&lt;15,"VERIFICAR","VERIFICAR URGENTE"))</f>
        <v>VERIFICADO</v>
      </c>
      <c r="P461" s="40"/>
      <c r="Q461" s="40"/>
      <c r="R461" s="40"/>
      <c r="S461" s="40"/>
      <c r="T461" s="40"/>
      <c r="U461" s="40"/>
    </row>
    <row r="462" customFormat="false" ht="15.75" hidden="false" customHeight="true" outlineLevel="0" collapsed="false">
      <c r="A462" s="40" t="s">
        <v>884</v>
      </c>
      <c r="B462" s="57" t="n">
        <f aca="false">M462</f>
        <v>45454</v>
      </c>
      <c r="C462" s="34" t="n">
        <v>45435</v>
      </c>
      <c r="D462" s="34" t="n">
        <v>45736</v>
      </c>
      <c r="E462" s="35" t="n">
        <f aca="false">(D462-C462)/7</f>
        <v>43</v>
      </c>
      <c r="F462" s="35" t="n">
        <f aca="false">($B$2-C462)/7</f>
        <v>105.142857142857</v>
      </c>
      <c r="G462" s="36" t="n">
        <v>80</v>
      </c>
      <c r="H462" s="36" t="n">
        <v>5</v>
      </c>
      <c r="I462" s="68"/>
      <c r="J462" s="68"/>
      <c r="K462" s="38" t="n">
        <f aca="false">IFERROR(((F462*G462)/E462)-H462,"")</f>
        <v>190.614617940199</v>
      </c>
      <c r="L462" s="36" t="str">
        <f aca="false">IF(K462&lt;-10,"MUITO ADIANTADO",IF(K462&lt;-6,"ADIANTADO",IF(K462&lt;6,"EM DIAS",IF(K462&lt;12,"ATRASADO","MUITO ATRASADO"))))</f>
        <v>MUITO ATRASADO</v>
      </c>
      <c r="M462" s="39" t="n">
        <v>45454</v>
      </c>
      <c r="N462" s="68"/>
      <c r="O462" s="56" t="str">
        <f aca="false">IF(N462&lt;8,"VERIFICADO",IF(N462&lt;15,"VERIFICAR","VERIFICAR URGENTE"))</f>
        <v>VERIFICADO</v>
      </c>
      <c r="P462" s="40"/>
      <c r="Q462" s="40"/>
      <c r="R462" s="40"/>
      <c r="S462" s="40"/>
      <c r="T462" s="40"/>
      <c r="U462" s="40"/>
    </row>
    <row r="463" customFormat="false" ht="15.75" hidden="false" customHeight="true" outlineLevel="0" collapsed="false">
      <c r="A463" s="40" t="s">
        <v>885</v>
      </c>
      <c r="B463" s="57" t="n">
        <f aca="false">M463</f>
        <v>45437</v>
      </c>
      <c r="C463" s="39" t="n">
        <v>45437</v>
      </c>
      <c r="D463" s="34" t="n">
        <v>46990</v>
      </c>
      <c r="E463" s="35" t="n">
        <f aca="false">(D463-C463)/7</f>
        <v>221.857142857143</v>
      </c>
      <c r="F463" s="35" t="n">
        <f aca="false">($B$2-C463)/7</f>
        <v>104.857142857143</v>
      </c>
      <c r="G463" s="36" t="n">
        <v>208</v>
      </c>
      <c r="H463" s="36" t="n">
        <v>0</v>
      </c>
      <c r="I463" s="68"/>
      <c r="J463" s="68"/>
      <c r="K463" s="38" t="n">
        <f aca="false">IFERROR(((F463*G463)/E463)-H463,"")</f>
        <v>98.3077913715389</v>
      </c>
      <c r="L463" s="36" t="str">
        <f aca="false">IF(K463&lt;-10,"MUITO ADIANTADO",IF(K463&lt;-6,"ADIANTADO",IF(K463&lt;6,"EM DIAS",IF(K463&lt;12,"ATRASADO","MUITO ATRASADO"))))</f>
        <v>MUITO ATRASADO</v>
      </c>
      <c r="M463" s="39" t="n">
        <v>45437</v>
      </c>
      <c r="N463" s="68"/>
      <c r="O463" s="56" t="str">
        <f aca="false">IF(N463&lt;8,"VERIFICADO",IF(N463&lt;15,"VERIFICAR","VERIFICAR URGENTE"))</f>
        <v>VERIFICADO</v>
      </c>
      <c r="P463" s="40"/>
      <c r="Q463" s="40"/>
      <c r="R463" s="40"/>
      <c r="S463" s="40"/>
      <c r="T463" s="40"/>
      <c r="U463" s="40"/>
    </row>
    <row r="464" customFormat="false" ht="15.75" hidden="false" customHeight="true" outlineLevel="0" collapsed="false">
      <c r="A464" s="40" t="s">
        <v>886</v>
      </c>
      <c r="B464" s="57" t="n">
        <f aca="false">M464</f>
        <v>45433</v>
      </c>
      <c r="C464" s="39" t="n">
        <v>45438</v>
      </c>
      <c r="D464" s="34" t="n">
        <v>45524</v>
      </c>
      <c r="E464" s="35" t="n">
        <f aca="false">(D464-C464)/7</f>
        <v>12.2857142857143</v>
      </c>
      <c r="F464" s="35" t="n">
        <f aca="false">($B$2-C464)/7</f>
        <v>104.714285714286</v>
      </c>
      <c r="G464" s="36" t="n">
        <v>16</v>
      </c>
      <c r="H464" s="36" t="n">
        <v>0</v>
      </c>
      <c r="I464" s="68"/>
      <c r="J464" s="68"/>
      <c r="K464" s="38" t="n">
        <f aca="false">IFERROR(((F464*G464)/E464)-H464,"")</f>
        <v>136.372093023256</v>
      </c>
      <c r="L464" s="36" t="str">
        <f aca="false">IF(K464&lt;-10,"MUITO ADIANTADO",IF(K464&lt;-6,"ADIANTADO",IF(K464&lt;6,"EM DIAS",IF(K464&lt;12,"ATRASADO","MUITO ATRASADO"))))</f>
        <v>MUITO ATRASADO</v>
      </c>
      <c r="M464" s="39" t="n">
        <v>45433</v>
      </c>
      <c r="N464" s="68"/>
      <c r="O464" s="56" t="str">
        <f aca="false">IF(N464&lt;8,"VERIFICADO",IF(N464&lt;15,"VERIFICAR","VERIFICAR URGENTE"))</f>
        <v>VERIFICADO</v>
      </c>
      <c r="P464" s="40"/>
      <c r="Q464" s="40"/>
      <c r="R464" s="40"/>
      <c r="S464" s="40"/>
      <c r="T464" s="40"/>
      <c r="U464" s="40"/>
    </row>
    <row r="465" customFormat="false" ht="15.75" hidden="false" customHeight="true" outlineLevel="0" collapsed="false">
      <c r="A465" s="40" t="s">
        <v>887</v>
      </c>
      <c r="B465" s="57" t="n">
        <f aca="false">M465</f>
        <v>45441</v>
      </c>
      <c r="C465" s="39" t="n">
        <v>45441</v>
      </c>
      <c r="D465" s="34" t="n">
        <v>45776</v>
      </c>
      <c r="E465" s="35" t="n">
        <f aca="false">(D465-C465)/7</f>
        <v>47.8571428571429</v>
      </c>
      <c r="F465" s="35" t="n">
        <f aca="false">($B$2-C465)/7</f>
        <v>104.285714285714</v>
      </c>
      <c r="G465" s="36" t="n">
        <v>80</v>
      </c>
      <c r="H465" s="36" t="n">
        <v>0</v>
      </c>
      <c r="I465" s="68"/>
      <c r="J465" s="68"/>
      <c r="K465" s="38" t="n">
        <f aca="false">IFERROR(((F465*G465)/E465)-H465,"")</f>
        <v>174.328358208955</v>
      </c>
      <c r="L465" s="36" t="str">
        <f aca="false">IF(K465&lt;-10,"MUITO ADIANTADO",IF(K465&lt;-6,"ADIANTADO",IF(K465&lt;6,"EM DIAS",IF(K465&lt;12,"ATRASADO","MUITO ATRASADO"))))</f>
        <v>MUITO ATRASADO</v>
      </c>
      <c r="M465" s="39" t="n">
        <v>45441</v>
      </c>
      <c r="N465" s="68"/>
      <c r="O465" s="56" t="str">
        <f aca="false">IF(N465&lt;8,"VERIFICADO",IF(N465&lt;15,"VERIFICAR","VERIFICAR URGENTE"))</f>
        <v>VERIFICADO</v>
      </c>
      <c r="P465" s="40"/>
      <c r="Q465" s="40"/>
      <c r="R465" s="40"/>
      <c r="S465" s="40"/>
      <c r="T465" s="40"/>
      <c r="U465" s="40"/>
    </row>
    <row r="466" customFormat="false" ht="15.75" hidden="false" customHeight="true" outlineLevel="0" collapsed="false">
      <c r="A466" s="40" t="s">
        <v>888</v>
      </c>
      <c r="B466" s="57" t="n">
        <f aca="false">M466</f>
        <v>45439</v>
      </c>
      <c r="C466" s="39" t="n">
        <v>45439</v>
      </c>
      <c r="D466" s="34" t="n">
        <v>45774</v>
      </c>
      <c r="E466" s="35" t="n">
        <f aca="false">(D466-C466)/7</f>
        <v>47.8571428571429</v>
      </c>
      <c r="F466" s="35" t="n">
        <f aca="false">($B$2-C466)/7</f>
        <v>104.571428571429</v>
      </c>
      <c r="G466" s="36" t="n">
        <v>80</v>
      </c>
      <c r="H466" s="36" t="n">
        <v>0</v>
      </c>
      <c r="I466" s="68"/>
      <c r="J466" s="68"/>
      <c r="K466" s="38" t="n">
        <f aca="false">IFERROR(((F466*G466)/E466)-H466,"")</f>
        <v>174.805970149254</v>
      </c>
      <c r="L466" s="36" t="str">
        <f aca="false">IF(K466&lt;-10,"MUITO ADIANTADO",IF(K466&lt;-6,"ADIANTADO",IF(K466&lt;6,"EM DIAS",IF(K466&lt;12,"ATRASADO","MUITO ATRASADO"))))</f>
        <v>MUITO ATRASADO</v>
      </c>
      <c r="M466" s="39" t="n">
        <v>45439</v>
      </c>
      <c r="N466" s="68"/>
      <c r="O466" s="56" t="str">
        <f aca="false">IF(N466&lt;8,"VERIFICADO",IF(N466&lt;15,"VERIFICAR","VERIFICAR URGENTE"))</f>
        <v>VERIFICADO</v>
      </c>
      <c r="P466" s="40"/>
      <c r="Q466" s="40"/>
      <c r="R466" s="40"/>
      <c r="S466" s="40"/>
      <c r="T466" s="40"/>
      <c r="U466" s="40"/>
    </row>
    <row r="467" customFormat="false" ht="15.75" hidden="false" customHeight="true" outlineLevel="0" collapsed="false">
      <c r="A467" s="40"/>
      <c r="B467" s="57"/>
      <c r="C467" s="39"/>
      <c r="D467" s="34"/>
      <c r="E467" s="35" t="n">
        <f aca="false">(D467-C467)/7</f>
        <v>0</v>
      </c>
      <c r="F467" s="35"/>
      <c r="G467" s="36"/>
      <c r="H467" s="36"/>
      <c r="I467" s="68"/>
      <c r="J467" s="68"/>
      <c r="K467" s="38"/>
      <c r="L467" s="36"/>
      <c r="M467" s="39"/>
      <c r="N467" s="68"/>
      <c r="O467" s="56"/>
      <c r="P467" s="40"/>
      <c r="Q467" s="40"/>
      <c r="R467" s="40"/>
      <c r="S467" s="40"/>
      <c r="T467" s="40"/>
      <c r="U467" s="40"/>
    </row>
    <row r="468" customFormat="false" ht="15.75" hidden="false" customHeight="true" outlineLevel="0" collapsed="false">
      <c r="A468" s="40" t="s">
        <v>889</v>
      </c>
      <c r="B468" s="57" t="n">
        <f aca="false">M468</f>
        <v>45440</v>
      </c>
      <c r="C468" s="39" t="n">
        <v>45440</v>
      </c>
      <c r="D468" s="34" t="n">
        <v>45775</v>
      </c>
      <c r="E468" s="35" t="n">
        <f aca="false">(D468-C468)/7</f>
        <v>47.8571428571429</v>
      </c>
      <c r="F468" s="35" t="n">
        <f aca="false">($B$2-C468)/7</f>
        <v>104.428571428571</v>
      </c>
      <c r="G468" s="36" t="n">
        <v>80</v>
      </c>
      <c r="H468" s="36" t="n">
        <v>0</v>
      </c>
      <c r="I468" s="68"/>
      <c r="J468" s="68"/>
      <c r="K468" s="38" t="n">
        <f aca="false">IFERROR(((F468*G468)/E468)-H468,"")</f>
        <v>174.567164179104</v>
      </c>
      <c r="L468" s="36" t="str">
        <f aca="false">IF(K468&lt;-10,"MUITO ADIANTADO",IF(K468&lt;-6,"ADIANTADO",IF(K468&lt;6,"EM DIAS",IF(K468&lt;12,"ATRASADO","MUITO ATRASADO"))))</f>
        <v>MUITO ATRASADO</v>
      </c>
      <c r="M468" s="39" t="n">
        <v>45440</v>
      </c>
      <c r="N468" s="68"/>
      <c r="O468" s="56" t="str">
        <f aca="false">IF(N468&lt;8,"VERIFICADO",IF(N468&lt;15,"VERIFICAR","VERIFICAR URGENTE"))</f>
        <v>VERIFICADO</v>
      </c>
      <c r="P468" s="40"/>
      <c r="Q468" s="40"/>
      <c r="R468" s="40"/>
      <c r="S468" s="40"/>
      <c r="T468" s="40"/>
      <c r="U468" s="40"/>
    </row>
    <row r="469" customFormat="false" ht="15.75" hidden="false" customHeight="true" outlineLevel="0" collapsed="false">
      <c r="A469" s="40" t="s">
        <v>890</v>
      </c>
      <c r="B469" s="57" t="n">
        <f aca="false">M469</f>
        <v>45454</v>
      </c>
      <c r="C469" s="39" t="n">
        <v>45440</v>
      </c>
      <c r="D469" s="34" t="n">
        <v>46323</v>
      </c>
      <c r="E469" s="35" t="n">
        <f aca="false">(D469-C469)/7</f>
        <v>126.142857142857</v>
      </c>
      <c r="F469" s="35" t="n">
        <f aca="false">($B$2-C469)/7</f>
        <v>104.428571428571</v>
      </c>
      <c r="G469" s="36" t="n">
        <v>80</v>
      </c>
      <c r="H469" s="36" t="n">
        <v>2</v>
      </c>
      <c r="I469" s="68"/>
      <c r="J469" s="68"/>
      <c r="K469" s="38" t="n">
        <f aca="false">IFERROR(((F469*G469)/E469)-H469,"")</f>
        <v>64.228765571914</v>
      </c>
      <c r="L469" s="36" t="str">
        <f aca="false">IF(K469&lt;-10,"MUITO ADIANTADO",IF(K469&lt;-6,"ADIANTADO",IF(K469&lt;6,"EM DIAS",IF(K469&lt;12,"ATRASADO","MUITO ATRASADO"))))</f>
        <v>MUITO ATRASADO</v>
      </c>
      <c r="M469" s="39" t="n">
        <v>45454</v>
      </c>
      <c r="N469" s="68"/>
      <c r="O469" s="56" t="str">
        <f aca="false">IF(N469&lt;8,"VERIFICADO",IF(N469&lt;15,"VERIFICAR","VERIFICAR URGENTE"))</f>
        <v>VERIFICADO</v>
      </c>
      <c r="P469" s="40"/>
      <c r="Q469" s="40"/>
      <c r="R469" s="40"/>
      <c r="S469" s="40"/>
      <c r="T469" s="40"/>
      <c r="U469" s="40"/>
    </row>
    <row r="470" customFormat="false" ht="15.75" hidden="false" customHeight="true" outlineLevel="0" collapsed="false">
      <c r="A470" s="40" t="s">
        <v>891</v>
      </c>
      <c r="B470" s="57" t="n">
        <f aca="false">M470</f>
        <v>45454</v>
      </c>
      <c r="C470" s="39" t="n">
        <v>45440</v>
      </c>
      <c r="D470" s="34" t="n">
        <v>45996</v>
      </c>
      <c r="E470" s="35" t="n">
        <f aca="false">(D470-C470)/7</f>
        <v>79.4285714285714</v>
      </c>
      <c r="F470" s="35" t="n">
        <f aca="false">($B$2-C470)/7</f>
        <v>104.428571428571</v>
      </c>
      <c r="G470" s="36" t="n">
        <v>80</v>
      </c>
      <c r="H470" s="36" t="n">
        <v>3</v>
      </c>
      <c r="I470" s="68"/>
      <c r="J470" s="68"/>
      <c r="K470" s="38" t="n">
        <f aca="false">IFERROR(((F470*G470)/E470)-H470,"")</f>
        <v>102.179856115108</v>
      </c>
      <c r="L470" s="36" t="str">
        <f aca="false">IF(K470&lt;-10,"MUITO ADIANTADO",IF(K470&lt;-6,"ADIANTADO",IF(K470&lt;6,"EM DIAS",IF(K470&lt;12,"ATRASADO","MUITO ATRASADO"))))</f>
        <v>MUITO ATRASADO</v>
      </c>
      <c r="M470" s="39" t="n">
        <v>45454</v>
      </c>
      <c r="N470" s="68"/>
      <c r="O470" s="56" t="str">
        <f aca="false">IF(N470&lt;8,"VERIFICADO",IF(N470&lt;15,"VERIFICAR","VERIFICAR URGENTE"))</f>
        <v>VERIFICADO</v>
      </c>
      <c r="P470" s="40"/>
      <c r="Q470" s="40"/>
      <c r="R470" s="40"/>
      <c r="S470" s="40"/>
      <c r="T470" s="40"/>
      <c r="U470" s="40"/>
    </row>
    <row r="471" customFormat="false" ht="15.75" hidden="false" customHeight="true" outlineLevel="0" collapsed="false">
      <c r="A471" s="40" t="s">
        <v>892</v>
      </c>
      <c r="B471" s="57" t="n">
        <f aca="false">M471</f>
        <v>45441</v>
      </c>
      <c r="C471" s="39" t="n">
        <v>45441</v>
      </c>
      <c r="D471" s="34" t="n">
        <v>45990</v>
      </c>
      <c r="E471" s="35" t="n">
        <f aca="false">(D471-C471)/7</f>
        <v>78.4285714285714</v>
      </c>
      <c r="F471" s="35" t="n">
        <f aca="false">($B$2-C471)/7</f>
        <v>104.285714285714</v>
      </c>
      <c r="G471" s="36" t="n">
        <v>80</v>
      </c>
      <c r="H471" s="36" t="n">
        <v>0</v>
      </c>
      <c r="I471" s="68"/>
      <c r="J471" s="68"/>
      <c r="K471" s="38" t="n">
        <f aca="false">IFERROR(((F471*G471)/E471)-H471,"")</f>
        <v>106.375227686703</v>
      </c>
      <c r="L471" s="36" t="str">
        <f aca="false">IF(K471&lt;-10,"MUITO ADIANTADO",IF(K471&lt;-6,"ADIANTADO",IF(K471&lt;6,"EM DIAS",IF(K471&lt;12,"ATRASADO","MUITO ATRASADO"))))</f>
        <v>MUITO ATRASADO</v>
      </c>
      <c r="M471" s="39" t="n">
        <v>45441</v>
      </c>
      <c r="N471" s="68"/>
      <c r="O471" s="56" t="str">
        <f aca="false">IF(N471&lt;8,"VERIFICADO",IF(N471&lt;15,"VERIFICAR","VERIFICAR URGENTE"))</f>
        <v>VERIFICADO</v>
      </c>
      <c r="P471" s="40"/>
      <c r="Q471" s="40"/>
      <c r="R471" s="40"/>
      <c r="S471" s="40"/>
      <c r="T471" s="40"/>
      <c r="U471" s="40"/>
    </row>
    <row r="472" customFormat="false" ht="15.75" hidden="false" customHeight="true" outlineLevel="0" collapsed="false">
      <c r="A472" s="40" t="s">
        <v>893</v>
      </c>
      <c r="B472" s="57" t="n">
        <f aca="false">M472</f>
        <v>45446</v>
      </c>
      <c r="C472" s="39" t="n">
        <v>45446</v>
      </c>
      <c r="D472" s="34" t="n">
        <v>46027</v>
      </c>
      <c r="E472" s="35" t="n">
        <f aca="false">(D472-C472)/7</f>
        <v>83</v>
      </c>
      <c r="F472" s="35" t="n">
        <f aca="false">($B$2-C472)/7</f>
        <v>103.571428571429</v>
      </c>
      <c r="G472" s="36" t="n">
        <v>80</v>
      </c>
      <c r="H472" s="36" t="n">
        <v>0</v>
      </c>
      <c r="I472" s="68"/>
      <c r="J472" s="68"/>
      <c r="K472" s="38" t="n">
        <f aca="false">IFERROR(((F472*G472)/E472)-H472,"")</f>
        <v>99.8278829604131</v>
      </c>
      <c r="L472" s="36" t="str">
        <f aca="false">IF(K472&lt;-10,"MUITO ADIANTADO",IF(K472&lt;-6,"ADIANTADO",IF(K472&lt;6,"EM DIAS",IF(K472&lt;12,"ATRASADO","MUITO ATRASADO"))))</f>
        <v>MUITO ATRASADO</v>
      </c>
      <c r="M472" s="39" t="n">
        <v>45446</v>
      </c>
      <c r="N472" s="68"/>
      <c r="O472" s="56" t="str">
        <f aca="false">IF(N472&lt;8,"VERIFICADO",IF(N472&lt;15,"VERIFICAR","VERIFICAR URGENTE"))</f>
        <v>VERIFICADO</v>
      </c>
      <c r="P472" s="40"/>
      <c r="Q472" s="40"/>
      <c r="R472" s="40"/>
      <c r="S472" s="40"/>
      <c r="T472" s="40"/>
      <c r="U472" s="40"/>
    </row>
    <row r="473" customFormat="false" ht="15.75" hidden="false" customHeight="true" outlineLevel="0" collapsed="false">
      <c r="A473" s="40" t="s">
        <v>894</v>
      </c>
      <c r="B473" s="57" t="n">
        <f aca="false">M473</f>
        <v>45453</v>
      </c>
      <c r="C473" s="39" t="n">
        <v>45446</v>
      </c>
      <c r="D473" s="34" t="n">
        <v>46522</v>
      </c>
      <c r="E473" s="35" t="n">
        <f aca="false">(D473-C473)/7</f>
        <v>153.714285714286</v>
      </c>
      <c r="F473" s="35" t="n">
        <f aca="false">($B$2-C473)/7</f>
        <v>103.571428571429</v>
      </c>
      <c r="G473" s="36" t="n">
        <v>144</v>
      </c>
      <c r="H473" s="36" t="n">
        <v>2</v>
      </c>
      <c r="I473" s="68"/>
      <c r="J473" s="68"/>
      <c r="K473" s="38" t="n">
        <f aca="false">IFERROR(((F473*G473)/E473)-H473,"")</f>
        <v>95.0260223048325</v>
      </c>
      <c r="L473" s="36" t="str">
        <f aca="false">IF(K473&lt;-10,"MUITO ADIANTADO",IF(K473&lt;-6,"ADIANTADO",IF(K473&lt;6,"EM DIAS",IF(K473&lt;12,"ATRASADO","MUITO ATRASADO"))))</f>
        <v>MUITO ATRASADO</v>
      </c>
      <c r="M473" s="39" t="n">
        <v>45453</v>
      </c>
      <c r="N473" s="68"/>
      <c r="O473" s="56" t="str">
        <f aca="false">IF(N473&lt;8,"VERIFICADO",IF(N473&lt;15,"VERIFICAR","VERIFICAR URGENTE"))</f>
        <v>VERIFICADO</v>
      </c>
      <c r="P473" s="40"/>
      <c r="Q473" s="40"/>
      <c r="R473" s="40"/>
      <c r="S473" s="40"/>
      <c r="T473" s="40"/>
      <c r="U473" s="40"/>
    </row>
    <row r="474" customFormat="false" ht="15.75" hidden="false" customHeight="true" outlineLevel="0" collapsed="false">
      <c r="A474" s="76" t="s">
        <v>895</v>
      </c>
      <c r="B474" s="57" t="n">
        <f aca="false">M474</f>
        <v>45453</v>
      </c>
      <c r="C474" s="39" t="n">
        <v>45444</v>
      </c>
      <c r="D474" s="34" t="n">
        <v>45981</v>
      </c>
      <c r="E474" s="35" t="n">
        <f aca="false">(D474-C474)/7</f>
        <v>76.7142857142857</v>
      </c>
      <c r="F474" s="35" t="n">
        <f aca="false">($B$2-C474)/7</f>
        <v>103.857142857143</v>
      </c>
      <c r="G474" s="36" t="n">
        <v>80</v>
      </c>
      <c r="H474" s="36" t="n">
        <v>2</v>
      </c>
      <c r="I474" s="68"/>
      <c r="J474" s="68"/>
      <c r="K474" s="38" t="n">
        <f aca="false">IFERROR(((F474*G474)/E474)-H474,"")</f>
        <v>106.30540037244</v>
      </c>
      <c r="L474" s="36" t="str">
        <f aca="false">IF(K474&lt;-10,"MUITO ADIANTADO",IF(K474&lt;-6,"ADIANTADO",IF(K474&lt;6,"EM DIAS",IF(K474&lt;12,"ATRASADO","MUITO ATRASADO"))))</f>
        <v>MUITO ATRASADO</v>
      </c>
      <c r="M474" s="39" t="n">
        <v>45453</v>
      </c>
      <c r="N474" s="68"/>
      <c r="O474" s="56" t="str">
        <f aca="false">IF(N474&lt;8,"VERIFICADO",IF(N474&lt;15,"VERIFICAR","VERIFICAR URGENTE"))</f>
        <v>VERIFICADO</v>
      </c>
      <c r="P474" s="40"/>
      <c r="Q474" s="40"/>
      <c r="R474" s="40"/>
      <c r="S474" s="40"/>
      <c r="T474" s="40"/>
      <c r="U474" s="40"/>
    </row>
    <row r="475" customFormat="false" ht="15.75" hidden="false" customHeight="true" outlineLevel="0" collapsed="false">
      <c r="A475" s="40" t="s">
        <v>896</v>
      </c>
      <c r="B475" s="57" t="n">
        <f aca="false">M475</f>
        <v>45453</v>
      </c>
      <c r="C475" s="39" t="n">
        <v>45448</v>
      </c>
      <c r="D475" s="34" t="n">
        <v>45981</v>
      </c>
      <c r="E475" s="35" t="n">
        <f aca="false">(D475-C475)/7</f>
        <v>76.1428571428571</v>
      </c>
      <c r="F475" s="35" t="n">
        <f aca="false">($B$2-C475)/7</f>
        <v>103.285714285714</v>
      </c>
      <c r="G475" s="36" t="n">
        <v>80</v>
      </c>
      <c r="H475" s="36" t="n">
        <v>2</v>
      </c>
      <c r="I475" s="68"/>
      <c r="J475" s="68"/>
      <c r="K475" s="38" t="n">
        <f aca="false">IFERROR(((F475*G475)/E475)-H475,"")</f>
        <v>106.517823639775</v>
      </c>
      <c r="L475" s="36" t="str">
        <f aca="false">IF(K475&lt;-10,"MUITO ADIANTADO",IF(K475&lt;-6,"ADIANTADO",IF(K475&lt;6,"EM DIAS",IF(K475&lt;12,"ATRASADO","MUITO ATRASADO"))))</f>
        <v>MUITO ATRASADO</v>
      </c>
      <c r="M475" s="39" t="n">
        <v>45453</v>
      </c>
      <c r="N475" s="68"/>
      <c r="O475" s="56" t="str">
        <f aca="false">IF(N475&lt;8,"VERIFICADO",IF(N475&lt;15,"VERIFICAR","VERIFICAR URGENTE"))</f>
        <v>VERIFICADO</v>
      </c>
      <c r="P475" s="40"/>
      <c r="Q475" s="40"/>
      <c r="R475" s="40"/>
      <c r="S475" s="40"/>
      <c r="T475" s="40"/>
      <c r="U475" s="40"/>
    </row>
    <row r="476" customFormat="false" ht="15.75" hidden="false" customHeight="true" outlineLevel="0" collapsed="false">
      <c r="A476" s="40" t="s">
        <v>438</v>
      </c>
      <c r="B476" s="57" t="n">
        <f aca="false">M476</f>
        <v>45448</v>
      </c>
      <c r="C476" s="39" t="n">
        <v>45448</v>
      </c>
      <c r="D476" s="34" t="n">
        <v>46001</v>
      </c>
      <c r="E476" s="35" t="n">
        <f aca="false">(D476-C476)/7</f>
        <v>79</v>
      </c>
      <c r="F476" s="35" t="n">
        <f aca="false">($B$2-C476)/7</f>
        <v>103.285714285714</v>
      </c>
      <c r="G476" s="36" t="n">
        <v>80</v>
      </c>
      <c r="H476" s="36" t="n">
        <v>0</v>
      </c>
      <c r="I476" s="68"/>
      <c r="J476" s="68"/>
      <c r="K476" s="38" t="n">
        <f aca="false">IFERROR(((F476*G476)/E476)-H476,"")</f>
        <v>104.593128390597</v>
      </c>
      <c r="L476" s="36" t="str">
        <f aca="false">IF(K476&lt;-10,"MUITO ADIANTADO",IF(K476&lt;-6,"ADIANTADO",IF(K476&lt;6,"EM DIAS",IF(K476&lt;12,"ATRASADO","MUITO ATRASADO"))))</f>
        <v>MUITO ATRASADO</v>
      </c>
      <c r="M476" s="39" t="n">
        <v>45448</v>
      </c>
      <c r="N476" s="68"/>
      <c r="O476" s="56" t="str">
        <f aca="false">IF(N476&lt;8,"VERIFICADO",IF(N476&lt;15,"VERIFICAR","VERIFICAR URGENTE"))</f>
        <v>VERIFICADO</v>
      </c>
      <c r="P476" s="40"/>
      <c r="Q476" s="40"/>
      <c r="R476" s="40"/>
      <c r="S476" s="40"/>
      <c r="T476" s="40"/>
      <c r="U476" s="40"/>
    </row>
    <row r="477" customFormat="false" ht="15.75" hidden="false" customHeight="true" outlineLevel="0" collapsed="false">
      <c r="A477" s="40" t="s">
        <v>565</v>
      </c>
      <c r="B477" s="57" t="n">
        <f aca="false">M477</f>
        <v>45445</v>
      </c>
      <c r="C477" s="39" t="n">
        <v>45450</v>
      </c>
      <c r="D477" s="34" t="n">
        <v>45536</v>
      </c>
      <c r="E477" s="35" t="n">
        <f aca="false">(D477-C477)/7</f>
        <v>12.2857142857143</v>
      </c>
      <c r="F477" s="35" t="n">
        <f aca="false">($B$2-C477)/7</f>
        <v>103</v>
      </c>
      <c r="G477" s="36" t="n">
        <v>16</v>
      </c>
      <c r="H477" s="36" t="n">
        <v>0</v>
      </c>
      <c r="I477" s="68"/>
      <c r="J477" s="68"/>
      <c r="K477" s="38" t="n">
        <f aca="false">IFERROR(((F477*G477)/E477)-H477,"")</f>
        <v>134.139534883721</v>
      </c>
      <c r="L477" s="36" t="str">
        <f aca="false">IF(K477&lt;-10,"MUITO ADIANTADO",IF(K477&lt;-6,"ADIANTADO",IF(K477&lt;6,"EM DIAS",IF(K477&lt;12,"ATRASADO","MUITO ATRASADO"))))</f>
        <v>MUITO ATRASADO</v>
      </c>
      <c r="M477" s="39" t="n">
        <v>45445</v>
      </c>
      <c r="N477" s="68"/>
      <c r="O477" s="56" t="str">
        <f aca="false">IF(N477&lt;8,"VERIFICADO",IF(N477&lt;15,"VERIFICAR","VERIFICAR URGENTE"))</f>
        <v>VERIFICADO</v>
      </c>
      <c r="P477" s="40"/>
      <c r="Q477" s="40"/>
      <c r="R477" s="40"/>
      <c r="S477" s="40"/>
      <c r="T477" s="40"/>
      <c r="U477" s="40"/>
    </row>
    <row r="478" customFormat="false" ht="15.75" hidden="false" customHeight="true" outlineLevel="0" collapsed="false">
      <c r="A478" s="40" t="s">
        <v>431</v>
      </c>
      <c r="B478" s="57" t="n">
        <f aca="false">M478</f>
        <v>45446</v>
      </c>
      <c r="C478" s="39" t="n">
        <v>45447</v>
      </c>
      <c r="D478" s="34" t="n">
        <v>45537</v>
      </c>
      <c r="E478" s="35" t="n">
        <f aca="false">(D478-C478)/7</f>
        <v>12.8571428571429</v>
      </c>
      <c r="F478" s="35" t="n">
        <f aca="false">($B$2-C478)/7</f>
        <v>103.428571428571</v>
      </c>
      <c r="G478" s="36" t="n">
        <v>112</v>
      </c>
      <c r="H478" s="36" t="n">
        <v>0</v>
      </c>
      <c r="I478" s="68"/>
      <c r="J478" s="68"/>
      <c r="K478" s="38" t="n">
        <f aca="false">IFERROR(((F478*G478)/E478)-H478,"")</f>
        <v>900.977777777775</v>
      </c>
      <c r="L478" s="36" t="str">
        <f aca="false">IF(K478&lt;-10,"MUITO ADIANTADO",IF(K478&lt;-6,"ADIANTADO",IF(K478&lt;6,"EM DIAS",IF(K478&lt;12,"ATRASADO","MUITO ATRASADO"))))</f>
        <v>MUITO ATRASADO</v>
      </c>
      <c r="M478" s="39" t="n">
        <v>45446</v>
      </c>
      <c r="N478" s="68"/>
      <c r="O478" s="56" t="str">
        <f aca="false">IF(N478&lt;8,"VERIFICADO",IF(N478&lt;15,"VERIFICAR","VERIFICAR URGENTE"))</f>
        <v>VERIFICADO</v>
      </c>
      <c r="P478" s="40"/>
      <c r="Q478" s="40"/>
      <c r="R478" s="40"/>
      <c r="S478" s="40"/>
      <c r="T478" s="40"/>
      <c r="U478" s="40"/>
    </row>
    <row r="479" customFormat="false" ht="15.75" hidden="false" customHeight="true" outlineLevel="0" collapsed="false">
      <c r="A479" s="40" t="s">
        <v>346</v>
      </c>
      <c r="B479" s="57" t="n">
        <f aca="false">M479</f>
        <v>45451</v>
      </c>
      <c r="C479" s="39" t="n">
        <v>45451</v>
      </c>
      <c r="D479" s="34" t="n">
        <v>47187</v>
      </c>
      <c r="E479" s="35" t="n">
        <f aca="false">(D479-C479)/7</f>
        <v>248</v>
      </c>
      <c r="F479" s="35" t="n">
        <f aca="false">($B$2-C479)/7</f>
        <v>102.857142857143</v>
      </c>
      <c r="G479" s="36" t="n">
        <v>16</v>
      </c>
      <c r="H479" s="36" t="n">
        <v>0</v>
      </c>
      <c r="I479" s="68"/>
      <c r="J479" s="68"/>
      <c r="K479" s="38" t="n">
        <f aca="false">IFERROR(((F479*G479)/E479)-H479,"")</f>
        <v>6.63594470046083</v>
      </c>
      <c r="L479" s="36" t="str">
        <f aca="false">IF(K479&lt;-10,"MUITO ADIANTADO",IF(K479&lt;-6,"ADIANTADO",IF(K479&lt;6,"EM DIAS",IF(K479&lt;12,"ATRASADO","MUITO ATRASADO"))))</f>
        <v>ATRASADO</v>
      </c>
      <c r="M479" s="39" t="n">
        <v>45451</v>
      </c>
      <c r="N479" s="68"/>
      <c r="O479" s="56" t="str">
        <f aca="false">IF(N479&lt;8,"VERIFICADO",IF(N479&lt;15,"VERIFICAR","VERIFICAR URGENTE"))</f>
        <v>VERIFICADO</v>
      </c>
      <c r="P479" s="40"/>
      <c r="Q479" s="40"/>
      <c r="R479" s="40"/>
      <c r="S479" s="40"/>
      <c r="T479" s="40"/>
      <c r="U479" s="40"/>
    </row>
    <row r="480" customFormat="false" ht="15.75" hidden="false" customHeight="true" outlineLevel="0" collapsed="false">
      <c r="A480" s="40" t="s">
        <v>897</v>
      </c>
      <c r="B480" s="57" t="n">
        <f aca="false">M480</f>
        <v>45453</v>
      </c>
      <c r="C480" s="39" t="n">
        <v>45450</v>
      </c>
      <c r="D480" s="34" t="n">
        <v>45998</v>
      </c>
      <c r="E480" s="35" t="n">
        <f aca="false">(D480-C480)/7</f>
        <v>78.2857142857143</v>
      </c>
      <c r="F480" s="35" t="n">
        <f aca="false">($B$2-C480)/7</f>
        <v>103</v>
      </c>
      <c r="G480" s="36" t="n">
        <v>65</v>
      </c>
      <c r="H480" s="36" t="n">
        <v>2</v>
      </c>
      <c r="I480" s="68"/>
      <c r="J480" s="68"/>
      <c r="K480" s="38" t="n">
        <f aca="false">IFERROR(((F480*G480)/E480)-H480,"")</f>
        <v>83.5200729927007</v>
      </c>
      <c r="L480" s="36" t="str">
        <f aca="false">IF(K480&lt;-10,"MUITO ADIANTADO",IF(K480&lt;-6,"ADIANTADO",IF(K480&lt;6,"EM DIAS",IF(K480&lt;12,"ATRASADO","MUITO ATRASADO"))))</f>
        <v>MUITO ATRASADO</v>
      </c>
      <c r="M480" s="39" t="n">
        <v>45453</v>
      </c>
      <c r="N480" s="68"/>
      <c r="O480" s="56" t="str">
        <f aca="false">IF(N480&lt;8,"VERIFICADO",IF(N480&lt;15,"VERIFICAR","VERIFICAR URGENTE"))</f>
        <v>VERIFICADO</v>
      </c>
      <c r="P480" s="40"/>
      <c r="Q480" s="40"/>
      <c r="R480" s="40"/>
      <c r="S480" s="40"/>
      <c r="T480" s="40"/>
      <c r="U480" s="40"/>
    </row>
    <row r="481" customFormat="false" ht="15.75" hidden="false" customHeight="true" outlineLevel="0" collapsed="false">
      <c r="A481" s="40" t="s">
        <v>898</v>
      </c>
      <c r="B481" s="57" t="n">
        <f aca="false">M481</f>
        <v>45453</v>
      </c>
      <c r="C481" s="39" t="n">
        <v>45453</v>
      </c>
      <c r="D481" s="34" t="n">
        <v>46126</v>
      </c>
      <c r="E481" s="35" t="n">
        <f aca="false">(D481-C481)/7</f>
        <v>96.1428571428571</v>
      </c>
      <c r="F481" s="35" t="n">
        <f aca="false">($B$2-C481)/7</f>
        <v>102.571428571429</v>
      </c>
      <c r="G481" s="36" t="n">
        <v>96</v>
      </c>
      <c r="H481" s="36" t="n">
        <v>0</v>
      </c>
      <c r="I481" s="68"/>
      <c r="J481" s="68"/>
      <c r="K481" s="38" t="n">
        <f aca="false">IFERROR(((F481*G481)/E481)-H481,"")</f>
        <v>102.419019316493</v>
      </c>
      <c r="L481" s="36" t="str">
        <f aca="false">IF(K481&lt;-10,"MUITO ADIANTADO",IF(K481&lt;-6,"ADIANTADO",IF(K481&lt;6,"EM DIAS",IF(K481&lt;12,"ATRASADO","MUITO ATRASADO"))))</f>
        <v>MUITO ATRASADO</v>
      </c>
      <c r="M481" s="39" t="n">
        <v>45453</v>
      </c>
      <c r="N481" s="68"/>
      <c r="O481" s="56" t="str">
        <f aca="false">IF(N481&lt;8,"VERIFICADO",IF(N481&lt;15,"VERIFICAR","VERIFICAR URGENTE"))</f>
        <v>VERIFICADO</v>
      </c>
      <c r="P481" s="40"/>
      <c r="Q481" s="40"/>
      <c r="R481" s="40"/>
      <c r="S481" s="40"/>
      <c r="T481" s="40"/>
      <c r="U481" s="40"/>
    </row>
    <row r="482" customFormat="false" ht="15.75" hidden="false" customHeight="true" outlineLevel="0" collapsed="false">
      <c r="A482" s="40" t="s">
        <v>899</v>
      </c>
      <c r="B482" s="57" t="n">
        <f aca="false">M482</f>
        <v>45448</v>
      </c>
      <c r="C482" s="39" t="n">
        <v>45448</v>
      </c>
      <c r="D482" s="34" t="n">
        <v>47187</v>
      </c>
      <c r="E482" s="35" t="n">
        <f aca="false">(D482-C482)/7</f>
        <v>248.428571428571</v>
      </c>
      <c r="F482" s="35" t="n">
        <f aca="false">($B$2-C482)/7</f>
        <v>103.285714285714</v>
      </c>
      <c r="G482" s="36" t="n">
        <v>256</v>
      </c>
      <c r="H482" s="36" t="n">
        <v>0</v>
      </c>
      <c r="I482" s="68"/>
      <c r="J482" s="68"/>
      <c r="K482" s="38" t="n">
        <f aca="false">IFERROR(((F482*G482)/E482)-H482,"")</f>
        <v>106.433582518689</v>
      </c>
      <c r="L482" s="36" t="str">
        <f aca="false">IF(K482&lt;-10,"MUITO ADIANTADO",IF(K482&lt;-6,"ADIANTADO",IF(K482&lt;6,"EM DIAS",IF(K482&lt;12,"ATRASADO","MUITO ATRASADO"))))</f>
        <v>MUITO ATRASADO</v>
      </c>
      <c r="M482" s="39" t="n">
        <v>45448</v>
      </c>
      <c r="N482" s="68"/>
      <c r="O482" s="56" t="str">
        <f aca="false">IF(N482&lt;8,"VERIFICADO",IF(N482&lt;15,"VERIFICAR","VERIFICAR URGENTE"))</f>
        <v>VERIFICADO</v>
      </c>
      <c r="P482" s="40"/>
      <c r="Q482" s="40"/>
      <c r="R482" s="40"/>
      <c r="S482" s="40"/>
      <c r="T482" s="40"/>
      <c r="U482" s="40"/>
    </row>
    <row r="483" customFormat="false" ht="15.75" hidden="false" customHeight="true" outlineLevel="0" collapsed="false">
      <c r="A483" s="40" t="s">
        <v>900</v>
      </c>
      <c r="B483" s="57" t="n">
        <f aca="false">M483</f>
        <v>45453</v>
      </c>
      <c r="C483" s="39" t="n">
        <v>45456</v>
      </c>
      <c r="D483" s="34" t="n">
        <v>45542</v>
      </c>
      <c r="E483" s="35" t="n">
        <f aca="false">(D483-C483)/7</f>
        <v>12.2857142857143</v>
      </c>
      <c r="F483" s="35" t="n">
        <f aca="false">($B$2-C483)/7</f>
        <v>102.142857142857</v>
      </c>
      <c r="G483" s="36" t="n">
        <v>16</v>
      </c>
      <c r="H483" s="36" t="n">
        <v>1</v>
      </c>
      <c r="I483" s="68"/>
      <c r="J483" s="68"/>
      <c r="K483" s="38" t="n">
        <f aca="false">IFERROR(((F483*G483)/E483)-H483,"")</f>
        <v>132.023255813953</v>
      </c>
      <c r="L483" s="36" t="str">
        <f aca="false">IF(K483&lt;-10,"MUITO ADIANTADO",IF(K483&lt;-6,"ADIANTADO",IF(K483&lt;6,"EM DIAS",IF(K483&lt;12,"ATRASADO","MUITO ATRASADO"))))</f>
        <v>MUITO ATRASADO</v>
      </c>
      <c r="M483" s="39" t="n">
        <v>45453</v>
      </c>
      <c r="N483" s="68"/>
      <c r="O483" s="56" t="str">
        <f aca="false">IF(N483&lt;8,"VERIFICADO",IF(N483&lt;15,"VERIFICAR","VERIFICAR URGENTE"))</f>
        <v>VERIFICADO</v>
      </c>
      <c r="P483" s="40"/>
      <c r="Q483" s="40"/>
      <c r="R483" s="40"/>
      <c r="S483" s="40"/>
      <c r="T483" s="40"/>
      <c r="U483" s="40"/>
    </row>
    <row r="484" customFormat="false" ht="15.75" hidden="false" customHeight="true" outlineLevel="0" collapsed="false">
      <c r="A484" s="76" t="s">
        <v>901</v>
      </c>
      <c r="B484" s="57" t="n">
        <f aca="false">M484</f>
        <v>45458</v>
      </c>
      <c r="C484" s="39" t="n">
        <v>45444</v>
      </c>
      <c r="D484" s="34" t="n">
        <v>46096</v>
      </c>
      <c r="E484" s="35" t="n">
        <f aca="false">(D484-C484)/7</f>
        <v>93.1428571428571</v>
      </c>
      <c r="F484" s="35" t="n">
        <f aca="false">($B$2-C484)/7</f>
        <v>103.857142857143</v>
      </c>
      <c r="G484" s="36" t="n">
        <v>80</v>
      </c>
      <c r="H484" s="36" t="n">
        <v>4</v>
      </c>
      <c r="I484" s="68"/>
      <c r="J484" s="68"/>
      <c r="K484" s="38" t="n">
        <f aca="false">IFERROR(((F484*G484)/E484)-H484,"")</f>
        <v>85.2024539877301</v>
      </c>
      <c r="L484" s="36" t="str">
        <f aca="false">IF(K484&lt;-10,"MUITO ADIANTADO",IF(K484&lt;-6,"ADIANTADO",IF(K484&lt;6,"EM DIAS",IF(K484&lt;12,"ATRASADO","MUITO ATRASADO"))))</f>
        <v>MUITO ATRASADO</v>
      </c>
      <c r="M484" s="39" t="n">
        <v>45458</v>
      </c>
      <c r="N484" s="68"/>
      <c r="O484" s="56" t="str">
        <f aca="false">IF(N484&lt;8,"VERIFICADO",IF(N484&lt;15,"VERIFICAR","VERIFICAR URGENTE"))</f>
        <v>VERIFICADO</v>
      </c>
      <c r="P484" s="40"/>
      <c r="Q484" s="40"/>
      <c r="R484" s="40"/>
      <c r="S484" s="40"/>
      <c r="T484" s="40"/>
      <c r="U484" s="40"/>
    </row>
    <row r="485" customFormat="false" ht="15.75" hidden="false" customHeight="true" outlineLevel="0" collapsed="false">
      <c r="A485" s="40" t="s">
        <v>448</v>
      </c>
      <c r="B485" s="57" t="n">
        <f aca="false">M485</f>
        <v>45453</v>
      </c>
      <c r="C485" s="39" t="n">
        <v>45453</v>
      </c>
      <c r="D485" s="34" t="n">
        <v>46366</v>
      </c>
      <c r="E485" s="35" t="n">
        <f aca="false">(D485-C485)/7</f>
        <v>130.428571428571</v>
      </c>
      <c r="F485" s="35" t="n">
        <f aca="false">($B$2-C485)/7</f>
        <v>102.571428571429</v>
      </c>
      <c r="G485" s="36" t="n">
        <v>128</v>
      </c>
      <c r="H485" s="36" t="n">
        <v>0</v>
      </c>
      <c r="I485" s="68"/>
      <c r="J485" s="68"/>
      <c r="K485" s="38" t="n">
        <v>0</v>
      </c>
      <c r="L485" s="36" t="str">
        <f aca="false">IF(K485&lt;-10,"MUITO ADIANTADO",IF(K485&lt;-6,"ADIANTADO",IF(K485&lt;6,"EM DIAS",IF(K485&lt;12,"ATRASADO","MUITO ATRASADO"))))</f>
        <v>EM DIAS</v>
      </c>
      <c r="M485" s="39" t="n">
        <v>45453</v>
      </c>
      <c r="N485" s="68"/>
      <c r="O485" s="56" t="str">
        <f aca="false">IF(N485&lt;8,"VERIFICADO",IF(N485&lt;15,"VERIFICAR","VERIFICAR URGENTE"))</f>
        <v>VERIFICADO</v>
      </c>
      <c r="P485" s="40"/>
      <c r="Q485" s="40"/>
      <c r="R485" s="40"/>
      <c r="S485" s="40"/>
      <c r="T485" s="40"/>
      <c r="U485" s="40"/>
    </row>
    <row r="486" customFormat="false" ht="15.75" hidden="false" customHeight="true" outlineLevel="0" collapsed="false">
      <c r="A486" s="40" t="s">
        <v>902</v>
      </c>
      <c r="B486" s="57" t="n">
        <f aca="false">M486</f>
        <v>45454</v>
      </c>
      <c r="C486" s="39" t="n">
        <v>45459</v>
      </c>
      <c r="D486" s="34" t="n">
        <v>45545</v>
      </c>
      <c r="E486" s="35" t="n">
        <f aca="false">(D486-C486)/7</f>
        <v>12.2857142857143</v>
      </c>
      <c r="F486" s="35" t="n">
        <f aca="false">($B$2-C486)/7</f>
        <v>101.714285714286</v>
      </c>
      <c r="G486" s="36" t="n">
        <v>16</v>
      </c>
      <c r="H486" s="36" t="n">
        <v>0</v>
      </c>
      <c r="I486" s="68"/>
      <c r="J486" s="68"/>
      <c r="K486" s="38" t="n">
        <f aca="false">IFERROR(((F486*G486)/E486)-H486,"")</f>
        <v>132.46511627907</v>
      </c>
      <c r="L486" s="36" t="str">
        <f aca="false">IF(K486&lt;-10,"MUITO ADIANTADO",IF(K486&lt;-6,"ADIANTADO",IF(K486&lt;6,"EM DIAS",IF(K486&lt;12,"ATRASADO","MUITO ATRASADO"))))</f>
        <v>MUITO ATRASADO</v>
      </c>
      <c r="M486" s="39" t="n">
        <v>45454</v>
      </c>
      <c r="N486" s="68"/>
      <c r="O486" s="56" t="str">
        <f aca="false">IF(N486&lt;8,"VERIFICADO",IF(N486&lt;15,"VERIFICAR","VERIFICAR URGENTE"))</f>
        <v>VERIFICADO</v>
      </c>
      <c r="P486" s="40"/>
      <c r="Q486" s="40"/>
      <c r="R486" s="40"/>
      <c r="S486" s="40"/>
      <c r="T486" s="40"/>
      <c r="U486" s="40"/>
    </row>
    <row r="487" customFormat="false" ht="15.75" hidden="false" customHeight="true" outlineLevel="0" collapsed="false">
      <c r="A487" s="40" t="s">
        <v>903</v>
      </c>
      <c r="B487" s="57" t="n">
        <f aca="false">M487</f>
        <v>45451</v>
      </c>
      <c r="C487" s="39" t="n">
        <v>45451</v>
      </c>
      <c r="D487" s="34" t="n">
        <v>46001</v>
      </c>
      <c r="E487" s="35" t="n">
        <f aca="false">(D487-C487)/7</f>
        <v>78.5714285714286</v>
      </c>
      <c r="F487" s="35" t="n">
        <f aca="false">($B$2-C487)/7</f>
        <v>102.857142857143</v>
      </c>
      <c r="G487" s="36" t="n">
        <v>80</v>
      </c>
      <c r="H487" s="36" t="n">
        <v>0</v>
      </c>
      <c r="I487" s="68"/>
      <c r="J487" s="68"/>
      <c r="K487" s="38" t="n">
        <f aca="false">IFERROR(((F487*G487)/E487)-H487,"")</f>
        <v>104.727272727273</v>
      </c>
      <c r="L487" s="36" t="str">
        <f aca="false">IF(K487&lt;-10,"MUITO ADIANTADO",IF(K487&lt;-6,"ADIANTADO",IF(K487&lt;6,"EM DIAS",IF(K487&lt;12,"ATRASADO","MUITO ATRASADO"))))</f>
        <v>MUITO ATRASADO</v>
      </c>
      <c r="M487" s="39" t="n">
        <v>45451</v>
      </c>
      <c r="N487" s="68"/>
      <c r="O487" s="56" t="str">
        <f aca="false">IF(N487&lt;8,"VERIFICADO",IF(N487&lt;15,"VERIFICAR","VERIFICAR URGENTE"))</f>
        <v>VERIFICADO</v>
      </c>
      <c r="P487" s="40"/>
      <c r="Q487" s="40"/>
      <c r="R487" s="40"/>
      <c r="S487" s="40"/>
      <c r="T487" s="40"/>
      <c r="U487" s="40"/>
    </row>
    <row r="488" customFormat="false" ht="15.75" hidden="false" customHeight="true" outlineLevel="0" collapsed="false">
      <c r="A488" s="40" t="s">
        <v>904</v>
      </c>
      <c r="B488" s="57" t="n">
        <f aca="false">M488</f>
        <v>45456</v>
      </c>
      <c r="C488" s="39" t="n">
        <v>45456</v>
      </c>
      <c r="D488" s="34" t="n">
        <v>45884</v>
      </c>
      <c r="E488" s="35" t="n">
        <f aca="false">(D488-C488)/7</f>
        <v>61.1428571428571</v>
      </c>
      <c r="F488" s="35" t="n">
        <f aca="false">($B$2-C488)/7</f>
        <v>102.142857142857</v>
      </c>
      <c r="G488" s="36" t="n">
        <v>16</v>
      </c>
      <c r="H488" s="36" t="n">
        <v>0</v>
      </c>
      <c r="I488" s="68"/>
      <c r="J488" s="68"/>
      <c r="K488" s="38" t="n">
        <f aca="false">IFERROR(((F488*G488)/E488)-H488,"")</f>
        <v>26.7289719626168</v>
      </c>
      <c r="L488" s="36" t="str">
        <f aca="false">IF(K488&lt;-10,"MUITO ADIANTADO",IF(K488&lt;-6,"ADIANTADO",IF(K488&lt;6,"EM DIAS",IF(K488&lt;12,"ATRASADO","MUITO ATRASADO"))))</f>
        <v>MUITO ATRASADO</v>
      </c>
      <c r="M488" s="39" t="n">
        <v>45456</v>
      </c>
      <c r="N488" s="68"/>
      <c r="O488" s="56" t="str">
        <f aca="false">IF(N488&lt;8,"VERIFICADO",IF(N488&lt;15,"VERIFICAR","VERIFICAR URGENTE"))</f>
        <v>VERIFICADO</v>
      </c>
      <c r="P488" s="40"/>
      <c r="Q488" s="40"/>
      <c r="R488" s="40"/>
      <c r="S488" s="40"/>
      <c r="T488" s="40"/>
      <c r="U488" s="40"/>
    </row>
    <row r="489" customFormat="false" ht="15.75" hidden="false" customHeight="true" outlineLevel="0" collapsed="false">
      <c r="A489" s="40" t="s">
        <v>905</v>
      </c>
      <c r="B489" s="72" t="s">
        <v>906</v>
      </c>
      <c r="C489" s="39" t="n">
        <v>45453</v>
      </c>
      <c r="D489" s="34" t="n">
        <v>46001</v>
      </c>
      <c r="E489" s="35" t="n">
        <f aca="false">(D489-C489)/7</f>
        <v>78.2857142857143</v>
      </c>
      <c r="F489" s="35" t="n">
        <f aca="false">($B$2-C489)/7</f>
        <v>102.571428571429</v>
      </c>
      <c r="G489" s="36" t="n">
        <v>80</v>
      </c>
      <c r="H489" s="36" t="n">
        <v>0</v>
      </c>
      <c r="I489" s="68"/>
      <c r="J489" s="68"/>
      <c r="K489" s="38" t="n">
        <f aca="false">IFERROR(((F489*G489)/E489)-H489,"")</f>
        <v>104.817518248175</v>
      </c>
      <c r="L489" s="36" t="str">
        <f aca="false">IF(K489&lt;-10,"MUITO ADIANTADO",IF(K489&lt;-6,"ADIANTADO",IF(K489&lt;6,"EM DIAS",IF(K489&lt;12,"ATRASADO","MUITO ATRASADO"))))</f>
        <v>MUITO ATRASADO</v>
      </c>
      <c r="M489" s="39" t="n">
        <v>45453</v>
      </c>
      <c r="N489" s="68"/>
      <c r="O489" s="56" t="str">
        <f aca="false">IF(N489&lt;8,"VERIFICADO",IF(N489&lt;15,"VERIFICAR","VERIFICAR URGENTE"))</f>
        <v>VERIFICADO</v>
      </c>
      <c r="P489" s="40"/>
      <c r="Q489" s="40"/>
      <c r="R489" s="40"/>
      <c r="S489" s="40"/>
      <c r="T489" s="40"/>
      <c r="U489" s="40"/>
    </row>
    <row r="490" customFormat="false" ht="15.75" hidden="false" customHeight="true" outlineLevel="0" collapsed="false">
      <c r="A490" s="40" t="s">
        <v>151</v>
      </c>
      <c r="B490" s="57" t="n">
        <f aca="false">M490</f>
        <v>45454</v>
      </c>
      <c r="C490" s="39" t="n">
        <v>45455</v>
      </c>
      <c r="D490" s="34" t="n">
        <v>47220</v>
      </c>
      <c r="E490" s="35" t="n">
        <f aca="false">(D490-C490)/7</f>
        <v>252.142857142857</v>
      </c>
      <c r="F490" s="35" t="n">
        <f aca="false">($B$2-C490)/7</f>
        <v>102.285714285714</v>
      </c>
      <c r="G490" s="36" t="n">
        <v>256</v>
      </c>
      <c r="H490" s="36" t="n">
        <v>1</v>
      </c>
      <c r="I490" s="68"/>
      <c r="J490" s="68"/>
      <c r="K490" s="38" t="n">
        <f aca="false">IFERROR(((F490*G490)/E490)-H490,"")</f>
        <v>102.850424929179</v>
      </c>
      <c r="L490" s="36" t="str">
        <f aca="false">IF(K490&lt;-10,"MUITO ADIANTADO",IF(K490&lt;-6,"ADIANTADO",IF(K490&lt;6,"EM DIAS",IF(K490&lt;12,"ATRASADO","MUITO ATRASADO"))))</f>
        <v>MUITO ATRASADO</v>
      </c>
      <c r="M490" s="39" t="n">
        <v>45454</v>
      </c>
      <c r="N490" s="68"/>
      <c r="O490" s="56" t="str">
        <f aca="false">IF(N490&lt;8,"VERIFICADO",IF(N490&lt;15,"VERIFICAR","VERIFICAR URGENTE"))</f>
        <v>VERIFICADO</v>
      </c>
      <c r="P490" s="40"/>
      <c r="Q490" s="40"/>
      <c r="R490" s="40"/>
      <c r="S490" s="40"/>
      <c r="T490" s="40"/>
      <c r="U490" s="40"/>
    </row>
    <row r="491" customFormat="false" ht="15.75" hidden="false" customHeight="true" outlineLevel="0" collapsed="false">
      <c r="A491" s="40" t="s">
        <v>907</v>
      </c>
      <c r="B491" s="57" t="n">
        <f aca="false">M491</f>
        <v>45458</v>
      </c>
      <c r="C491" s="39" t="n">
        <v>45458</v>
      </c>
      <c r="D491" s="34" t="n">
        <v>46001</v>
      </c>
      <c r="E491" s="35" t="n">
        <f aca="false">(D491-C491)/7</f>
        <v>77.5714285714286</v>
      </c>
      <c r="F491" s="35" t="n">
        <f aca="false">($B$2-C491)/7</f>
        <v>101.857142857143</v>
      </c>
      <c r="G491" s="36" t="n">
        <v>80</v>
      </c>
      <c r="H491" s="36" t="n">
        <v>0</v>
      </c>
      <c r="I491" s="68"/>
      <c r="J491" s="68"/>
      <c r="K491" s="38" t="n">
        <f aca="false">IFERROR(((F491*G491)/E491)-H491,"")</f>
        <v>105.046040515654</v>
      </c>
      <c r="L491" s="36" t="str">
        <f aca="false">IF(K491&lt;-10,"MUITO ADIANTADO",IF(K491&lt;-6,"ADIANTADO",IF(K491&lt;6,"EM DIAS",IF(K491&lt;12,"ATRASADO","MUITO ATRASADO"))))</f>
        <v>MUITO ATRASADO</v>
      </c>
      <c r="M491" s="39" t="n">
        <v>45458</v>
      </c>
      <c r="N491" s="68"/>
      <c r="O491" s="56" t="str">
        <f aca="false">IF(N491&lt;8,"VERIFICADO",IF(N491&lt;15,"VERIFICAR","VERIFICAR URGENTE"))</f>
        <v>VERIFICADO</v>
      </c>
      <c r="P491" s="40"/>
      <c r="Q491" s="40"/>
      <c r="R491" s="40"/>
      <c r="S491" s="40"/>
      <c r="T491" s="40"/>
      <c r="U491" s="40"/>
    </row>
    <row r="492" customFormat="false" ht="15.75" hidden="false" customHeight="true" outlineLevel="0" collapsed="false">
      <c r="A492" s="40" t="s">
        <v>908</v>
      </c>
      <c r="B492" s="57" t="n">
        <f aca="false">M492</f>
        <v>45454</v>
      </c>
      <c r="C492" s="39" t="n">
        <v>45454</v>
      </c>
      <c r="D492" s="34" t="n">
        <v>45941</v>
      </c>
      <c r="E492" s="35" t="n">
        <f aca="false">(D492-C492)/7</f>
        <v>69.5714285714286</v>
      </c>
      <c r="F492" s="35" t="n">
        <f aca="false">($B$2-C492)/7</f>
        <v>102.428571428571</v>
      </c>
      <c r="G492" s="36" t="n">
        <v>80</v>
      </c>
      <c r="H492" s="36" t="n">
        <v>0</v>
      </c>
      <c r="I492" s="68"/>
      <c r="J492" s="68"/>
      <c r="K492" s="38" t="n">
        <f aca="false">IFERROR(((F492*G492)/E492)-H492,"")</f>
        <v>117.782340862423</v>
      </c>
      <c r="L492" s="36" t="str">
        <f aca="false">IF(K492&lt;-10,"MUITO ADIANTADO",IF(K492&lt;-6,"ADIANTADO",IF(K492&lt;6,"EM DIAS",IF(K492&lt;12,"ATRASADO","MUITO ATRASADO"))))</f>
        <v>MUITO ATRASADO</v>
      </c>
      <c r="M492" s="39" t="n">
        <v>45454</v>
      </c>
      <c r="N492" s="68"/>
      <c r="O492" s="56" t="str">
        <f aca="false">IF(N492&lt;8,"VERIFICADO",IF(N492&lt;15,"VERIFICAR","VERIFICAR URGENTE"))</f>
        <v>VERIFICADO</v>
      </c>
      <c r="P492" s="40"/>
      <c r="Q492" s="40"/>
      <c r="R492" s="40"/>
      <c r="S492" s="40"/>
      <c r="T492" s="40"/>
      <c r="U492" s="40"/>
    </row>
    <row r="493" customFormat="false" ht="15.75" hidden="false" customHeight="true" outlineLevel="0" collapsed="false">
      <c r="A493" s="40" t="s">
        <v>97</v>
      </c>
      <c r="B493" s="57" t="n">
        <f aca="false">M493</f>
        <v>45512</v>
      </c>
      <c r="C493" s="39" t="n">
        <v>45512</v>
      </c>
      <c r="D493" s="34" t="n">
        <v>46397</v>
      </c>
      <c r="E493" s="35" t="n">
        <f aca="false">(D493-C493)/7</f>
        <v>126.428571428571</v>
      </c>
      <c r="F493" s="35" t="n">
        <f aca="false">($B$2-C493)/7</f>
        <v>94.1428571428571</v>
      </c>
      <c r="G493" s="36" t="n">
        <v>92</v>
      </c>
      <c r="H493" s="36" t="n">
        <v>0</v>
      </c>
      <c r="I493" s="68"/>
      <c r="J493" s="68"/>
      <c r="K493" s="38" t="n">
        <v>0</v>
      </c>
      <c r="L493" s="36" t="str">
        <f aca="false">IF(K493&lt;-10,"MUITO ADIANTADO",IF(K493&lt;-6,"ADIANTADO",IF(K493&lt;6,"EM DIAS",IF(K493&lt;12,"ATRASADO","MUITO ATRASADO"))))</f>
        <v>EM DIAS</v>
      </c>
      <c r="M493" s="39" t="n">
        <v>45512</v>
      </c>
      <c r="N493" s="68"/>
      <c r="O493" s="56" t="str">
        <f aca="false">IF(N493&lt;8,"VERIFICADO",IF(N493&lt;15,"VERIFICAR","VERIFICAR URGENTE"))</f>
        <v>VERIFICADO</v>
      </c>
      <c r="P493" s="40"/>
      <c r="Q493" s="40"/>
      <c r="R493" s="40"/>
      <c r="S493" s="40"/>
      <c r="T493" s="40"/>
      <c r="U493" s="40"/>
    </row>
    <row r="494" customFormat="false" ht="15.75" hidden="false" customHeight="true" outlineLevel="0" collapsed="false">
      <c r="A494" s="40" t="s">
        <v>117</v>
      </c>
      <c r="B494" s="57" t="n">
        <f aca="false">M494</f>
        <v>46092</v>
      </c>
      <c r="C494" s="39" t="n">
        <v>46092</v>
      </c>
      <c r="D494" s="34" t="n">
        <v>46762</v>
      </c>
      <c r="E494" s="35" t="n">
        <f aca="false">(D494-C494)/7</f>
        <v>95.7142857142857</v>
      </c>
      <c r="F494" s="35" t="n">
        <f aca="false">($B$2-C494)/7</f>
        <v>11.2857142857143</v>
      </c>
      <c r="G494" s="36" t="n">
        <v>122</v>
      </c>
      <c r="H494" s="36" t="n">
        <v>0</v>
      </c>
      <c r="I494" s="68"/>
      <c r="J494" s="68"/>
      <c r="K494" s="38" t="n">
        <f aca="false">IFERROR(((F494*G494)/E494)-H494,"")</f>
        <v>14.3850746268657</v>
      </c>
      <c r="L494" s="36" t="str">
        <f aca="false">IF(K494&lt;-10,"MUITO ADIANTADO",IF(K494&lt;-6,"ADIANTADO",IF(K494&lt;6,"EM DIAS",IF(K494&lt;12,"ATRASADO","MUITO ATRASADO"))))</f>
        <v>MUITO ATRASADO</v>
      </c>
      <c r="M494" s="39" t="n">
        <v>46092</v>
      </c>
      <c r="N494" s="68"/>
      <c r="O494" s="56" t="str">
        <f aca="false">IF(N494&lt;8,"VERIFICADO",IF(N494&lt;15,"VERIFICAR","VERIFICAR URGENTE"))</f>
        <v>VERIFICADO</v>
      </c>
      <c r="P494" s="40"/>
      <c r="Q494" s="40"/>
      <c r="R494" s="40"/>
      <c r="S494" s="40"/>
      <c r="T494" s="40"/>
      <c r="U494" s="40"/>
    </row>
    <row r="495" customFormat="false" ht="15.75" hidden="false" customHeight="true" outlineLevel="0" collapsed="false">
      <c r="A495" s="40"/>
      <c r="B495" s="57" t="n">
        <f aca="false">M495</f>
        <v>45463</v>
      </c>
      <c r="C495" s="39" t="n">
        <v>45468</v>
      </c>
      <c r="D495" s="34" t="n">
        <v>45553</v>
      </c>
      <c r="E495" s="35" t="n">
        <f aca="false">(D495-C495)/7</f>
        <v>12.1428571428571</v>
      </c>
      <c r="F495" s="35" t="n">
        <f aca="false">($B$2-C495)/7</f>
        <v>100.428571428571</v>
      </c>
      <c r="G495" s="36" t="n">
        <v>16</v>
      </c>
      <c r="H495" s="36" t="n">
        <v>0</v>
      </c>
      <c r="I495" s="68"/>
      <c r="J495" s="68"/>
      <c r="K495" s="38" t="n">
        <f aca="false">IFERROR(((F495*G495)/E495)-H495,"")</f>
        <v>132.329411764706</v>
      </c>
      <c r="L495" s="36" t="str">
        <f aca="false">IF(K495&lt;-10,"MUITO ADIANTADO",IF(K495&lt;-6,"ADIANTADO",IF(K495&lt;6,"EM DIAS",IF(K495&lt;12,"ATRASADO","MUITO ATRASADO"))))</f>
        <v>MUITO ATRASADO</v>
      </c>
      <c r="M495" s="39" t="n">
        <v>45463</v>
      </c>
      <c r="N495" s="68"/>
      <c r="O495" s="56" t="str">
        <f aca="false">IF(N495&lt;8,"VERIFICADO",IF(N495&lt;15,"VERIFICAR","VERIFICAR URGENTE"))</f>
        <v>VERIFICADO</v>
      </c>
      <c r="P495" s="40"/>
      <c r="Q495" s="40"/>
      <c r="R495" s="40"/>
      <c r="S495" s="40"/>
      <c r="T495" s="40"/>
      <c r="U495" s="40"/>
    </row>
    <row r="496" customFormat="false" ht="15.75" hidden="false" customHeight="true" outlineLevel="0" collapsed="false">
      <c r="A496" s="40"/>
      <c r="B496" s="57" t="n">
        <f aca="false">M496</f>
        <v>45464</v>
      </c>
      <c r="C496" s="39" t="n">
        <v>45469</v>
      </c>
      <c r="D496" s="34" t="n">
        <v>45555</v>
      </c>
      <c r="E496" s="35" t="n">
        <f aca="false">(D496-C496)/7</f>
        <v>12.2857142857143</v>
      </c>
      <c r="F496" s="35" t="n">
        <f aca="false">($B$2-C496)/7</f>
        <v>100.285714285714</v>
      </c>
      <c r="G496" s="36" t="n">
        <v>16</v>
      </c>
      <c r="H496" s="36" t="n">
        <v>0</v>
      </c>
      <c r="I496" s="68"/>
      <c r="J496" s="68"/>
      <c r="K496" s="38" t="n">
        <f aca="false">IFERROR(((F496*G496)/E496)-H496,"")</f>
        <v>130.604651162791</v>
      </c>
      <c r="L496" s="36" t="str">
        <f aca="false">IF(K496&lt;-10,"MUITO ADIANTADO",IF(K496&lt;-6,"ADIANTADO",IF(K496&lt;6,"EM DIAS",IF(K496&lt;12,"ATRASADO","MUITO ATRASADO"))))</f>
        <v>MUITO ATRASADO</v>
      </c>
      <c r="M496" s="39" t="n">
        <v>45464</v>
      </c>
      <c r="N496" s="68"/>
      <c r="O496" s="56" t="str">
        <f aca="false">IF(N496&lt;8,"VERIFICADO",IF(N496&lt;15,"VERIFICAR","VERIFICAR URGENTE"))</f>
        <v>VERIFICADO</v>
      </c>
      <c r="P496" s="40"/>
      <c r="Q496" s="40"/>
      <c r="R496" s="40"/>
      <c r="S496" s="40"/>
      <c r="T496" s="40"/>
      <c r="U496" s="40"/>
    </row>
    <row r="497" customFormat="false" ht="15.75" hidden="false" customHeight="true" outlineLevel="0" collapsed="false">
      <c r="A497" s="40"/>
      <c r="B497" s="57" t="n">
        <f aca="false">M497</f>
        <v>45465</v>
      </c>
      <c r="C497" s="39" t="n">
        <v>45470</v>
      </c>
      <c r="D497" s="34" t="n">
        <v>45556</v>
      </c>
      <c r="E497" s="35" t="n">
        <f aca="false">(D497-C497)/7</f>
        <v>12.2857142857143</v>
      </c>
      <c r="F497" s="35" t="n">
        <f aca="false">($B$2-C497)/7</f>
        <v>100.142857142857</v>
      </c>
      <c r="G497" s="36" t="n">
        <v>16</v>
      </c>
      <c r="H497" s="36" t="n">
        <v>0</v>
      </c>
      <c r="I497" s="68"/>
      <c r="J497" s="68"/>
      <c r="K497" s="38" t="n">
        <f aca="false">IFERROR(((F497*G497)/E497)-H497,"")</f>
        <v>130.418604651163</v>
      </c>
      <c r="L497" s="36" t="str">
        <f aca="false">IF(K497&lt;-10,"MUITO ADIANTADO",IF(K497&lt;-6,"ADIANTADO",IF(K497&lt;6,"EM DIAS",IF(K497&lt;12,"ATRASADO","MUITO ATRASADO"))))</f>
        <v>MUITO ATRASADO</v>
      </c>
      <c r="M497" s="39" t="n">
        <v>45465</v>
      </c>
      <c r="N497" s="68"/>
      <c r="O497" s="56" t="str">
        <f aca="false">IF(N497&lt;8,"VERIFICADO",IF(N497&lt;15,"VERIFICAR","VERIFICAR URGENTE"))</f>
        <v>VERIFICADO</v>
      </c>
      <c r="P497" s="40"/>
      <c r="Q497" s="40"/>
      <c r="R497" s="40"/>
      <c r="S497" s="40"/>
      <c r="T497" s="40"/>
      <c r="U497" s="40"/>
    </row>
    <row r="498" customFormat="false" ht="15.75" hidden="false" customHeight="true" outlineLevel="0" collapsed="false">
      <c r="B498" s="57" t="n">
        <f aca="false">M498</f>
        <v>0</v>
      </c>
      <c r="E498" s="35" t="n">
        <f aca="false">(D498-C498)/7</f>
        <v>0</v>
      </c>
      <c r="F498" s="35" t="n">
        <f aca="false">($B$2-C498)/7</f>
        <v>6595.85714285714</v>
      </c>
      <c r="P498" s="77"/>
      <c r="Q498" s="77"/>
      <c r="R498" s="77"/>
      <c r="S498" s="77"/>
      <c r="T498" s="77"/>
      <c r="U498" s="77"/>
    </row>
    <row r="499" customFormat="false" ht="15.75" hidden="false" customHeight="true" outlineLevel="0" collapsed="false">
      <c r="F499" s="35" t="n">
        <f aca="false">($B$2-C499)/7</f>
        <v>6595.85714285714</v>
      </c>
      <c r="P499" s="77"/>
      <c r="Q499" s="77"/>
      <c r="R499" s="77"/>
      <c r="S499" s="77"/>
      <c r="T499" s="77"/>
      <c r="U499" s="77"/>
    </row>
    <row r="500" customFormat="false" ht="15.75" hidden="false" customHeight="true" outlineLevel="0" collapsed="false">
      <c r="P500" s="77"/>
      <c r="Q500" s="77"/>
      <c r="R500" s="77"/>
      <c r="S500" s="77"/>
      <c r="T500" s="77"/>
      <c r="U500" s="77"/>
    </row>
    <row r="501" customFormat="false" ht="15.75" hidden="false" customHeight="true" outlineLevel="0" collapsed="false">
      <c r="P501" s="77"/>
      <c r="Q501" s="77"/>
      <c r="R501" s="77"/>
      <c r="S501" s="77"/>
      <c r="T501" s="77"/>
      <c r="U501" s="77"/>
    </row>
    <row r="502" customFormat="false" ht="15.75" hidden="false" customHeight="true" outlineLevel="0" collapsed="false">
      <c r="P502" s="77"/>
      <c r="Q502" s="77"/>
      <c r="R502" s="77"/>
      <c r="S502" s="77"/>
      <c r="T502" s="77"/>
      <c r="U502" s="77"/>
    </row>
    <row r="503" customFormat="false" ht="15.75" hidden="false" customHeight="true" outlineLevel="0" collapsed="false">
      <c r="A503" s="77"/>
      <c r="P503" s="77"/>
      <c r="Q503" s="77"/>
      <c r="R503" s="77"/>
      <c r="S503" s="77"/>
      <c r="T503" s="77"/>
      <c r="U503" s="77"/>
    </row>
    <row r="505" customFormat="false" ht="18" hidden="false" customHeight="true" outlineLevel="0" collapsed="false">
      <c r="A505" s="77"/>
      <c r="B505" s="57"/>
      <c r="C505" s="78"/>
      <c r="D505" s="78"/>
      <c r="E505" s="79"/>
      <c r="F505" s="79"/>
      <c r="G505" s="80"/>
      <c r="H505" s="80"/>
      <c r="I505" s="81"/>
      <c r="J505" s="81"/>
      <c r="K505" s="82"/>
      <c r="L505" s="80"/>
      <c r="M505" s="83"/>
      <c r="N505" s="84"/>
      <c r="P505" s="77"/>
      <c r="Q505" s="77"/>
      <c r="R505" s="77"/>
      <c r="S505" s="77"/>
      <c r="T505" s="77"/>
      <c r="U505" s="77"/>
    </row>
    <row r="507" customFormat="false" ht="15.75" hidden="false" customHeight="true" outlineLevel="0" collapsed="false">
      <c r="A507" s="77"/>
      <c r="B507" s="57"/>
      <c r="C507" s="78"/>
      <c r="D507" s="78"/>
      <c r="E507" s="79"/>
      <c r="F507" s="79"/>
      <c r="G507" s="80"/>
      <c r="H507" s="80"/>
      <c r="I507" s="81"/>
      <c r="J507" s="81"/>
      <c r="K507" s="82"/>
      <c r="L507" s="80"/>
      <c r="M507" s="83"/>
      <c r="N507" s="84"/>
      <c r="P507" s="77"/>
      <c r="Q507" s="77"/>
      <c r="R507" s="77"/>
      <c r="S507" s="77"/>
      <c r="T507" s="77"/>
      <c r="U507" s="77"/>
    </row>
    <row r="509" customFormat="false" ht="15.75" hidden="false" customHeight="true" outlineLevel="0" collapsed="false">
      <c r="A509" s="77"/>
      <c r="B509" s="57"/>
      <c r="C509" s="78"/>
      <c r="D509" s="78"/>
      <c r="E509" s="79"/>
      <c r="F509" s="79"/>
      <c r="G509" s="80"/>
      <c r="H509" s="80"/>
      <c r="I509" s="81"/>
      <c r="J509" s="81"/>
      <c r="K509" s="82"/>
      <c r="L509" s="80"/>
      <c r="M509" s="83"/>
      <c r="N509" s="84"/>
      <c r="P509" s="77"/>
      <c r="Q509" s="77"/>
      <c r="R509" s="77"/>
      <c r="S509" s="77"/>
      <c r="T509" s="77"/>
      <c r="U509" s="77"/>
    </row>
    <row r="510" customFormat="false" ht="15.75" hidden="false" customHeight="true" outlineLevel="0" collapsed="false">
      <c r="B510" s="57"/>
      <c r="C510" s="78"/>
      <c r="D510" s="78"/>
      <c r="E510" s="79"/>
      <c r="F510" s="79"/>
      <c r="G510" s="80"/>
      <c r="H510" s="80"/>
      <c r="I510" s="81"/>
      <c r="J510" s="81"/>
      <c r="K510" s="82"/>
      <c r="L510" s="80"/>
      <c r="M510" s="83"/>
      <c r="N510" s="84"/>
      <c r="P510" s="77"/>
      <c r="Q510" s="77"/>
      <c r="R510" s="77"/>
      <c r="S510" s="77"/>
      <c r="T510" s="77"/>
      <c r="U510" s="77"/>
    </row>
    <row r="511" customFormat="false" ht="15.75" hidden="false" customHeight="true" outlineLevel="0" collapsed="false">
      <c r="A511" s="77"/>
      <c r="B511" s="57"/>
      <c r="C511" s="78"/>
      <c r="D511" s="78"/>
      <c r="E511" s="79"/>
      <c r="F511" s="79"/>
      <c r="G511" s="80"/>
      <c r="H511" s="80"/>
      <c r="I511" s="81"/>
      <c r="J511" s="81"/>
      <c r="K511" s="82"/>
      <c r="L511" s="80"/>
      <c r="M511" s="83"/>
      <c r="N511" s="84"/>
      <c r="P511" s="77"/>
      <c r="Q511" s="77"/>
      <c r="R511" s="77"/>
      <c r="S511" s="77"/>
      <c r="T511" s="77"/>
      <c r="U511" s="77"/>
    </row>
    <row r="512" customFormat="false" ht="15.75" hidden="false" customHeight="true" outlineLevel="0" collapsed="false">
      <c r="A512" s="77"/>
      <c r="B512" s="57"/>
      <c r="C512" s="78"/>
      <c r="D512" s="78"/>
      <c r="E512" s="79"/>
      <c r="F512" s="79"/>
      <c r="G512" s="80"/>
      <c r="H512" s="80"/>
      <c r="I512" s="81"/>
      <c r="J512" s="81"/>
      <c r="K512" s="82"/>
      <c r="L512" s="80"/>
      <c r="M512" s="83"/>
      <c r="N512" s="84"/>
      <c r="P512" s="77"/>
      <c r="Q512" s="77"/>
      <c r="R512" s="77"/>
      <c r="S512" s="77"/>
      <c r="T512" s="77"/>
      <c r="U512" s="77"/>
    </row>
    <row r="513" customFormat="false" ht="15.75" hidden="false" customHeight="true" outlineLevel="0" collapsed="false">
      <c r="A513" s="77"/>
      <c r="B513" s="57"/>
      <c r="C513" s="78"/>
      <c r="D513" s="78"/>
      <c r="E513" s="79"/>
      <c r="F513" s="79"/>
      <c r="G513" s="80"/>
      <c r="H513" s="80"/>
      <c r="I513" s="81"/>
      <c r="J513" s="81"/>
      <c r="K513" s="82"/>
      <c r="L513" s="80"/>
      <c r="M513" s="83"/>
      <c r="N513" s="84"/>
      <c r="P513" s="77"/>
      <c r="Q513" s="77"/>
      <c r="R513" s="77"/>
      <c r="S513" s="77"/>
      <c r="T513" s="77"/>
      <c r="U513" s="77"/>
    </row>
    <row r="514" customFormat="false" ht="15.75" hidden="false" customHeight="true" outlineLevel="0" collapsed="false">
      <c r="A514" s="77"/>
      <c r="B514" s="57"/>
      <c r="C514" s="78"/>
      <c r="D514" s="78"/>
      <c r="E514" s="79"/>
      <c r="F514" s="79"/>
      <c r="G514" s="80"/>
      <c r="H514" s="80"/>
      <c r="I514" s="81"/>
      <c r="J514" s="81"/>
      <c r="K514" s="82"/>
      <c r="L514" s="80"/>
      <c r="M514" s="83"/>
      <c r="N514" s="84"/>
      <c r="O514" s="85"/>
      <c r="P514" s="77"/>
      <c r="Q514" s="77"/>
      <c r="R514" s="77"/>
      <c r="S514" s="77"/>
      <c r="T514" s="77"/>
      <c r="U514" s="77"/>
    </row>
    <row r="515" customFormat="false" ht="15.75" hidden="false" customHeight="true" outlineLevel="0" collapsed="false">
      <c r="A515" s="77"/>
      <c r="B515" s="57"/>
      <c r="C515" s="78"/>
      <c r="D515" s="78"/>
      <c r="E515" s="79"/>
      <c r="F515" s="79"/>
      <c r="G515" s="80"/>
      <c r="H515" s="80"/>
      <c r="I515" s="81"/>
      <c r="J515" s="81"/>
      <c r="K515" s="82"/>
      <c r="L515" s="80"/>
      <c r="M515" s="83"/>
      <c r="N515" s="84"/>
      <c r="O515" s="85"/>
      <c r="P515" s="77"/>
      <c r="Q515" s="77"/>
      <c r="R515" s="77"/>
      <c r="S515" s="77"/>
      <c r="T515" s="77"/>
      <c r="U515" s="77"/>
    </row>
    <row r="516" customFormat="false" ht="15.75" hidden="false" customHeight="true" outlineLevel="0" collapsed="false">
      <c r="A516" s="77"/>
      <c r="B516" s="57"/>
      <c r="C516" s="78"/>
      <c r="D516" s="78"/>
      <c r="E516" s="79"/>
      <c r="F516" s="79"/>
      <c r="G516" s="80"/>
      <c r="H516" s="80"/>
      <c r="I516" s="81"/>
      <c r="J516" s="81"/>
      <c r="K516" s="82"/>
      <c r="L516" s="80"/>
      <c r="M516" s="83"/>
      <c r="N516" s="84"/>
      <c r="O516" s="85"/>
      <c r="P516" s="77"/>
      <c r="Q516" s="77"/>
      <c r="R516" s="77"/>
      <c r="S516" s="77"/>
      <c r="T516" s="77"/>
      <c r="U516" s="77"/>
    </row>
    <row r="517" customFormat="false" ht="15" hidden="false" customHeight="false" outlineLevel="0" collapsed="false">
      <c r="A517" s="77"/>
      <c r="B517" s="57"/>
      <c r="C517" s="78"/>
      <c r="D517" s="78"/>
      <c r="E517" s="79"/>
      <c r="F517" s="79"/>
      <c r="G517" s="80"/>
      <c r="H517" s="80"/>
      <c r="I517" s="81"/>
      <c r="J517" s="81"/>
      <c r="K517" s="82"/>
      <c r="L517" s="80"/>
      <c r="M517" s="83"/>
      <c r="N517" s="84"/>
      <c r="O517" s="85"/>
      <c r="P517" s="77"/>
      <c r="Q517" s="77"/>
      <c r="R517" s="77"/>
      <c r="S517" s="77"/>
      <c r="T517" s="77"/>
      <c r="U517" s="77"/>
    </row>
    <row r="518" customFormat="false" ht="15" hidden="false" customHeight="false" outlineLevel="0" collapsed="false">
      <c r="A518" s="77"/>
      <c r="B518" s="57"/>
      <c r="C518" s="78"/>
      <c r="D518" s="78"/>
      <c r="E518" s="79"/>
      <c r="F518" s="79"/>
      <c r="G518" s="80"/>
      <c r="H518" s="80"/>
      <c r="I518" s="81"/>
      <c r="J518" s="81"/>
      <c r="K518" s="82"/>
      <c r="L518" s="80"/>
      <c r="M518" s="83"/>
      <c r="N518" s="84"/>
      <c r="O518" s="85"/>
      <c r="P518" s="77"/>
      <c r="Q518" s="77"/>
      <c r="R518" s="77"/>
      <c r="S518" s="77"/>
      <c r="T518" s="77"/>
      <c r="U518" s="77"/>
    </row>
    <row r="519" customFormat="false" ht="15" hidden="false" customHeight="false" outlineLevel="0" collapsed="false">
      <c r="A519" s="77"/>
      <c r="B519" s="57"/>
      <c r="C519" s="78"/>
      <c r="D519" s="78"/>
      <c r="E519" s="79"/>
      <c r="F519" s="79"/>
      <c r="G519" s="80"/>
      <c r="H519" s="80"/>
      <c r="I519" s="81"/>
      <c r="J519" s="81"/>
      <c r="K519" s="82"/>
      <c r="L519" s="80"/>
      <c r="M519" s="83"/>
      <c r="N519" s="84"/>
      <c r="O519" s="85"/>
      <c r="P519" s="77"/>
      <c r="Q519" s="77"/>
      <c r="R519" s="77"/>
      <c r="S519" s="77"/>
      <c r="T519" s="77"/>
      <c r="U519" s="77"/>
    </row>
    <row r="520" customFormat="false" ht="15.75" hidden="false" customHeight="true" outlineLevel="0" collapsed="false">
      <c r="A520" s="77"/>
      <c r="B520" s="57" t="n">
        <f aca="false">M520</f>
        <v>0</v>
      </c>
      <c r="C520" s="78"/>
      <c r="D520" s="78"/>
      <c r="E520" s="79"/>
      <c r="F520" s="79"/>
      <c r="G520" s="80"/>
      <c r="H520" s="80"/>
      <c r="I520" s="81"/>
      <c r="J520" s="81"/>
      <c r="K520" s="82"/>
      <c r="L520" s="80"/>
      <c r="M520" s="83"/>
      <c r="N520" s="84"/>
      <c r="O520" s="85"/>
      <c r="P520" s="77"/>
      <c r="Q520" s="77"/>
      <c r="R520" s="77"/>
      <c r="S520" s="77"/>
      <c r="T520" s="77"/>
      <c r="U520" s="77"/>
    </row>
    <row r="521" customFormat="false" ht="15" hidden="false" customHeight="false" outlineLevel="0" collapsed="false">
      <c r="A521" s="77"/>
      <c r="B521" s="57"/>
      <c r="C521" s="78"/>
      <c r="D521" s="78"/>
      <c r="E521" s="79"/>
      <c r="F521" s="79"/>
      <c r="G521" s="80"/>
      <c r="H521" s="80"/>
      <c r="I521" s="81"/>
      <c r="J521" s="81"/>
      <c r="K521" s="82"/>
      <c r="L521" s="80"/>
      <c r="M521" s="83"/>
      <c r="N521" s="84"/>
      <c r="O521" s="85"/>
      <c r="P521" s="77"/>
      <c r="Q521" s="77"/>
      <c r="R521" s="77"/>
      <c r="S521" s="77"/>
      <c r="T521" s="77"/>
      <c r="U521" s="77"/>
    </row>
    <row r="523" customFormat="false" ht="15.75" hidden="false" customHeight="true" outlineLevel="0" collapsed="false">
      <c r="A523" s="77"/>
      <c r="B523" s="57"/>
      <c r="C523" s="78"/>
      <c r="D523" s="78"/>
      <c r="E523" s="79"/>
      <c r="F523" s="79"/>
      <c r="G523" s="80"/>
      <c r="H523" s="80"/>
      <c r="I523" s="81"/>
      <c r="J523" s="81"/>
      <c r="K523" s="82"/>
      <c r="L523" s="80"/>
      <c r="M523" s="83"/>
      <c r="N523" s="77"/>
      <c r="O523" s="85"/>
      <c r="P523" s="77"/>
      <c r="Q523" s="77"/>
      <c r="R523" s="77"/>
      <c r="S523" s="77"/>
      <c r="T523" s="77"/>
      <c r="U523" s="77"/>
    </row>
    <row r="524" customFormat="false" ht="15.75" hidden="false" customHeight="true" outlineLevel="0" collapsed="false">
      <c r="A524" s="77"/>
      <c r="B524" s="57"/>
      <c r="C524" s="78"/>
      <c r="D524" s="78"/>
      <c r="E524" s="79"/>
      <c r="F524" s="79"/>
      <c r="G524" s="80"/>
      <c r="H524" s="80"/>
      <c r="I524" s="81"/>
      <c r="J524" s="81"/>
      <c r="K524" s="82"/>
      <c r="L524" s="80"/>
      <c r="M524" s="83"/>
      <c r="N524" s="77"/>
      <c r="O524" s="85"/>
      <c r="P524" s="77"/>
      <c r="Q524" s="77"/>
      <c r="R524" s="77"/>
      <c r="S524" s="77"/>
      <c r="T524" s="77"/>
      <c r="U524" s="77"/>
    </row>
    <row r="525" customFormat="false" ht="15.75" hidden="false" customHeight="true" outlineLevel="0" collapsed="false">
      <c r="A525" s="77"/>
      <c r="B525" s="57"/>
      <c r="C525" s="78"/>
      <c r="D525" s="78"/>
      <c r="E525" s="79"/>
      <c r="F525" s="79"/>
      <c r="G525" s="80"/>
      <c r="H525" s="80"/>
      <c r="I525" s="81"/>
      <c r="J525" s="81"/>
      <c r="K525" s="82"/>
      <c r="L525" s="80"/>
      <c r="M525" s="83"/>
      <c r="N525" s="77"/>
      <c r="O525" s="85"/>
      <c r="P525" s="77"/>
      <c r="Q525" s="77"/>
      <c r="R525" s="77"/>
      <c r="S525" s="77"/>
      <c r="T525" s="77"/>
      <c r="U525" s="77"/>
    </row>
    <row r="526" customFormat="false" ht="15.75" hidden="false" customHeight="true" outlineLevel="0" collapsed="false">
      <c r="A526" s="77"/>
      <c r="B526" s="57"/>
      <c r="C526" s="78"/>
      <c r="D526" s="78"/>
      <c r="E526" s="79"/>
      <c r="F526" s="79"/>
      <c r="G526" s="80"/>
      <c r="H526" s="80"/>
      <c r="I526" s="81"/>
      <c r="J526" s="81"/>
      <c r="K526" s="82"/>
      <c r="L526" s="80"/>
      <c r="M526" s="83"/>
      <c r="N526" s="77"/>
      <c r="O526" s="85"/>
      <c r="P526" s="77"/>
      <c r="Q526" s="77"/>
      <c r="R526" s="77"/>
      <c r="S526" s="77"/>
      <c r="T526" s="77"/>
      <c r="U526" s="77"/>
    </row>
    <row r="527" customFormat="false" ht="15.75" hidden="false" customHeight="true" outlineLevel="0" collapsed="false">
      <c r="A527" s="77"/>
      <c r="B527" s="57"/>
      <c r="C527" s="78"/>
      <c r="D527" s="78"/>
      <c r="E527" s="79"/>
      <c r="F527" s="79"/>
      <c r="G527" s="80"/>
      <c r="H527" s="80"/>
      <c r="I527" s="81"/>
      <c r="J527" s="81"/>
      <c r="K527" s="82"/>
      <c r="L527" s="80"/>
      <c r="M527" s="83"/>
      <c r="N527" s="77"/>
      <c r="O527" s="85"/>
      <c r="P527" s="77"/>
      <c r="Q527" s="77"/>
      <c r="R527" s="77"/>
      <c r="S527" s="77"/>
      <c r="T527" s="77"/>
      <c r="U527" s="77"/>
    </row>
    <row r="528" customFormat="false" ht="15.75" hidden="false" customHeight="true" outlineLevel="0" collapsed="false">
      <c r="A528" s="77"/>
      <c r="B528" s="57"/>
      <c r="C528" s="78"/>
      <c r="D528" s="78"/>
      <c r="E528" s="79"/>
      <c r="F528" s="79"/>
      <c r="G528" s="80"/>
      <c r="H528" s="80"/>
      <c r="I528" s="81"/>
      <c r="J528" s="81"/>
      <c r="K528" s="82"/>
      <c r="L528" s="80"/>
      <c r="M528" s="83"/>
      <c r="N528" s="77"/>
      <c r="O528" s="85"/>
      <c r="P528" s="77"/>
      <c r="Q528" s="77"/>
      <c r="R528" s="77"/>
      <c r="S528" s="77"/>
      <c r="T528" s="77"/>
      <c r="U528" s="77"/>
    </row>
    <row r="529" customFormat="false" ht="15.75" hidden="false" customHeight="true" outlineLevel="0" collapsed="false">
      <c r="A529" s="77"/>
      <c r="B529" s="57"/>
      <c r="C529" s="78"/>
      <c r="D529" s="78"/>
      <c r="E529" s="79"/>
      <c r="F529" s="79"/>
      <c r="G529" s="80"/>
      <c r="H529" s="80"/>
      <c r="I529" s="81"/>
      <c r="J529" s="81"/>
      <c r="K529" s="82"/>
      <c r="L529" s="80"/>
      <c r="M529" s="83"/>
      <c r="N529" s="77"/>
      <c r="O529" s="85"/>
      <c r="P529" s="77"/>
      <c r="Q529" s="77"/>
      <c r="R529" s="77"/>
      <c r="S529" s="77"/>
      <c r="T529" s="77"/>
      <c r="U529" s="77"/>
    </row>
    <row r="530" customFormat="false" ht="15.75" hidden="false" customHeight="true" outlineLevel="0" collapsed="false">
      <c r="A530" s="77"/>
      <c r="B530" s="57"/>
      <c r="C530" s="78"/>
      <c r="D530" s="78"/>
      <c r="E530" s="79"/>
      <c r="F530" s="79"/>
      <c r="G530" s="80"/>
      <c r="H530" s="80"/>
      <c r="I530" s="81"/>
      <c r="J530" s="81"/>
      <c r="K530" s="82"/>
      <c r="L530" s="80"/>
      <c r="M530" s="83"/>
      <c r="N530" s="77"/>
      <c r="O530" s="85"/>
      <c r="P530" s="77"/>
      <c r="Q530" s="77"/>
      <c r="R530" s="77"/>
      <c r="S530" s="77"/>
      <c r="T530" s="77"/>
      <c r="U530" s="77"/>
    </row>
    <row r="531" customFormat="false" ht="15.75" hidden="false" customHeight="true" outlineLevel="0" collapsed="false">
      <c r="A531" s="77"/>
      <c r="B531" s="57"/>
      <c r="C531" s="78"/>
      <c r="D531" s="78"/>
      <c r="E531" s="79"/>
      <c r="F531" s="79"/>
      <c r="G531" s="80"/>
      <c r="H531" s="80"/>
      <c r="I531" s="81"/>
      <c r="J531" s="81"/>
      <c r="K531" s="82"/>
      <c r="L531" s="80"/>
      <c r="M531" s="83"/>
      <c r="N531" s="77"/>
      <c r="O531" s="85"/>
      <c r="P531" s="77"/>
      <c r="Q531" s="77"/>
      <c r="R531" s="77"/>
      <c r="S531" s="77"/>
      <c r="T531" s="77"/>
      <c r="U531" s="77"/>
    </row>
    <row r="532" customFormat="false" ht="15.75" hidden="false" customHeight="true" outlineLevel="0" collapsed="false">
      <c r="A532" s="77"/>
      <c r="B532" s="57"/>
      <c r="C532" s="78"/>
      <c r="D532" s="78"/>
      <c r="E532" s="79"/>
      <c r="F532" s="79"/>
      <c r="G532" s="80"/>
      <c r="H532" s="80"/>
      <c r="I532" s="81"/>
      <c r="J532" s="81"/>
      <c r="K532" s="82"/>
      <c r="L532" s="80"/>
      <c r="M532" s="83"/>
      <c r="N532" s="77"/>
      <c r="O532" s="85"/>
      <c r="P532" s="77"/>
      <c r="Q532" s="77"/>
      <c r="R532" s="77"/>
      <c r="S532" s="77"/>
      <c r="T532" s="77"/>
      <c r="U532" s="77"/>
    </row>
    <row r="533" customFormat="false" ht="15.75" hidden="false" customHeight="true" outlineLevel="0" collapsed="false">
      <c r="A533" s="77"/>
      <c r="B533" s="57"/>
      <c r="C533" s="78"/>
      <c r="D533" s="78"/>
      <c r="E533" s="79"/>
      <c r="F533" s="79"/>
      <c r="G533" s="80"/>
      <c r="H533" s="80"/>
      <c r="I533" s="81"/>
      <c r="J533" s="81"/>
      <c r="K533" s="82"/>
      <c r="L533" s="80"/>
      <c r="M533" s="83"/>
      <c r="N533" s="77"/>
      <c r="O533" s="85"/>
      <c r="P533" s="77"/>
      <c r="Q533" s="77"/>
      <c r="R533" s="77"/>
      <c r="S533" s="77"/>
      <c r="T533" s="77"/>
      <c r="U533" s="77"/>
    </row>
    <row r="534" customFormat="false" ht="15.75" hidden="false" customHeight="true" outlineLevel="0" collapsed="false">
      <c r="A534" s="77"/>
      <c r="B534" s="57"/>
      <c r="C534" s="78"/>
      <c r="D534" s="78"/>
      <c r="E534" s="79"/>
      <c r="F534" s="79"/>
      <c r="G534" s="80"/>
      <c r="H534" s="80"/>
      <c r="I534" s="81"/>
      <c r="J534" s="81"/>
      <c r="K534" s="82"/>
      <c r="L534" s="80"/>
      <c r="M534" s="83"/>
      <c r="N534" s="77"/>
      <c r="O534" s="85"/>
      <c r="P534" s="77"/>
      <c r="Q534" s="77"/>
      <c r="R534" s="77"/>
      <c r="S534" s="77"/>
      <c r="T534" s="77"/>
      <c r="U534" s="77"/>
    </row>
    <row r="535" customFormat="false" ht="15.75" hidden="false" customHeight="true" outlineLevel="0" collapsed="false">
      <c r="A535" s="77"/>
      <c r="B535" s="57"/>
      <c r="C535" s="78"/>
      <c r="D535" s="78"/>
      <c r="E535" s="79"/>
      <c r="F535" s="79"/>
      <c r="G535" s="80"/>
      <c r="H535" s="80"/>
      <c r="I535" s="81"/>
      <c r="J535" s="81"/>
      <c r="K535" s="82"/>
      <c r="L535" s="80"/>
      <c r="M535" s="83"/>
      <c r="N535" s="77"/>
      <c r="O535" s="85"/>
      <c r="P535" s="77"/>
      <c r="Q535" s="77"/>
      <c r="R535" s="77"/>
      <c r="S535" s="77"/>
      <c r="T535" s="77"/>
      <c r="U535" s="77"/>
    </row>
    <row r="536" customFormat="false" ht="15.75" hidden="false" customHeight="true" outlineLevel="0" collapsed="false">
      <c r="A536" s="77"/>
      <c r="B536" s="57"/>
      <c r="C536" s="78"/>
      <c r="D536" s="78"/>
      <c r="E536" s="79"/>
      <c r="F536" s="79"/>
      <c r="G536" s="80"/>
      <c r="H536" s="80"/>
      <c r="I536" s="81"/>
      <c r="J536" s="81"/>
      <c r="K536" s="82"/>
      <c r="L536" s="80"/>
      <c r="M536" s="83"/>
      <c r="N536" s="77"/>
      <c r="O536" s="85"/>
      <c r="P536" s="77"/>
      <c r="Q536" s="77"/>
      <c r="R536" s="77"/>
      <c r="S536" s="77"/>
      <c r="T536" s="77"/>
      <c r="U536" s="77"/>
    </row>
    <row r="537" customFormat="false" ht="15.75" hidden="false" customHeight="true" outlineLevel="0" collapsed="false">
      <c r="A537" s="77"/>
      <c r="B537" s="57"/>
      <c r="C537" s="78"/>
      <c r="D537" s="78"/>
      <c r="E537" s="79"/>
      <c r="F537" s="79"/>
      <c r="G537" s="80"/>
      <c r="H537" s="80"/>
      <c r="I537" s="81"/>
      <c r="J537" s="81"/>
      <c r="K537" s="82"/>
      <c r="L537" s="80"/>
      <c r="M537" s="83"/>
      <c r="N537" s="77"/>
      <c r="O537" s="85"/>
      <c r="P537" s="77"/>
      <c r="Q537" s="77"/>
      <c r="R537" s="77"/>
      <c r="S537" s="77"/>
      <c r="T537" s="77"/>
      <c r="U537" s="77"/>
    </row>
    <row r="538" customFormat="false" ht="15.75" hidden="false" customHeight="true" outlineLevel="0" collapsed="false">
      <c r="A538" s="77"/>
      <c r="B538" s="57"/>
      <c r="C538" s="78"/>
      <c r="D538" s="78"/>
      <c r="E538" s="79"/>
      <c r="F538" s="79"/>
      <c r="G538" s="80"/>
      <c r="H538" s="80"/>
      <c r="I538" s="81"/>
      <c r="J538" s="81"/>
      <c r="K538" s="82"/>
      <c r="L538" s="80"/>
      <c r="M538" s="83"/>
      <c r="N538" s="77"/>
      <c r="O538" s="85"/>
      <c r="P538" s="77"/>
      <c r="Q538" s="77"/>
      <c r="R538" s="77"/>
      <c r="S538" s="77"/>
      <c r="T538" s="77"/>
      <c r="U538" s="77"/>
    </row>
    <row r="539" customFormat="false" ht="15.75" hidden="false" customHeight="true" outlineLevel="0" collapsed="false">
      <c r="A539" s="77"/>
      <c r="B539" s="57"/>
      <c r="C539" s="78"/>
      <c r="D539" s="78"/>
      <c r="E539" s="79"/>
      <c r="F539" s="79"/>
      <c r="G539" s="80"/>
      <c r="H539" s="80"/>
      <c r="I539" s="81"/>
      <c r="J539" s="81"/>
      <c r="K539" s="82"/>
      <c r="L539" s="80"/>
      <c r="M539" s="83"/>
      <c r="N539" s="77"/>
      <c r="O539" s="85"/>
      <c r="P539" s="77"/>
      <c r="Q539" s="77"/>
      <c r="R539" s="77"/>
      <c r="S539" s="77"/>
      <c r="T539" s="77"/>
      <c r="U539" s="77"/>
    </row>
    <row r="540" customFormat="false" ht="15.75" hidden="false" customHeight="true" outlineLevel="0" collapsed="false">
      <c r="A540" s="77"/>
      <c r="B540" s="57"/>
      <c r="C540" s="78"/>
      <c r="D540" s="78"/>
      <c r="E540" s="79"/>
      <c r="F540" s="79"/>
      <c r="G540" s="80"/>
      <c r="H540" s="80"/>
      <c r="I540" s="81"/>
      <c r="J540" s="81"/>
      <c r="K540" s="82"/>
      <c r="L540" s="80"/>
      <c r="M540" s="83"/>
      <c r="N540" s="77"/>
      <c r="O540" s="85"/>
      <c r="P540" s="77"/>
      <c r="Q540" s="77"/>
      <c r="R540" s="77"/>
      <c r="S540" s="77"/>
      <c r="T540" s="77"/>
      <c r="U540" s="77"/>
    </row>
    <row r="541" customFormat="false" ht="15.75" hidden="false" customHeight="true" outlineLevel="0" collapsed="false">
      <c r="A541" s="77"/>
      <c r="B541" s="57"/>
      <c r="C541" s="78"/>
      <c r="D541" s="78"/>
      <c r="E541" s="79"/>
      <c r="F541" s="79"/>
      <c r="G541" s="80"/>
      <c r="H541" s="80"/>
      <c r="I541" s="81"/>
      <c r="J541" s="81"/>
      <c r="K541" s="82"/>
      <c r="L541" s="80"/>
      <c r="M541" s="83"/>
      <c r="N541" s="77"/>
      <c r="O541" s="85"/>
      <c r="P541" s="77"/>
      <c r="Q541" s="77"/>
      <c r="R541" s="77"/>
      <c r="S541" s="77"/>
      <c r="T541" s="77"/>
      <c r="U541" s="77"/>
    </row>
    <row r="542" customFormat="false" ht="15.75" hidden="false" customHeight="true" outlineLevel="0" collapsed="false">
      <c r="A542" s="77"/>
      <c r="B542" s="57"/>
      <c r="C542" s="78"/>
      <c r="D542" s="78"/>
      <c r="E542" s="79"/>
      <c r="F542" s="79"/>
      <c r="G542" s="80"/>
      <c r="H542" s="80"/>
      <c r="I542" s="81"/>
      <c r="J542" s="81"/>
      <c r="K542" s="82"/>
      <c r="L542" s="80"/>
      <c r="M542" s="83"/>
      <c r="N542" s="77"/>
      <c r="O542" s="85"/>
      <c r="P542" s="77"/>
      <c r="Q542" s="77"/>
      <c r="R542" s="77"/>
      <c r="S542" s="77"/>
      <c r="T542" s="77"/>
      <c r="U542" s="77"/>
    </row>
    <row r="543" customFormat="false" ht="15.75" hidden="false" customHeight="true" outlineLevel="0" collapsed="false">
      <c r="A543" s="77"/>
      <c r="B543" s="57"/>
      <c r="C543" s="78"/>
      <c r="D543" s="78"/>
      <c r="E543" s="79"/>
      <c r="F543" s="79"/>
      <c r="G543" s="80"/>
      <c r="H543" s="80"/>
      <c r="I543" s="81"/>
      <c r="J543" s="81"/>
      <c r="K543" s="82"/>
      <c r="L543" s="80"/>
      <c r="M543" s="83"/>
      <c r="N543" s="77"/>
      <c r="O543" s="85"/>
      <c r="P543" s="77"/>
      <c r="Q543" s="77"/>
      <c r="R543" s="77"/>
      <c r="S543" s="77"/>
      <c r="T543" s="77"/>
      <c r="U543" s="77"/>
    </row>
    <row r="544" customFormat="false" ht="15.75" hidden="false" customHeight="true" outlineLevel="0" collapsed="false">
      <c r="A544" s="77"/>
      <c r="B544" s="57"/>
      <c r="C544" s="78"/>
      <c r="D544" s="78"/>
      <c r="E544" s="79"/>
      <c r="F544" s="79"/>
      <c r="G544" s="80"/>
      <c r="H544" s="80"/>
      <c r="I544" s="81"/>
      <c r="J544" s="81"/>
      <c r="K544" s="82"/>
      <c r="L544" s="80"/>
      <c r="M544" s="83"/>
      <c r="N544" s="77"/>
      <c r="O544" s="85"/>
      <c r="P544" s="77"/>
      <c r="Q544" s="77"/>
      <c r="R544" s="77"/>
      <c r="S544" s="77"/>
      <c r="T544" s="77"/>
      <c r="U544" s="77"/>
    </row>
    <row r="545" customFormat="false" ht="15.75" hidden="false" customHeight="true" outlineLevel="0" collapsed="false">
      <c r="A545" s="77"/>
      <c r="B545" s="57"/>
      <c r="C545" s="78"/>
      <c r="D545" s="78"/>
      <c r="E545" s="79"/>
      <c r="F545" s="79"/>
      <c r="G545" s="80"/>
      <c r="H545" s="80"/>
      <c r="I545" s="81"/>
      <c r="J545" s="81"/>
      <c r="K545" s="82"/>
      <c r="L545" s="80"/>
      <c r="M545" s="83"/>
      <c r="N545" s="77"/>
      <c r="O545" s="85"/>
      <c r="P545" s="77"/>
      <c r="Q545" s="77"/>
      <c r="R545" s="77"/>
      <c r="S545" s="77"/>
      <c r="T545" s="77"/>
      <c r="U545" s="77"/>
    </row>
    <row r="546" customFormat="false" ht="15.75" hidden="false" customHeight="true" outlineLevel="0" collapsed="false">
      <c r="A546" s="77"/>
      <c r="B546" s="57"/>
      <c r="C546" s="78"/>
      <c r="D546" s="78"/>
      <c r="E546" s="79"/>
      <c r="F546" s="79"/>
      <c r="G546" s="80"/>
      <c r="H546" s="80"/>
      <c r="I546" s="81"/>
      <c r="J546" s="81"/>
      <c r="K546" s="82"/>
      <c r="L546" s="80"/>
      <c r="M546" s="83"/>
      <c r="N546" s="77"/>
      <c r="O546" s="85"/>
      <c r="P546" s="77"/>
      <c r="Q546" s="77"/>
      <c r="R546" s="77"/>
      <c r="S546" s="77"/>
      <c r="T546" s="77"/>
      <c r="U546" s="77"/>
    </row>
    <row r="547" customFormat="false" ht="15.75" hidden="false" customHeight="true" outlineLevel="0" collapsed="false">
      <c r="A547" s="77"/>
      <c r="B547" s="57"/>
      <c r="C547" s="78"/>
      <c r="D547" s="78"/>
      <c r="E547" s="79"/>
      <c r="F547" s="79"/>
      <c r="G547" s="80"/>
      <c r="H547" s="80"/>
      <c r="I547" s="81"/>
      <c r="J547" s="81"/>
      <c r="K547" s="82"/>
      <c r="L547" s="80"/>
      <c r="M547" s="83"/>
      <c r="N547" s="77"/>
      <c r="O547" s="85"/>
      <c r="P547" s="77"/>
      <c r="Q547" s="77"/>
      <c r="R547" s="77"/>
      <c r="S547" s="77"/>
      <c r="T547" s="77"/>
      <c r="U547" s="77"/>
    </row>
    <row r="548" customFormat="false" ht="15.75" hidden="false" customHeight="true" outlineLevel="0" collapsed="false">
      <c r="A548" s="77"/>
      <c r="B548" s="57"/>
      <c r="C548" s="78"/>
      <c r="D548" s="78"/>
      <c r="E548" s="79"/>
      <c r="F548" s="79"/>
      <c r="G548" s="80"/>
      <c r="H548" s="80"/>
      <c r="I548" s="81"/>
      <c r="J548" s="81"/>
      <c r="K548" s="82"/>
      <c r="L548" s="80"/>
      <c r="M548" s="83"/>
      <c r="N548" s="77"/>
      <c r="O548" s="85"/>
      <c r="P548" s="77"/>
      <c r="Q548" s="77"/>
      <c r="R548" s="77"/>
      <c r="S548" s="77"/>
      <c r="T548" s="77"/>
      <c r="U548" s="77"/>
    </row>
    <row r="549" customFormat="false" ht="15.75" hidden="false" customHeight="true" outlineLevel="0" collapsed="false">
      <c r="A549" s="77"/>
      <c r="B549" s="57"/>
      <c r="C549" s="78"/>
      <c r="D549" s="78"/>
      <c r="E549" s="79"/>
      <c r="F549" s="79"/>
      <c r="G549" s="80"/>
      <c r="H549" s="80"/>
      <c r="I549" s="81"/>
      <c r="J549" s="81"/>
      <c r="K549" s="82"/>
      <c r="L549" s="80"/>
      <c r="M549" s="83"/>
      <c r="N549" s="77"/>
      <c r="O549" s="85"/>
      <c r="P549" s="77"/>
      <c r="Q549" s="77"/>
      <c r="R549" s="77"/>
      <c r="S549" s="77"/>
      <c r="T549" s="77"/>
      <c r="U549" s="77"/>
    </row>
    <row r="550" customFormat="false" ht="15.75" hidden="false" customHeight="true" outlineLevel="0" collapsed="false">
      <c r="A550" s="77"/>
      <c r="B550" s="57"/>
      <c r="C550" s="78"/>
      <c r="D550" s="78"/>
      <c r="E550" s="79"/>
      <c r="F550" s="79"/>
      <c r="G550" s="80"/>
      <c r="H550" s="80"/>
      <c r="I550" s="81"/>
      <c r="J550" s="81"/>
      <c r="K550" s="82"/>
      <c r="L550" s="80"/>
      <c r="M550" s="83"/>
      <c r="N550" s="77"/>
      <c r="O550" s="85"/>
      <c r="P550" s="77"/>
      <c r="Q550" s="77"/>
      <c r="R550" s="77"/>
      <c r="S550" s="77"/>
      <c r="T550" s="77"/>
      <c r="U550" s="77"/>
    </row>
    <row r="551" customFormat="false" ht="15.75" hidden="false" customHeight="true" outlineLevel="0" collapsed="false">
      <c r="A551" s="77"/>
      <c r="B551" s="57"/>
      <c r="C551" s="78"/>
      <c r="D551" s="78"/>
      <c r="E551" s="79"/>
      <c r="F551" s="79"/>
      <c r="G551" s="80"/>
      <c r="H551" s="80"/>
      <c r="I551" s="81"/>
      <c r="J551" s="81"/>
      <c r="K551" s="82"/>
      <c r="L551" s="80"/>
      <c r="M551" s="83"/>
      <c r="N551" s="77"/>
      <c r="O551" s="85"/>
      <c r="P551" s="77"/>
      <c r="Q551" s="77"/>
      <c r="R551" s="77"/>
      <c r="S551" s="77"/>
      <c r="T551" s="77"/>
      <c r="U551" s="77"/>
    </row>
    <row r="552" customFormat="false" ht="15.75" hidden="false" customHeight="true" outlineLevel="0" collapsed="false">
      <c r="A552" s="77"/>
      <c r="B552" s="57"/>
      <c r="C552" s="78"/>
      <c r="D552" s="78"/>
      <c r="E552" s="79"/>
      <c r="F552" s="79"/>
      <c r="G552" s="80"/>
      <c r="H552" s="80"/>
      <c r="I552" s="81"/>
      <c r="J552" s="81"/>
      <c r="K552" s="82"/>
      <c r="L552" s="80"/>
      <c r="M552" s="83"/>
      <c r="N552" s="77"/>
      <c r="O552" s="85"/>
      <c r="P552" s="77"/>
      <c r="Q552" s="77"/>
      <c r="R552" s="77"/>
      <c r="S552" s="77"/>
      <c r="T552" s="77"/>
      <c r="U552" s="77"/>
    </row>
    <row r="553" customFormat="false" ht="15.75" hidden="false" customHeight="true" outlineLevel="0" collapsed="false">
      <c r="A553" s="77"/>
      <c r="B553" s="57"/>
      <c r="C553" s="78"/>
      <c r="D553" s="78"/>
      <c r="E553" s="79"/>
      <c r="F553" s="79"/>
      <c r="G553" s="80"/>
      <c r="H553" s="80"/>
      <c r="I553" s="81"/>
      <c r="J553" s="81"/>
      <c r="K553" s="82"/>
      <c r="L553" s="80"/>
      <c r="M553" s="83"/>
      <c r="N553" s="77"/>
      <c r="O553" s="85"/>
      <c r="P553" s="77"/>
      <c r="Q553" s="77"/>
      <c r="R553" s="77"/>
      <c r="S553" s="77"/>
      <c r="T553" s="77"/>
      <c r="U553" s="77"/>
    </row>
    <row r="554" customFormat="false" ht="15.75" hidden="false" customHeight="true" outlineLevel="0" collapsed="false">
      <c r="A554" s="77"/>
      <c r="B554" s="57"/>
      <c r="C554" s="78"/>
      <c r="D554" s="78"/>
      <c r="E554" s="79"/>
      <c r="F554" s="79"/>
      <c r="G554" s="80"/>
      <c r="H554" s="80"/>
      <c r="I554" s="81"/>
      <c r="J554" s="81"/>
      <c r="K554" s="82"/>
      <c r="L554" s="80"/>
      <c r="M554" s="83"/>
      <c r="N554" s="77"/>
      <c r="O554" s="85"/>
      <c r="P554" s="77"/>
      <c r="Q554" s="77"/>
      <c r="R554" s="77"/>
      <c r="S554" s="77"/>
      <c r="T554" s="77"/>
      <c r="U554" s="77"/>
    </row>
    <row r="555" customFormat="false" ht="15.75" hidden="false" customHeight="true" outlineLevel="0" collapsed="false">
      <c r="A555" s="77"/>
      <c r="B555" s="57"/>
      <c r="C555" s="78"/>
      <c r="D555" s="78"/>
      <c r="E555" s="79"/>
      <c r="F555" s="79"/>
      <c r="G555" s="80"/>
      <c r="H555" s="80"/>
      <c r="I555" s="81"/>
      <c r="J555" s="81"/>
      <c r="K555" s="82"/>
      <c r="L555" s="80"/>
      <c r="M555" s="83"/>
      <c r="N555" s="77"/>
      <c r="O555" s="85"/>
      <c r="P555" s="77"/>
      <c r="Q555" s="77"/>
      <c r="R555" s="77"/>
      <c r="S555" s="77"/>
      <c r="T555" s="77"/>
      <c r="U555" s="77"/>
    </row>
    <row r="556" customFormat="false" ht="15.75" hidden="false" customHeight="true" outlineLevel="0" collapsed="false">
      <c r="A556" s="77"/>
      <c r="B556" s="57"/>
      <c r="C556" s="78"/>
      <c r="D556" s="78"/>
      <c r="E556" s="79"/>
      <c r="F556" s="79"/>
      <c r="G556" s="80"/>
      <c r="H556" s="80"/>
      <c r="I556" s="81"/>
      <c r="J556" s="81"/>
      <c r="K556" s="82"/>
      <c r="L556" s="80"/>
      <c r="M556" s="83"/>
      <c r="N556" s="77"/>
      <c r="O556" s="85"/>
      <c r="P556" s="77"/>
      <c r="Q556" s="77"/>
      <c r="R556" s="77"/>
      <c r="S556" s="77"/>
      <c r="T556" s="77"/>
      <c r="U556" s="77"/>
    </row>
    <row r="557" customFormat="false" ht="15.75" hidden="false" customHeight="true" outlineLevel="0" collapsed="false">
      <c r="A557" s="77"/>
      <c r="B557" s="57"/>
      <c r="C557" s="78"/>
      <c r="D557" s="78"/>
      <c r="E557" s="79"/>
      <c r="F557" s="79"/>
      <c r="G557" s="80"/>
      <c r="H557" s="80"/>
      <c r="I557" s="81"/>
      <c r="J557" s="81"/>
      <c r="K557" s="82"/>
      <c r="L557" s="80"/>
      <c r="M557" s="83"/>
      <c r="N557" s="77"/>
      <c r="O557" s="85"/>
      <c r="P557" s="77"/>
      <c r="Q557" s="77"/>
      <c r="R557" s="77"/>
      <c r="S557" s="77"/>
      <c r="T557" s="77"/>
      <c r="U557" s="77"/>
    </row>
    <row r="558" customFormat="false" ht="15.75" hidden="false" customHeight="true" outlineLevel="0" collapsed="false">
      <c r="A558" s="77"/>
      <c r="B558" s="57"/>
      <c r="C558" s="78"/>
      <c r="D558" s="78"/>
      <c r="E558" s="79"/>
      <c r="F558" s="79"/>
      <c r="G558" s="80"/>
      <c r="H558" s="80"/>
      <c r="I558" s="81"/>
      <c r="J558" s="81"/>
      <c r="K558" s="82"/>
      <c r="L558" s="80"/>
      <c r="M558" s="83"/>
      <c r="N558" s="77"/>
      <c r="O558" s="85"/>
      <c r="P558" s="77"/>
      <c r="Q558" s="77"/>
      <c r="R558" s="77"/>
      <c r="S558" s="77"/>
      <c r="T558" s="77"/>
      <c r="U558" s="77"/>
    </row>
    <row r="559" customFormat="false" ht="15.75" hidden="false" customHeight="true" outlineLevel="0" collapsed="false">
      <c r="A559" s="77"/>
      <c r="B559" s="57"/>
      <c r="C559" s="78"/>
      <c r="D559" s="78"/>
      <c r="E559" s="79"/>
      <c r="F559" s="79"/>
      <c r="G559" s="80"/>
      <c r="H559" s="80"/>
      <c r="I559" s="81"/>
      <c r="J559" s="81"/>
      <c r="K559" s="82"/>
      <c r="L559" s="80"/>
      <c r="M559" s="83"/>
      <c r="N559" s="77"/>
      <c r="O559" s="85"/>
      <c r="P559" s="77"/>
      <c r="Q559" s="77"/>
      <c r="R559" s="77"/>
      <c r="S559" s="77"/>
      <c r="T559" s="77"/>
      <c r="U559" s="77"/>
    </row>
    <row r="560" customFormat="false" ht="15.75" hidden="false" customHeight="true" outlineLevel="0" collapsed="false">
      <c r="A560" s="77"/>
      <c r="B560" s="57"/>
      <c r="C560" s="78"/>
      <c r="D560" s="78"/>
      <c r="E560" s="79"/>
      <c r="F560" s="79"/>
      <c r="G560" s="80"/>
      <c r="H560" s="80"/>
      <c r="I560" s="81"/>
      <c r="J560" s="81"/>
      <c r="K560" s="82"/>
      <c r="L560" s="80"/>
      <c r="M560" s="83"/>
      <c r="N560" s="77"/>
      <c r="O560" s="85"/>
      <c r="P560" s="77"/>
      <c r="Q560" s="77"/>
      <c r="R560" s="77"/>
      <c r="S560" s="77"/>
      <c r="T560" s="77"/>
      <c r="U560" s="77"/>
    </row>
    <row r="561" customFormat="false" ht="15.75" hidden="false" customHeight="true" outlineLevel="0" collapsed="false">
      <c r="A561" s="77"/>
      <c r="B561" s="57"/>
      <c r="C561" s="78"/>
      <c r="D561" s="78"/>
      <c r="E561" s="79"/>
      <c r="F561" s="79"/>
      <c r="G561" s="80"/>
      <c r="H561" s="80"/>
      <c r="I561" s="81"/>
      <c r="J561" s="81"/>
      <c r="K561" s="82"/>
      <c r="L561" s="80"/>
      <c r="M561" s="83"/>
      <c r="N561" s="77"/>
      <c r="O561" s="85"/>
      <c r="P561" s="77"/>
      <c r="Q561" s="77"/>
      <c r="R561" s="77"/>
      <c r="S561" s="77"/>
      <c r="T561" s="77"/>
      <c r="U561" s="77"/>
    </row>
    <row r="562" customFormat="false" ht="15.75" hidden="false" customHeight="true" outlineLevel="0" collapsed="false">
      <c r="A562" s="77"/>
      <c r="B562" s="57"/>
      <c r="C562" s="78"/>
      <c r="D562" s="78"/>
      <c r="E562" s="79"/>
      <c r="F562" s="79"/>
      <c r="G562" s="80"/>
      <c r="H562" s="80"/>
      <c r="I562" s="81"/>
      <c r="J562" s="81"/>
      <c r="K562" s="82"/>
      <c r="L562" s="80"/>
      <c r="M562" s="83"/>
      <c r="N562" s="77"/>
      <c r="O562" s="85"/>
      <c r="P562" s="77"/>
      <c r="Q562" s="77"/>
      <c r="R562" s="77"/>
      <c r="S562" s="77"/>
      <c r="T562" s="77"/>
      <c r="U562" s="77"/>
    </row>
    <row r="563" customFormat="false" ht="15.75" hidden="false" customHeight="true" outlineLevel="0" collapsed="false">
      <c r="A563" s="77"/>
      <c r="B563" s="57"/>
      <c r="C563" s="78"/>
      <c r="D563" s="78"/>
      <c r="E563" s="79"/>
      <c r="F563" s="79"/>
      <c r="G563" s="80"/>
      <c r="H563" s="80"/>
      <c r="I563" s="81"/>
      <c r="J563" s="81"/>
      <c r="K563" s="82"/>
      <c r="L563" s="80"/>
      <c r="M563" s="83"/>
      <c r="N563" s="77"/>
      <c r="O563" s="85"/>
      <c r="P563" s="77"/>
      <c r="Q563" s="77"/>
      <c r="R563" s="77"/>
      <c r="S563" s="77"/>
      <c r="T563" s="77"/>
      <c r="U563" s="77"/>
    </row>
    <row r="564" customFormat="false" ht="15.75" hidden="false" customHeight="true" outlineLevel="0" collapsed="false">
      <c r="A564" s="77"/>
      <c r="B564" s="57"/>
      <c r="C564" s="78"/>
      <c r="D564" s="78"/>
      <c r="E564" s="79"/>
      <c r="F564" s="79"/>
      <c r="G564" s="80"/>
      <c r="H564" s="80"/>
      <c r="I564" s="81"/>
      <c r="J564" s="81"/>
      <c r="K564" s="82"/>
      <c r="L564" s="80"/>
      <c r="M564" s="83"/>
      <c r="N564" s="77"/>
      <c r="O564" s="85"/>
      <c r="P564" s="77"/>
      <c r="Q564" s="77"/>
      <c r="R564" s="77"/>
      <c r="S564" s="77"/>
      <c r="T564" s="77"/>
      <c r="U564" s="77"/>
    </row>
    <row r="565" customFormat="false" ht="15.75" hidden="false" customHeight="true" outlineLevel="0" collapsed="false">
      <c r="A565" s="77"/>
      <c r="B565" s="57"/>
      <c r="C565" s="78"/>
      <c r="D565" s="78"/>
      <c r="E565" s="79"/>
      <c r="F565" s="79"/>
      <c r="G565" s="80"/>
      <c r="H565" s="80"/>
      <c r="I565" s="81"/>
      <c r="J565" s="81"/>
      <c r="K565" s="82"/>
      <c r="L565" s="80"/>
      <c r="M565" s="83"/>
      <c r="N565" s="77"/>
      <c r="O565" s="85"/>
      <c r="P565" s="77"/>
      <c r="Q565" s="77"/>
      <c r="R565" s="77"/>
      <c r="S565" s="77"/>
      <c r="T565" s="77"/>
      <c r="U565" s="77"/>
    </row>
    <row r="566" customFormat="false" ht="15.75" hidden="false" customHeight="true" outlineLevel="0" collapsed="false">
      <c r="A566" s="77"/>
      <c r="B566" s="57"/>
      <c r="C566" s="78"/>
      <c r="D566" s="78"/>
      <c r="E566" s="79"/>
      <c r="F566" s="79"/>
      <c r="G566" s="80"/>
      <c r="H566" s="80"/>
      <c r="I566" s="81"/>
      <c r="J566" s="81"/>
      <c r="K566" s="82"/>
      <c r="L566" s="80"/>
      <c r="M566" s="83"/>
      <c r="N566" s="77"/>
      <c r="O566" s="85"/>
      <c r="P566" s="77"/>
      <c r="Q566" s="77"/>
      <c r="R566" s="77"/>
      <c r="S566" s="77"/>
      <c r="T566" s="77"/>
      <c r="U566" s="77"/>
    </row>
    <row r="567" customFormat="false" ht="15.75" hidden="false" customHeight="true" outlineLevel="0" collapsed="false">
      <c r="A567" s="77"/>
      <c r="B567" s="57"/>
      <c r="C567" s="78"/>
      <c r="D567" s="78"/>
      <c r="E567" s="79"/>
      <c r="F567" s="79"/>
      <c r="G567" s="80"/>
      <c r="H567" s="80"/>
      <c r="I567" s="81"/>
      <c r="J567" s="81"/>
      <c r="K567" s="82"/>
      <c r="L567" s="80"/>
      <c r="M567" s="83"/>
      <c r="N567" s="77"/>
      <c r="O567" s="85"/>
      <c r="P567" s="77"/>
      <c r="Q567" s="77"/>
      <c r="R567" s="77"/>
      <c r="S567" s="77"/>
      <c r="T567" s="77"/>
      <c r="U567" s="77"/>
    </row>
    <row r="568" customFormat="false" ht="15.75" hidden="false" customHeight="true" outlineLevel="0" collapsed="false">
      <c r="A568" s="77"/>
      <c r="B568" s="57"/>
      <c r="C568" s="78"/>
      <c r="D568" s="78"/>
      <c r="E568" s="79"/>
      <c r="F568" s="79"/>
      <c r="G568" s="80"/>
      <c r="H568" s="80"/>
      <c r="I568" s="81"/>
      <c r="J568" s="81"/>
      <c r="K568" s="82"/>
      <c r="L568" s="80"/>
      <c r="M568" s="83"/>
      <c r="N568" s="77"/>
      <c r="O568" s="85"/>
      <c r="P568" s="77"/>
      <c r="Q568" s="77"/>
      <c r="R568" s="77"/>
      <c r="S568" s="77"/>
      <c r="T568" s="77"/>
      <c r="U568" s="77"/>
    </row>
    <row r="569" customFormat="false" ht="15.75" hidden="false" customHeight="true" outlineLevel="0" collapsed="false">
      <c r="A569" s="77"/>
      <c r="B569" s="57"/>
      <c r="C569" s="78"/>
      <c r="D569" s="78"/>
      <c r="E569" s="79"/>
      <c r="F569" s="79"/>
      <c r="G569" s="80"/>
      <c r="H569" s="80"/>
      <c r="I569" s="81"/>
      <c r="J569" s="81"/>
      <c r="K569" s="82"/>
      <c r="L569" s="80"/>
      <c r="M569" s="83"/>
      <c r="N569" s="77"/>
      <c r="O569" s="85"/>
      <c r="P569" s="77"/>
      <c r="Q569" s="77"/>
      <c r="R569" s="77"/>
      <c r="S569" s="77"/>
      <c r="T569" s="77"/>
      <c r="U569" s="77"/>
    </row>
    <row r="570" customFormat="false" ht="15.75" hidden="false" customHeight="true" outlineLevel="0" collapsed="false">
      <c r="A570" s="77"/>
      <c r="B570" s="57"/>
      <c r="C570" s="78"/>
      <c r="D570" s="78"/>
      <c r="E570" s="79"/>
      <c r="F570" s="79"/>
      <c r="G570" s="80"/>
      <c r="H570" s="80"/>
      <c r="I570" s="81"/>
      <c r="J570" s="81"/>
      <c r="K570" s="82"/>
      <c r="L570" s="80"/>
      <c r="M570" s="83"/>
      <c r="N570" s="77"/>
      <c r="O570" s="85"/>
      <c r="P570" s="77"/>
      <c r="Q570" s="77"/>
      <c r="R570" s="77"/>
      <c r="S570" s="77"/>
      <c r="T570" s="77"/>
      <c r="U570" s="77"/>
    </row>
    <row r="571" customFormat="false" ht="15.75" hidden="false" customHeight="true" outlineLevel="0" collapsed="false">
      <c r="A571" s="77"/>
      <c r="B571" s="57"/>
      <c r="C571" s="78"/>
      <c r="D571" s="78"/>
      <c r="E571" s="79"/>
      <c r="F571" s="79"/>
      <c r="G571" s="80"/>
      <c r="H571" s="80"/>
      <c r="I571" s="81"/>
      <c r="J571" s="81"/>
      <c r="K571" s="82"/>
      <c r="L571" s="80"/>
      <c r="M571" s="83"/>
      <c r="N571" s="77"/>
      <c r="O571" s="85"/>
      <c r="P571" s="77"/>
      <c r="Q571" s="77"/>
      <c r="R571" s="77"/>
      <c r="S571" s="77"/>
      <c r="T571" s="77"/>
      <c r="U571" s="77"/>
    </row>
    <row r="572" customFormat="false" ht="15.75" hidden="false" customHeight="true" outlineLevel="0" collapsed="false">
      <c r="A572" s="77"/>
      <c r="B572" s="57"/>
      <c r="C572" s="78"/>
      <c r="D572" s="78"/>
      <c r="E572" s="79"/>
      <c r="F572" s="79"/>
      <c r="G572" s="80"/>
      <c r="H572" s="80"/>
      <c r="I572" s="81"/>
      <c r="J572" s="81"/>
      <c r="K572" s="82"/>
      <c r="L572" s="80"/>
      <c r="M572" s="83"/>
      <c r="N572" s="77"/>
      <c r="O572" s="85"/>
      <c r="P572" s="77"/>
      <c r="Q572" s="77"/>
      <c r="R572" s="77"/>
      <c r="S572" s="77"/>
      <c r="T572" s="77"/>
      <c r="U572" s="77"/>
    </row>
    <row r="573" customFormat="false" ht="15.75" hidden="false" customHeight="true" outlineLevel="0" collapsed="false">
      <c r="A573" s="77"/>
      <c r="B573" s="57"/>
      <c r="C573" s="78"/>
      <c r="D573" s="78"/>
      <c r="E573" s="79"/>
      <c r="F573" s="79"/>
      <c r="G573" s="80"/>
      <c r="H573" s="80"/>
      <c r="I573" s="81"/>
      <c r="J573" s="81"/>
      <c r="K573" s="82"/>
      <c r="L573" s="80"/>
      <c r="M573" s="83"/>
      <c r="N573" s="77"/>
      <c r="O573" s="85"/>
      <c r="P573" s="77"/>
      <c r="Q573" s="77"/>
      <c r="R573" s="77"/>
      <c r="S573" s="77"/>
      <c r="T573" s="77"/>
      <c r="U573" s="77"/>
    </row>
    <row r="574" customFormat="false" ht="15.75" hidden="false" customHeight="true" outlineLevel="0" collapsed="false">
      <c r="A574" s="77"/>
      <c r="B574" s="57"/>
      <c r="C574" s="78"/>
      <c r="D574" s="78"/>
      <c r="E574" s="79"/>
      <c r="F574" s="79"/>
      <c r="G574" s="80"/>
      <c r="H574" s="80"/>
      <c r="I574" s="81"/>
      <c r="J574" s="81"/>
      <c r="K574" s="82"/>
      <c r="L574" s="80"/>
      <c r="M574" s="83"/>
      <c r="N574" s="77"/>
      <c r="O574" s="85"/>
      <c r="P574" s="77"/>
      <c r="Q574" s="77"/>
      <c r="R574" s="77"/>
      <c r="S574" s="77"/>
      <c r="T574" s="77"/>
      <c r="U574" s="77"/>
    </row>
    <row r="575" customFormat="false" ht="15.75" hidden="false" customHeight="true" outlineLevel="0" collapsed="false">
      <c r="A575" s="77"/>
      <c r="B575" s="57"/>
      <c r="C575" s="78"/>
      <c r="D575" s="78"/>
      <c r="E575" s="79"/>
      <c r="F575" s="79"/>
      <c r="G575" s="80"/>
      <c r="H575" s="80"/>
      <c r="I575" s="81"/>
      <c r="J575" s="81"/>
      <c r="K575" s="82"/>
      <c r="L575" s="80"/>
      <c r="M575" s="83"/>
      <c r="N575" s="77"/>
      <c r="O575" s="85"/>
      <c r="P575" s="77"/>
      <c r="Q575" s="77"/>
      <c r="R575" s="77"/>
      <c r="S575" s="77"/>
      <c r="T575" s="77"/>
      <c r="U575" s="77"/>
    </row>
    <row r="576" customFormat="false" ht="15.75" hidden="false" customHeight="true" outlineLevel="0" collapsed="false">
      <c r="A576" s="77"/>
      <c r="B576" s="57"/>
      <c r="C576" s="78"/>
      <c r="D576" s="78"/>
      <c r="E576" s="79"/>
      <c r="F576" s="79"/>
      <c r="G576" s="80"/>
      <c r="H576" s="80"/>
      <c r="I576" s="81"/>
      <c r="J576" s="81"/>
      <c r="K576" s="82"/>
      <c r="L576" s="80"/>
      <c r="M576" s="83"/>
      <c r="N576" s="77"/>
      <c r="O576" s="85"/>
      <c r="P576" s="77"/>
      <c r="Q576" s="77"/>
      <c r="R576" s="77"/>
      <c r="S576" s="77"/>
      <c r="T576" s="77"/>
      <c r="U576" s="77"/>
    </row>
    <row r="577" customFormat="false" ht="15.75" hidden="false" customHeight="true" outlineLevel="0" collapsed="false">
      <c r="A577" s="77"/>
      <c r="B577" s="57"/>
      <c r="C577" s="78"/>
      <c r="D577" s="78"/>
      <c r="E577" s="79"/>
      <c r="F577" s="79"/>
      <c r="G577" s="80"/>
      <c r="H577" s="80"/>
      <c r="I577" s="81"/>
      <c r="J577" s="81"/>
      <c r="K577" s="82"/>
      <c r="L577" s="80"/>
      <c r="M577" s="83"/>
      <c r="N577" s="77"/>
      <c r="O577" s="85"/>
      <c r="P577" s="77"/>
      <c r="Q577" s="77"/>
      <c r="R577" s="77"/>
      <c r="S577" s="77"/>
      <c r="T577" s="77"/>
      <c r="U577" s="77"/>
    </row>
    <row r="578" customFormat="false" ht="15.75" hidden="false" customHeight="true" outlineLevel="0" collapsed="false">
      <c r="A578" s="77"/>
      <c r="B578" s="57"/>
      <c r="C578" s="78"/>
      <c r="D578" s="78"/>
      <c r="E578" s="79"/>
      <c r="F578" s="79"/>
      <c r="G578" s="80"/>
      <c r="H578" s="80"/>
      <c r="I578" s="81"/>
      <c r="J578" s="81"/>
      <c r="K578" s="82"/>
      <c r="L578" s="80"/>
      <c r="M578" s="83"/>
      <c r="N578" s="77"/>
      <c r="O578" s="85"/>
      <c r="P578" s="77"/>
      <c r="Q578" s="77"/>
      <c r="R578" s="77"/>
      <c r="S578" s="77"/>
      <c r="T578" s="77"/>
      <c r="U578" s="77"/>
    </row>
    <row r="579" customFormat="false" ht="15.75" hidden="false" customHeight="true" outlineLevel="0" collapsed="false">
      <c r="A579" s="77"/>
      <c r="B579" s="57"/>
      <c r="C579" s="78"/>
      <c r="D579" s="78"/>
      <c r="E579" s="79"/>
      <c r="F579" s="79"/>
      <c r="G579" s="80"/>
      <c r="H579" s="80"/>
      <c r="I579" s="81"/>
      <c r="J579" s="81"/>
      <c r="K579" s="82"/>
      <c r="L579" s="80"/>
      <c r="M579" s="83"/>
      <c r="N579" s="77"/>
      <c r="O579" s="85"/>
      <c r="P579" s="77"/>
      <c r="Q579" s="77"/>
      <c r="R579" s="77"/>
      <c r="S579" s="77"/>
      <c r="T579" s="77"/>
      <c r="U579" s="77"/>
    </row>
    <row r="580" customFormat="false" ht="15.75" hidden="false" customHeight="true" outlineLevel="0" collapsed="false">
      <c r="A580" s="77"/>
      <c r="B580" s="57"/>
      <c r="C580" s="78"/>
      <c r="D580" s="78"/>
      <c r="E580" s="79"/>
      <c r="F580" s="79"/>
      <c r="G580" s="80"/>
      <c r="H580" s="80"/>
      <c r="I580" s="81"/>
      <c r="J580" s="81"/>
      <c r="K580" s="82"/>
      <c r="L580" s="80"/>
      <c r="M580" s="83"/>
      <c r="N580" s="77"/>
      <c r="O580" s="85"/>
      <c r="P580" s="77"/>
      <c r="Q580" s="77"/>
      <c r="R580" s="77"/>
      <c r="S580" s="77"/>
      <c r="T580" s="77"/>
      <c r="U580" s="77"/>
    </row>
    <row r="581" customFormat="false" ht="15.75" hidden="false" customHeight="true" outlineLevel="0" collapsed="false">
      <c r="A581" s="77"/>
      <c r="B581" s="57"/>
      <c r="C581" s="78"/>
      <c r="D581" s="78"/>
      <c r="E581" s="79"/>
      <c r="F581" s="79"/>
      <c r="G581" s="80"/>
      <c r="H581" s="80"/>
      <c r="I581" s="81"/>
      <c r="J581" s="81"/>
      <c r="K581" s="82"/>
      <c r="L581" s="80"/>
      <c r="M581" s="83"/>
      <c r="N581" s="77"/>
      <c r="O581" s="85"/>
      <c r="P581" s="77"/>
      <c r="Q581" s="77"/>
      <c r="R581" s="77"/>
      <c r="S581" s="77"/>
      <c r="T581" s="77"/>
      <c r="U581" s="77"/>
    </row>
    <row r="582" customFormat="false" ht="15.75" hidden="false" customHeight="true" outlineLevel="0" collapsed="false">
      <c r="A582" s="77"/>
      <c r="B582" s="57"/>
      <c r="C582" s="78"/>
      <c r="D582" s="78"/>
      <c r="E582" s="79"/>
      <c r="F582" s="79"/>
      <c r="G582" s="80"/>
      <c r="H582" s="80"/>
      <c r="I582" s="81"/>
      <c r="J582" s="81"/>
      <c r="K582" s="82"/>
      <c r="L582" s="80"/>
      <c r="M582" s="83"/>
      <c r="N582" s="77"/>
      <c r="O582" s="85"/>
      <c r="P582" s="77"/>
      <c r="Q582" s="77"/>
      <c r="R582" s="77"/>
      <c r="S582" s="77"/>
      <c r="T582" s="77"/>
      <c r="U582" s="77"/>
    </row>
    <row r="583" customFormat="false" ht="15.75" hidden="false" customHeight="true" outlineLevel="0" collapsed="false">
      <c r="A583" s="77"/>
      <c r="B583" s="57"/>
      <c r="C583" s="78"/>
      <c r="D583" s="78"/>
      <c r="E583" s="79"/>
      <c r="F583" s="79"/>
      <c r="G583" s="80"/>
      <c r="H583" s="80"/>
      <c r="I583" s="81"/>
      <c r="J583" s="81"/>
      <c r="K583" s="82"/>
      <c r="L583" s="80"/>
      <c r="M583" s="83"/>
      <c r="N583" s="77"/>
      <c r="O583" s="85"/>
      <c r="P583" s="77"/>
      <c r="Q583" s="77"/>
      <c r="R583" s="77"/>
      <c r="S583" s="77"/>
      <c r="T583" s="77"/>
      <c r="U583" s="77"/>
    </row>
    <row r="584" customFormat="false" ht="15.75" hidden="false" customHeight="true" outlineLevel="0" collapsed="false">
      <c r="A584" s="77"/>
      <c r="B584" s="57"/>
      <c r="C584" s="78"/>
      <c r="D584" s="78"/>
      <c r="E584" s="79"/>
      <c r="F584" s="79"/>
      <c r="G584" s="80"/>
      <c r="H584" s="80"/>
      <c r="I584" s="81"/>
      <c r="J584" s="81"/>
      <c r="K584" s="82"/>
      <c r="L584" s="80"/>
      <c r="M584" s="83"/>
      <c r="N584" s="77"/>
      <c r="O584" s="85"/>
      <c r="P584" s="77"/>
      <c r="Q584" s="77"/>
      <c r="R584" s="77"/>
      <c r="S584" s="77"/>
      <c r="T584" s="77"/>
      <c r="U584" s="77"/>
    </row>
    <row r="585" customFormat="false" ht="15.75" hidden="false" customHeight="true" outlineLevel="0" collapsed="false">
      <c r="A585" s="77"/>
      <c r="B585" s="57"/>
      <c r="C585" s="78"/>
      <c r="D585" s="78"/>
      <c r="E585" s="79"/>
      <c r="F585" s="79"/>
      <c r="G585" s="80"/>
      <c r="H585" s="80"/>
      <c r="I585" s="81"/>
      <c r="J585" s="81"/>
      <c r="K585" s="82"/>
      <c r="L585" s="80"/>
      <c r="M585" s="83"/>
      <c r="N585" s="77"/>
      <c r="O585" s="85"/>
      <c r="P585" s="77"/>
      <c r="Q585" s="77"/>
      <c r="R585" s="77"/>
      <c r="S585" s="77"/>
      <c r="T585" s="77"/>
      <c r="U585" s="77"/>
    </row>
    <row r="586" customFormat="false" ht="15.75" hidden="false" customHeight="true" outlineLevel="0" collapsed="false">
      <c r="A586" s="77"/>
      <c r="B586" s="57"/>
      <c r="C586" s="78"/>
      <c r="D586" s="78"/>
      <c r="E586" s="79"/>
      <c r="F586" s="79"/>
      <c r="G586" s="80"/>
      <c r="H586" s="80"/>
      <c r="I586" s="81"/>
      <c r="J586" s="81"/>
      <c r="K586" s="82"/>
      <c r="L586" s="80"/>
      <c r="M586" s="83"/>
      <c r="N586" s="77"/>
      <c r="O586" s="85"/>
      <c r="P586" s="77"/>
      <c r="Q586" s="77"/>
      <c r="R586" s="77"/>
      <c r="S586" s="77"/>
      <c r="T586" s="77"/>
      <c r="U586" s="77"/>
    </row>
    <row r="587" customFormat="false" ht="15.75" hidden="false" customHeight="true" outlineLevel="0" collapsed="false">
      <c r="A587" s="77"/>
      <c r="B587" s="57"/>
      <c r="C587" s="78"/>
      <c r="D587" s="78"/>
      <c r="E587" s="79"/>
      <c r="F587" s="79"/>
      <c r="G587" s="80"/>
      <c r="H587" s="80"/>
      <c r="I587" s="81"/>
      <c r="J587" s="81"/>
      <c r="K587" s="82"/>
      <c r="L587" s="80"/>
      <c r="M587" s="83"/>
      <c r="N587" s="77"/>
      <c r="O587" s="85"/>
      <c r="P587" s="77"/>
      <c r="Q587" s="77"/>
      <c r="R587" s="77"/>
      <c r="S587" s="77"/>
      <c r="T587" s="77"/>
      <c r="U587" s="77"/>
    </row>
    <row r="588" customFormat="false" ht="15.75" hidden="false" customHeight="true" outlineLevel="0" collapsed="false">
      <c r="A588" s="77"/>
      <c r="B588" s="57"/>
      <c r="C588" s="78"/>
      <c r="D588" s="78"/>
      <c r="E588" s="79"/>
      <c r="F588" s="79"/>
      <c r="G588" s="80"/>
      <c r="H588" s="80"/>
      <c r="I588" s="81"/>
      <c r="J588" s="81"/>
      <c r="K588" s="82"/>
      <c r="L588" s="80"/>
      <c r="M588" s="83"/>
      <c r="N588" s="77"/>
      <c r="O588" s="85"/>
      <c r="P588" s="77"/>
      <c r="Q588" s="77"/>
      <c r="R588" s="77"/>
      <c r="S588" s="77"/>
      <c r="T588" s="77"/>
      <c r="U588" s="77"/>
    </row>
    <row r="589" customFormat="false" ht="15.75" hidden="false" customHeight="true" outlineLevel="0" collapsed="false">
      <c r="A589" s="77"/>
      <c r="B589" s="57"/>
      <c r="C589" s="78"/>
      <c r="D589" s="78"/>
      <c r="E589" s="79"/>
      <c r="F589" s="79"/>
      <c r="G589" s="80"/>
      <c r="H589" s="80"/>
      <c r="I589" s="81"/>
      <c r="J589" s="81"/>
      <c r="K589" s="82"/>
      <c r="L589" s="80"/>
      <c r="M589" s="83"/>
      <c r="N589" s="77"/>
      <c r="O589" s="85"/>
      <c r="P589" s="77"/>
      <c r="Q589" s="77"/>
      <c r="R589" s="77"/>
      <c r="S589" s="77"/>
      <c r="T589" s="77"/>
      <c r="U589" s="77"/>
    </row>
    <row r="590" customFormat="false" ht="15.75" hidden="false" customHeight="true" outlineLevel="0" collapsed="false">
      <c r="A590" s="77"/>
      <c r="B590" s="57"/>
      <c r="C590" s="78"/>
      <c r="D590" s="78"/>
      <c r="E590" s="79"/>
      <c r="F590" s="79"/>
      <c r="G590" s="80"/>
      <c r="H590" s="80"/>
      <c r="I590" s="81"/>
      <c r="J590" s="81"/>
      <c r="K590" s="82"/>
      <c r="L590" s="80"/>
      <c r="M590" s="83"/>
      <c r="N590" s="77"/>
      <c r="O590" s="85"/>
      <c r="P590" s="77"/>
      <c r="Q590" s="77"/>
      <c r="R590" s="77"/>
      <c r="S590" s="77"/>
      <c r="T590" s="77"/>
      <c r="U590" s="77"/>
    </row>
    <row r="591" customFormat="false" ht="15.75" hidden="false" customHeight="true" outlineLevel="0" collapsed="false">
      <c r="A591" s="77"/>
      <c r="B591" s="57"/>
      <c r="C591" s="78"/>
      <c r="D591" s="78"/>
      <c r="E591" s="79"/>
      <c r="F591" s="79"/>
      <c r="G591" s="80"/>
      <c r="H591" s="80"/>
      <c r="I591" s="81"/>
      <c r="J591" s="81"/>
      <c r="K591" s="82"/>
      <c r="L591" s="80"/>
      <c r="M591" s="83"/>
      <c r="N591" s="77"/>
      <c r="O591" s="85"/>
      <c r="P591" s="77"/>
      <c r="Q591" s="77"/>
      <c r="R591" s="77"/>
      <c r="S591" s="77"/>
      <c r="T591" s="77"/>
      <c r="U591" s="77"/>
    </row>
    <row r="592" customFormat="false" ht="15.75" hidden="false" customHeight="true" outlineLevel="0" collapsed="false">
      <c r="A592" s="77"/>
      <c r="B592" s="57"/>
      <c r="C592" s="78"/>
      <c r="D592" s="78"/>
      <c r="E592" s="79"/>
      <c r="F592" s="79"/>
      <c r="G592" s="80"/>
      <c r="H592" s="80"/>
      <c r="I592" s="81"/>
      <c r="J592" s="81"/>
      <c r="K592" s="82"/>
      <c r="L592" s="80"/>
      <c r="M592" s="83"/>
      <c r="N592" s="77"/>
      <c r="O592" s="85"/>
      <c r="P592" s="77"/>
      <c r="Q592" s="77"/>
      <c r="R592" s="77"/>
      <c r="S592" s="77"/>
      <c r="T592" s="77"/>
      <c r="U592" s="77"/>
    </row>
    <row r="593" customFormat="false" ht="15.75" hidden="false" customHeight="true" outlineLevel="0" collapsed="false">
      <c r="A593" s="77"/>
      <c r="B593" s="57"/>
      <c r="C593" s="78"/>
      <c r="D593" s="78"/>
      <c r="E593" s="79"/>
      <c r="F593" s="79"/>
      <c r="G593" s="80"/>
      <c r="H593" s="80"/>
      <c r="I593" s="81"/>
      <c r="J593" s="81"/>
      <c r="K593" s="82"/>
      <c r="L593" s="80"/>
      <c r="M593" s="83"/>
      <c r="N593" s="77"/>
      <c r="O593" s="85"/>
      <c r="P593" s="77"/>
      <c r="Q593" s="77"/>
      <c r="R593" s="77"/>
      <c r="S593" s="77"/>
      <c r="T593" s="77"/>
      <c r="U593" s="77"/>
    </row>
    <row r="594" customFormat="false" ht="15.75" hidden="false" customHeight="true" outlineLevel="0" collapsed="false">
      <c r="A594" s="77"/>
      <c r="B594" s="57"/>
      <c r="C594" s="78"/>
      <c r="D594" s="78"/>
      <c r="E594" s="79"/>
      <c r="F594" s="79"/>
      <c r="G594" s="80"/>
      <c r="H594" s="80"/>
      <c r="I594" s="81"/>
      <c r="J594" s="81"/>
      <c r="K594" s="82"/>
      <c r="L594" s="80"/>
      <c r="M594" s="83"/>
      <c r="N594" s="77"/>
      <c r="O594" s="85"/>
      <c r="P594" s="77"/>
      <c r="Q594" s="77"/>
      <c r="R594" s="77"/>
      <c r="S594" s="77"/>
      <c r="T594" s="77"/>
      <c r="U594" s="77"/>
    </row>
    <row r="595" customFormat="false" ht="15.75" hidden="false" customHeight="true" outlineLevel="0" collapsed="false">
      <c r="A595" s="77"/>
      <c r="B595" s="57"/>
      <c r="C595" s="78"/>
      <c r="D595" s="78"/>
      <c r="E595" s="79"/>
      <c r="F595" s="79"/>
      <c r="G595" s="80"/>
      <c r="H595" s="80"/>
      <c r="I595" s="81"/>
      <c r="J595" s="81"/>
      <c r="K595" s="82"/>
      <c r="L595" s="80"/>
      <c r="M595" s="83"/>
      <c r="N595" s="77"/>
      <c r="O595" s="85"/>
      <c r="P595" s="77"/>
      <c r="Q595" s="77"/>
      <c r="R595" s="77"/>
      <c r="S595" s="77"/>
      <c r="T595" s="77"/>
      <c r="U595" s="77"/>
    </row>
    <row r="596" customFormat="false" ht="15.75" hidden="false" customHeight="true" outlineLevel="0" collapsed="false">
      <c r="A596" s="77"/>
      <c r="B596" s="57"/>
      <c r="C596" s="78"/>
      <c r="D596" s="78"/>
      <c r="E596" s="79"/>
      <c r="F596" s="79"/>
      <c r="G596" s="80"/>
      <c r="H596" s="80"/>
      <c r="I596" s="81"/>
      <c r="J596" s="81"/>
      <c r="K596" s="82"/>
      <c r="L596" s="80"/>
      <c r="M596" s="83"/>
      <c r="N596" s="77"/>
      <c r="O596" s="85"/>
      <c r="P596" s="77"/>
      <c r="Q596" s="77"/>
      <c r="R596" s="77"/>
      <c r="S596" s="77"/>
      <c r="T596" s="77"/>
      <c r="U596" s="77"/>
    </row>
    <row r="597" customFormat="false" ht="15.75" hidden="false" customHeight="true" outlineLevel="0" collapsed="false">
      <c r="A597" s="77"/>
      <c r="B597" s="57"/>
      <c r="C597" s="78"/>
      <c r="D597" s="78"/>
      <c r="E597" s="79"/>
      <c r="F597" s="79"/>
      <c r="G597" s="80"/>
      <c r="H597" s="80"/>
      <c r="I597" s="81"/>
      <c r="J597" s="81"/>
      <c r="K597" s="82"/>
      <c r="L597" s="80"/>
      <c r="M597" s="83"/>
      <c r="N597" s="77"/>
      <c r="O597" s="85"/>
      <c r="P597" s="77"/>
      <c r="Q597" s="77"/>
      <c r="R597" s="77"/>
      <c r="S597" s="77"/>
      <c r="T597" s="77"/>
      <c r="U597" s="77"/>
    </row>
    <row r="598" customFormat="false" ht="15.75" hidden="false" customHeight="true" outlineLevel="0" collapsed="false">
      <c r="A598" s="77"/>
      <c r="B598" s="57"/>
      <c r="C598" s="78"/>
      <c r="D598" s="78"/>
      <c r="E598" s="79"/>
      <c r="F598" s="79"/>
      <c r="G598" s="80"/>
      <c r="H598" s="80"/>
      <c r="I598" s="81"/>
      <c r="J598" s="81"/>
      <c r="K598" s="82"/>
      <c r="L598" s="80"/>
      <c r="M598" s="83"/>
      <c r="N598" s="77"/>
      <c r="O598" s="85"/>
      <c r="P598" s="77"/>
      <c r="Q598" s="77"/>
      <c r="R598" s="77"/>
      <c r="S598" s="77"/>
      <c r="T598" s="77"/>
      <c r="U598" s="77"/>
    </row>
    <row r="599" customFormat="false" ht="15.75" hidden="false" customHeight="true" outlineLevel="0" collapsed="false">
      <c r="A599" s="77"/>
      <c r="B599" s="57"/>
      <c r="C599" s="78"/>
      <c r="D599" s="78"/>
      <c r="E599" s="79"/>
      <c r="F599" s="79"/>
      <c r="G599" s="80"/>
      <c r="H599" s="80"/>
      <c r="I599" s="81"/>
      <c r="J599" s="81"/>
      <c r="K599" s="82"/>
      <c r="L599" s="80"/>
      <c r="M599" s="83"/>
      <c r="N599" s="77"/>
      <c r="O599" s="85"/>
      <c r="P599" s="77"/>
      <c r="Q599" s="77"/>
      <c r="R599" s="77"/>
      <c r="S599" s="77"/>
      <c r="T599" s="77"/>
      <c r="U599" s="77"/>
    </row>
    <row r="600" customFormat="false" ht="15.75" hidden="false" customHeight="true" outlineLevel="0" collapsed="false">
      <c r="A600" s="77"/>
      <c r="B600" s="57"/>
      <c r="C600" s="78"/>
      <c r="D600" s="78"/>
      <c r="E600" s="79"/>
      <c r="F600" s="79"/>
      <c r="G600" s="80"/>
      <c r="H600" s="80"/>
      <c r="I600" s="81"/>
      <c r="J600" s="81"/>
      <c r="K600" s="82"/>
      <c r="L600" s="80"/>
      <c r="M600" s="83"/>
      <c r="N600" s="77"/>
      <c r="O600" s="85"/>
      <c r="P600" s="77"/>
      <c r="Q600" s="77"/>
      <c r="R600" s="77"/>
      <c r="S600" s="77"/>
      <c r="T600" s="77"/>
      <c r="U600" s="77"/>
    </row>
    <row r="601" customFormat="false" ht="15.75" hidden="false" customHeight="true" outlineLevel="0" collapsed="false">
      <c r="A601" s="77"/>
      <c r="B601" s="57"/>
      <c r="C601" s="78"/>
      <c r="D601" s="78"/>
      <c r="E601" s="79"/>
      <c r="F601" s="79"/>
      <c r="G601" s="80"/>
      <c r="H601" s="80"/>
      <c r="I601" s="81"/>
      <c r="J601" s="81"/>
      <c r="K601" s="82"/>
      <c r="L601" s="80"/>
      <c r="M601" s="83"/>
      <c r="N601" s="77"/>
      <c r="O601" s="85"/>
      <c r="P601" s="77"/>
      <c r="Q601" s="77"/>
      <c r="R601" s="77"/>
      <c r="S601" s="77"/>
      <c r="T601" s="77"/>
      <c r="U601" s="77"/>
    </row>
    <row r="602" customFormat="false" ht="15.75" hidden="false" customHeight="true" outlineLevel="0" collapsed="false">
      <c r="A602" s="77"/>
      <c r="B602" s="57"/>
      <c r="C602" s="78"/>
      <c r="D602" s="78"/>
      <c r="E602" s="79"/>
      <c r="F602" s="79"/>
      <c r="G602" s="80"/>
      <c r="H602" s="80"/>
      <c r="I602" s="81"/>
      <c r="J602" s="81"/>
      <c r="K602" s="82"/>
      <c r="L602" s="80"/>
      <c r="M602" s="83"/>
      <c r="N602" s="77"/>
      <c r="O602" s="85"/>
      <c r="P602" s="77"/>
      <c r="Q602" s="77"/>
      <c r="R602" s="77"/>
      <c r="S602" s="77"/>
      <c r="T602" s="77"/>
      <c r="U602" s="77"/>
    </row>
    <row r="603" customFormat="false" ht="15.75" hidden="false" customHeight="true" outlineLevel="0" collapsed="false">
      <c r="A603" s="77"/>
      <c r="B603" s="57"/>
      <c r="C603" s="78"/>
      <c r="D603" s="78"/>
      <c r="E603" s="79"/>
      <c r="F603" s="79"/>
      <c r="G603" s="80"/>
      <c r="H603" s="80"/>
      <c r="I603" s="81"/>
      <c r="J603" s="81"/>
      <c r="K603" s="82"/>
      <c r="L603" s="80"/>
      <c r="M603" s="83"/>
      <c r="N603" s="77"/>
      <c r="O603" s="85"/>
      <c r="P603" s="77"/>
      <c r="Q603" s="77"/>
      <c r="R603" s="77"/>
      <c r="S603" s="77"/>
      <c r="T603" s="77"/>
      <c r="U603" s="77"/>
    </row>
    <row r="604" customFormat="false" ht="15.75" hidden="false" customHeight="true" outlineLevel="0" collapsed="false">
      <c r="A604" s="77"/>
      <c r="B604" s="57"/>
      <c r="C604" s="78"/>
      <c r="D604" s="78"/>
      <c r="E604" s="79"/>
      <c r="F604" s="79"/>
      <c r="G604" s="80"/>
      <c r="H604" s="80"/>
      <c r="I604" s="81"/>
      <c r="J604" s="81"/>
      <c r="K604" s="82"/>
      <c r="L604" s="80"/>
      <c r="M604" s="83"/>
      <c r="N604" s="77"/>
      <c r="O604" s="85"/>
      <c r="P604" s="77"/>
      <c r="Q604" s="77"/>
      <c r="R604" s="77"/>
      <c r="S604" s="77"/>
      <c r="T604" s="77"/>
      <c r="U604" s="77"/>
    </row>
    <row r="605" customFormat="false" ht="15.75" hidden="false" customHeight="true" outlineLevel="0" collapsed="false">
      <c r="A605" s="86"/>
      <c r="B605" s="59"/>
      <c r="C605" s="87"/>
      <c r="D605" s="87"/>
      <c r="E605" s="88"/>
      <c r="F605" s="88"/>
      <c r="G605" s="89"/>
      <c r="H605" s="89"/>
      <c r="I605" s="90"/>
      <c r="J605" s="90"/>
      <c r="K605" s="91"/>
      <c r="L605" s="89"/>
      <c r="M605" s="92"/>
      <c r="N605" s="86"/>
      <c r="O605" s="93"/>
      <c r="P605" s="77"/>
      <c r="Q605" s="77"/>
      <c r="R605" s="77"/>
      <c r="S605" s="77"/>
      <c r="T605" s="77"/>
      <c r="U605" s="77"/>
    </row>
    <row r="606" customFormat="false" ht="15.75" hidden="false" customHeight="true" outlineLevel="0" collapsed="false">
      <c r="A606" s="86"/>
      <c r="B606" s="59"/>
      <c r="C606" s="87"/>
      <c r="D606" s="87"/>
      <c r="E606" s="88"/>
      <c r="F606" s="88"/>
      <c r="G606" s="89"/>
      <c r="H606" s="89"/>
      <c r="I606" s="90"/>
      <c r="J606" s="90"/>
      <c r="K606" s="91"/>
      <c r="L606" s="89"/>
      <c r="M606" s="92"/>
      <c r="N606" s="86"/>
      <c r="O606" s="93"/>
      <c r="P606" s="77"/>
      <c r="Q606" s="77"/>
      <c r="R606" s="77"/>
      <c r="S606" s="77"/>
      <c r="T606" s="77"/>
      <c r="U606" s="77"/>
    </row>
    <row r="607" customFormat="false" ht="15.75" hidden="false" customHeight="true" outlineLevel="0" collapsed="false">
      <c r="A607" s="86"/>
      <c r="B607" s="59"/>
      <c r="C607" s="87"/>
      <c r="D607" s="87"/>
      <c r="E607" s="88"/>
      <c r="F607" s="88"/>
      <c r="G607" s="89"/>
      <c r="H607" s="89"/>
      <c r="I607" s="90"/>
      <c r="J607" s="90"/>
      <c r="K607" s="91"/>
      <c r="L607" s="89"/>
      <c r="M607" s="92"/>
      <c r="N607" s="86"/>
      <c r="O607" s="93"/>
      <c r="P607" s="77"/>
      <c r="Q607" s="77"/>
      <c r="R607" s="77"/>
      <c r="S607" s="77"/>
      <c r="T607" s="77"/>
      <c r="U607" s="77"/>
    </row>
    <row r="608" customFormat="false" ht="15.75" hidden="false" customHeight="true" outlineLevel="0" collapsed="false">
      <c r="A608" s="94"/>
      <c r="B608" s="59"/>
      <c r="C608" s="87"/>
      <c r="D608" s="87"/>
      <c r="E608" s="88"/>
      <c r="F608" s="88"/>
      <c r="G608" s="89"/>
      <c r="H608" s="89"/>
      <c r="I608" s="90"/>
      <c r="J608" s="90"/>
      <c r="K608" s="91"/>
      <c r="L608" s="89"/>
      <c r="M608" s="92"/>
      <c r="N608" s="86"/>
      <c r="O608" s="93"/>
      <c r="P608" s="77"/>
      <c r="Q608" s="77"/>
      <c r="R608" s="77"/>
      <c r="S608" s="77"/>
      <c r="T608" s="77"/>
      <c r="U608" s="77"/>
    </row>
    <row r="609" customFormat="false" ht="15.75" hidden="false" customHeight="true" outlineLevel="0" collapsed="false">
      <c r="A609" s="95"/>
      <c r="B609" s="96"/>
      <c r="C609" s="96"/>
      <c r="D609" s="88"/>
      <c r="E609" s="88"/>
      <c r="F609" s="89"/>
      <c r="G609" s="89"/>
      <c r="H609" s="90"/>
      <c r="I609" s="90"/>
      <c r="J609" s="91"/>
      <c r="K609" s="89"/>
      <c r="L609" s="92"/>
      <c r="N609" s="86"/>
      <c r="O609" s="93"/>
      <c r="P609" s="77"/>
      <c r="Q609" s="77"/>
      <c r="R609" s="77"/>
      <c r="S609" s="77"/>
      <c r="T609" s="77"/>
      <c r="U609" s="77"/>
    </row>
    <row r="610" customFormat="false" ht="15.75" hidden="false" customHeight="true" outlineLevel="0" collapsed="false">
      <c r="A610" s="95"/>
      <c r="B610" s="87"/>
      <c r="C610" s="87"/>
      <c r="D610" s="88"/>
      <c r="E610" s="88"/>
      <c r="F610" s="89"/>
      <c r="G610" s="89"/>
      <c r="H610" s="90"/>
      <c r="I610" s="90"/>
      <c r="J610" s="91"/>
      <c r="K610" s="89"/>
      <c r="L610" s="92"/>
      <c r="N610" s="86"/>
      <c r="O610" s="93"/>
      <c r="P610" s="77"/>
      <c r="Q610" s="77"/>
      <c r="R610" s="77"/>
      <c r="S610" s="77"/>
      <c r="T610" s="77"/>
      <c r="U610" s="77"/>
    </row>
    <row r="611" customFormat="false" ht="15.75" hidden="false" customHeight="true" outlineLevel="0" collapsed="false">
      <c r="A611" s="94"/>
      <c r="B611" s="59"/>
      <c r="C611" s="87"/>
      <c r="D611" s="87"/>
      <c r="E611" s="88"/>
      <c r="F611" s="88"/>
      <c r="G611" s="89"/>
      <c r="H611" s="89"/>
      <c r="I611" s="90"/>
      <c r="J611" s="90"/>
      <c r="K611" s="91"/>
      <c r="L611" s="89"/>
      <c r="M611" s="92"/>
      <c r="N611" s="86"/>
      <c r="O611" s="93"/>
      <c r="P611" s="77"/>
      <c r="Q611" s="77"/>
      <c r="R611" s="77"/>
      <c r="S611" s="77"/>
      <c r="T611" s="77"/>
      <c r="U611" s="77"/>
    </row>
    <row r="612" customFormat="false" ht="15.75" hidden="false" customHeight="true" outlineLevel="0" collapsed="false">
      <c r="A612" s="94"/>
      <c r="B612" s="59"/>
      <c r="C612" s="87"/>
      <c r="D612" s="87"/>
      <c r="E612" s="88"/>
      <c r="F612" s="88"/>
      <c r="G612" s="89"/>
      <c r="H612" s="89"/>
      <c r="I612" s="90"/>
      <c r="J612" s="90"/>
      <c r="K612" s="91"/>
      <c r="L612" s="89"/>
      <c r="M612" s="92"/>
      <c r="N612" s="86"/>
      <c r="O612" s="93"/>
      <c r="P612" s="77"/>
      <c r="Q612" s="77"/>
      <c r="R612" s="77"/>
      <c r="S612" s="77"/>
      <c r="T612" s="77"/>
      <c r="U612" s="77"/>
    </row>
    <row r="613" customFormat="false" ht="15.75" hidden="false" customHeight="true" outlineLevel="0" collapsed="false">
      <c r="A613" s="94"/>
      <c r="B613" s="59"/>
      <c r="C613" s="87"/>
      <c r="D613" s="87"/>
      <c r="E613" s="88"/>
      <c r="F613" s="88"/>
      <c r="G613" s="89"/>
      <c r="H613" s="89"/>
      <c r="I613" s="90"/>
      <c r="J613" s="90"/>
      <c r="K613" s="91"/>
      <c r="L613" s="89"/>
      <c r="M613" s="92"/>
      <c r="N613" s="86"/>
      <c r="O613" s="93"/>
      <c r="P613" s="77"/>
      <c r="Q613" s="77"/>
      <c r="R613" s="77"/>
      <c r="S613" s="77"/>
      <c r="T613" s="77"/>
      <c r="U613" s="77"/>
    </row>
    <row r="614" customFormat="false" ht="15.75" hidden="false" customHeight="true" outlineLevel="0" collapsed="false">
      <c r="A614" s="94"/>
      <c r="B614" s="59"/>
      <c r="C614" s="87"/>
      <c r="D614" s="87"/>
      <c r="E614" s="88"/>
      <c r="F614" s="88"/>
      <c r="G614" s="89"/>
      <c r="H614" s="89"/>
      <c r="I614" s="90"/>
      <c r="J614" s="90"/>
      <c r="K614" s="91"/>
      <c r="L614" s="89"/>
      <c r="M614" s="92"/>
      <c r="N614" s="86"/>
      <c r="O614" s="93"/>
      <c r="P614" s="77"/>
      <c r="Q614" s="77"/>
      <c r="R614" s="77"/>
      <c r="S614" s="77"/>
      <c r="T614" s="77"/>
      <c r="U614" s="77"/>
    </row>
    <row r="615" customFormat="false" ht="15.75" hidden="false" customHeight="true" outlineLevel="0" collapsed="false">
      <c r="A615" s="94"/>
      <c r="B615" s="59"/>
      <c r="C615" s="87"/>
      <c r="D615" s="87"/>
      <c r="E615" s="88"/>
      <c r="F615" s="88"/>
      <c r="G615" s="89"/>
      <c r="H615" s="89"/>
      <c r="I615" s="90"/>
      <c r="J615" s="90"/>
      <c r="K615" s="91"/>
      <c r="L615" s="89"/>
      <c r="M615" s="92"/>
      <c r="N615" s="86"/>
      <c r="O615" s="93"/>
      <c r="P615" s="77"/>
      <c r="Q615" s="77"/>
      <c r="R615" s="77"/>
      <c r="S615" s="77"/>
      <c r="T615" s="77"/>
      <c r="U615" s="77"/>
    </row>
    <row r="616" customFormat="false" ht="15.75" hidden="false" customHeight="true" outlineLevel="0" collapsed="false">
      <c r="A616" s="94"/>
      <c r="B616" s="59"/>
      <c r="C616" s="87"/>
      <c r="D616" s="87"/>
      <c r="E616" s="88"/>
      <c r="F616" s="88"/>
      <c r="G616" s="89"/>
      <c r="H616" s="89"/>
      <c r="I616" s="90"/>
      <c r="J616" s="90"/>
      <c r="K616" s="91"/>
      <c r="L616" s="89"/>
      <c r="M616" s="92"/>
      <c r="N616" s="86"/>
      <c r="O616" s="93"/>
      <c r="P616" s="77"/>
      <c r="Q616" s="77"/>
      <c r="R616" s="77"/>
      <c r="S616" s="77"/>
      <c r="T616" s="77"/>
      <c r="U616" s="77"/>
    </row>
    <row r="617" customFormat="false" ht="15.75" hidden="false" customHeight="true" outlineLevel="0" collapsed="false">
      <c r="A617" s="94"/>
      <c r="B617" s="59"/>
      <c r="C617" s="87"/>
      <c r="D617" s="87"/>
      <c r="E617" s="88"/>
      <c r="F617" s="88"/>
      <c r="G617" s="89"/>
      <c r="H617" s="89"/>
      <c r="I617" s="90"/>
      <c r="J617" s="90"/>
      <c r="K617" s="91"/>
      <c r="L617" s="89"/>
      <c r="M617" s="92"/>
      <c r="N617" s="86"/>
      <c r="O617" s="93"/>
      <c r="P617" s="77"/>
      <c r="Q617" s="77"/>
      <c r="R617" s="77"/>
      <c r="S617" s="77"/>
      <c r="T617" s="77"/>
      <c r="U617" s="77"/>
    </row>
    <row r="618" customFormat="false" ht="15.75" hidden="false" customHeight="true" outlineLevel="0" collapsed="false">
      <c r="A618" s="94"/>
      <c r="B618" s="59"/>
      <c r="C618" s="87"/>
      <c r="D618" s="87"/>
      <c r="E618" s="88"/>
      <c r="F618" s="88"/>
      <c r="G618" s="89"/>
      <c r="H618" s="89"/>
      <c r="I618" s="90"/>
      <c r="J618" s="90"/>
      <c r="K618" s="91"/>
      <c r="L618" s="89"/>
      <c r="M618" s="92"/>
      <c r="N618" s="86"/>
      <c r="O618" s="93"/>
      <c r="P618" s="77"/>
      <c r="Q618" s="77"/>
      <c r="R618" s="77"/>
      <c r="S618" s="77"/>
      <c r="T618" s="77"/>
      <c r="U618" s="77"/>
    </row>
    <row r="619" customFormat="false" ht="15.75" hidden="false" customHeight="true" outlineLevel="0" collapsed="false">
      <c r="A619" s="94"/>
      <c r="B619" s="59"/>
      <c r="C619" s="87"/>
      <c r="D619" s="87"/>
      <c r="E619" s="88"/>
      <c r="F619" s="88"/>
      <c r="G619" s="89"/>
      <c r="H619" s="89"/>
      <c r="I619" s="90"/>
      <c r="J619" s="90"/>
      <c r="K619" s="91"/>
      <c r="L619" s="89"/>
      <c r="M619" s="92"/>
      <c r="N619" s="86"/>
      <c r="O619" s="93"/>
      <c r="P619" s="77"/>
      <c r="Q619" s="77"/>
      <c r="R619" s="77"/>
      <c r="S619" s="77"/>
      <c r="T619" s="77"/>
      <c r="U619" s="77"/>
    </row>
    <row r="620" customFormat="false" ht="15.75" hidden="false" customHeight="true" outlineLevel="0" collapsed="false">
      <c r="A620" s="94"/>
      <c r="B620" s="59"/>
      <c r="C620" s="87"/>
      <c r="D620" s="87"/>
      <c r="E620" s="88"/>
      <c r="F620" s="88"/>
      <c r="G620" s="89"/>
      <c r="H620" s="89"/>
      <c r="I620" s="90"/>
      <c r="J620" s="90"/>
      <c r="K620" s="91"/>
      <c r="L620" s="89"/>
      <c r="M620" s="92"/>
      <c r="N620" s="86"/>
      <c r="O620" s="93"/>
      <c r="P620" s="77"/>
      <c r="Q620" s="77"/>
      <c r="R620" s="77"/>
      <c r="S620" s="77"/>
      <c r="T620" s="77"/>
      <c r="U620" s="77"/>
    </row>
    <row r="621" customFormat="false" ht="15.75" hidden="false" customHeight="true" outlineLevel="0" collapsed="false">
      <c r="A621" s="86"/>
      <c r="B621" s="97"/>
      <c r="C621" s="96"/>
      <c r="D621" s="96"/>
      <c r="E621" s="86"/>
      <c r="F621" s="86"/>
      <c r="G621" s="86"/>
      <c r="H621" s="86"/>
      <c r="I621" s="86"/>
      <c r="J621" s="86"/>
      <c r="K621" s="86"/>
      <c r="L621" s="98"/>
      <c r="M621" s="96"/>
      <c r="N621" s="86"/>
      <c r="O621" s="86"/>
      <c r="P621" s="77"/>
      <c r="Q621" s="77"/>
      <c r="R621" s="77"/>
      <c r="S621" s="77"/>
      <c r="T621" s="77"/>
      <c r="U621" s="77"/>
    </row>
    <row r="622" customFormat="false" ht="15.75" hidden="false" customHeight="true" outlineLevel="0" collapsed="false">
      <c r="A622" s="86"/>
      <c r="B622" s="97"/>
      <c r="C622" s="96"/>
      <c r="D622" s="96"/>
      <c r="E622" s="86"/>
      <c r="F622" s="86"/>
      <c r="G622" s="86"/>
      <c r="H622" s="86"/>
      <c r="I622" s="86"/>
      <c r="J622" s="86"/>
      <c r="K622" s="86"/>
      <c r="L622" s="98"/>
      <c r="M622" s="96"/>
      <c r="N622" s="86"/>
      <c r="O622" s="86"/>
      <c r="P622" s="77"/>
      <c r="Q622" s="77"/>
      <c r="R622" s="77"/>
      <c r="S622" s="77"/>
      <c r="T622" s="77"/>
      <c r="U622" s="77"/>
    </row>
    <row r="623" customFormat="false" ht="15.75" hidden="false" customHeight="true" outlineLevel="0" collapsed="false">
      <c r="A623" s="86"/>
      <c r="B623" s="97"/>
      <c r="C623" s="96"/>
      <c r="D623" s="96"/>
      <c r="E623" s="86"/>
      <c r="F623" s="86"/>
      <c r="G623" s="86"/>
      <c r="H623" s="86"/>
      <c r="I623" s="86"/>
      <c r="J623" s="86"/>
      <c r="K623" s="86"/>
      <c r="L623" s="98"/>
      <c r="M623" s="96"/>
      <c r="N623" s="86"/>
      <c r="O623" s="86"/>
      <c r="P623" s="77"/>
      <c r="Q623" s="77"/>
      <c r="R623" s="77"/>
      <c r="S623" s="77"/>
      <c r="T623" s="77"/>
      <c r="U623" s="77"/>
    </row>
    <row r="624" customFormat="false" ht="15.75" hidden="false" customHeight="true" outlineLevel="0" collapsed="false">
      <c r="A624" s="86"/>
      <c r="B624" s="97"/>
      <c r="C624" s="96"/>
      <c r="D624" s="96"/>
      <c r="E624" s="86"/>
      <c r="F624" s="86"/>
      <c r="G624" s="86"/>
      <c r="H624" s="86"/>
      <c r="I624" s="86"/>
      <c r="J624" s="86"/>
      <c r="K624" s="86"/>
      <c r="L624" s="98"/>
      <c r="M624" s="96"/>
      <c r="N624" s="86"/>
      <c r="O624" s="86"/>
      <c r="P624" s="77"/>
      <c r="Q624" s="77"/>
      <c r="R624" s="77"/>
      <c r="S624" s="77"/>
      <c r="T624" s="77"/>
      <c r="U624" s="77"/>
    </row>
    <row r="625" customFormat="false" ht="15.75" hidden="false" customHeight="true" outlineLevel="0" collapsed="false">
      <c r="A625" s="86"/>
      <c r="B625" s="97"/>
      <c r="C625" s="96"/>
      <c r="D625" s="96"/>
      <c r="E625" s="86"/>
      <c r="F625" s="86"/>
      <c r="G625" s="86"/>
      <c r="H625" s="86"/>
      <c r="I625" s="86"/>
      <c r="J625" s="86"/>
      <c r="K625" s="86"/>
      <c r="L625" s="98"/>
      <c r="M625" s="96"/>
      <c r="N625" s="86"/>
      <c r="O625" s="86"/>
      <c r="P625" s="77"/>
      <c r="Q625" s="77"/>
      <c r="R625" s="77"/>
      <c r="S625" s="77"/>
      <c r="T625" s="77"/>
      <c r="U625" s="77"/>
    </row>
    <row r="626" customFormat="false" ht="15.75" hidden="false" customHeight="true" outlineLevel="0" collapsed="false">
      <c r="A626" s="86"/>
      <c r="B626" s="97"/>
      <c r="C626" s="96"/>
      <c r="D626" s="96"/>
      <c r="E626" s="86"/>
      <c r="F626" s="86"/>
      <c r="G626" s="86"/>
      <c r="H626" s="86"/>
      <c r="I626" s="86"/>
      <c r="J626" s="86"/>
      <c r="K626" s="86"/>
      <c r="L626" s="98"/>
      <c r="M626" s="96"/>
      <c r="N626" s="86"/>
      <c r="O626" s="86"/>
      <c r="P626" s="77"/>
      <c r="Q626" s="77"/>
      <c r="R626" s="77"/>
      <c r="S626" s="77"/>
      <c r="T626" s="77"/>
      <c r="U626" s="77"/>
    </row>
    <row r="627" customFormat="false" ht="15.75" hidden="false" customHeight="true" outlineLevel="0" collapsed="false">
      <c r="A627" s="86"/>
      <c r="B627" s="97"/>
      <c r="C627" s="96"/>
      <c r="D627" s="96"/>
      <c r="E627" s="86"/>
      <c r="F627" s="86"/>
      <c r="G627" s="86"/>
      <c r="H627" s="86"/>
      <c r="I627" s="86"/>
      <c r="J627" s="86"/>
      <c r="K627" s="86"/>
      <c r="L627" s="98"/>
      <c r="M627" s="96"/>
      <c r="N627" s="86"/>
      <c r="O627" s="86"/>
      <c r="P627" s="77"/>
      <c r="Q627" s="77"/>
      <c r="R627" s="77"/>
      <c r="S627" s="77"/>
      <c r="T627" s="77"/>
      <c r="U627" s="77"/>
    </row>
    <row r="628" customFormat="false" ht="15.75" hidden="false" customHeight="true" outlineLevel="0" collapsed="false">
      <c r="A628" s="86"/>
      <c r="B628" s="97"/>
      <c r="C628" s="96"/>
      <c r="D628" s="96"/>
      <c r="E628" s="86"/>
      <c r="F628" s="86"/>
      <c r="G628" s="86"/>
      <c r="H628" s="86"/>
      <c r="I628" s="86"/>
      <c r="J628" s="86"/>
      <c r="K628" s="86"/>
      <c r="L628" s="98"/>
      <c r="M628" s="96"/>
      <c r="N628" s="86"/>
      <c r="O628" s="86"/>
      <c r="P628" s="77"/>
      <c r="Q628" s="77"/>
      <c r="R628" s="77"/>
      <c r="S628" s="77"/>
      <c r="T628" s="77"/>
      <c r="U628" s="77"/>
    </row>
    <row r="629" customFormat="false" ht="15.75" hidden="false" customHeight="true" outlineLevel="0" collapsed="false">
      <c r="A629" s="86"/>
      <c r="B629" s="97"/>
      <c r="C629" s="96"/>
      <c r="D629" s="96"/>
      <c r="E629" s="86"/>
      <c r="F629" s="86"/>
      <c r="G629" s="86"/>
      <c r="H629" s="86"/>
      <c r="I629" s="86"/>
      <c r="J629" s="86"/>
      <c r="K629" s="86"/>
      <c r="L629" s="98"/>
      <c r="M629" s="96"/>
      <c r="N629" s="86"/>
      <c r="O629" s="86"/>
      <c r="P629" s="77"/>
      <c r="Q629" s="77"/>
      <c r="R629" s="77"/>
      <c r="S629" s="77"/>
      <c r="T629" s="77"/>
      <c r="U629" s="77"/>
    </row>
    <row r="630" customFormat="false" ht="15.75" hidden="false" customHeight="true" outlineLevel="0" collapsed="false">
      <c r="A630" s="86"/>
      <c r="B630" s="97"/>
      <c r="C630" s="96"/>
      <c r="D630" s="96"/>
      <c r="E630" s="86"/>
      <c r="F630" s="86"/>
      <c r="G630" s="86"/>
      <c r="H630" s="86"/>
      <c r="I630" s="86"/>
      <c r="J630" s="86"/>
      <c r="K630" s="86"/>
      <c r="L630" s="98"/>
      <c r="M630" s="96"/>
      <c r="N630" s="86"/>
      <c r="O630" s="86"/>
      <c r="P630" s="77"/>
      <c r="Q630" s="77"/>
      <c r="R630" s="77"/>
      <c r="S630" s="77"/>
      <c r="T630" s="77"/>
      <c r="U630" s="77"/>
    </row>
    <row r="631" customFormat="false" ht="15.75" hidden="false" customHeight="true" outlineLevel="0" collapsed="false">
      <c r="A631" s="86"/>
      <c r="B631" s="97"/>
      <c r="C631" s="96"/>
      <c r="D631" s="96"/>
      <c r="E631" s="86"/>
      <c r="F631" s="86"/>
      <c r="G631" s="86"/>
      <c r="H631" s="86"/>
      <c r="I631" s="86"/>
      <c r="J631" s="86"/>
      <c r="K631" s="86"/>
      <c r="L631" s="98"/>
      <c r="M631" s="96"/>
      <c r="N631" s="86"/>
      <c r="O631" s="86"/>
      <c r="P631" s="77"/>
      <c r="Q631" s="77"/>
      <c r="R631" s="77"/>
      <c r="S631" s="77"/>
      <c r="T631" s="77"/>
      <c r="U631" s="77"/>
    </row>
    <row r="632" customFormat="false" ht="15.75" hidden="false" customHeight="true" outlineLevel="0" collapsed="false">
      <c r="A632" s="86"/>
      <c r="B632" s="97"/>
      <c r="C632" s="96"/>
      <c r="D632" s="96"/>
      <c r="E632" s="86"/>
      <c r="F632" s="86"/>
      <c r="G632" s="86"/>
      <c r="H632" s="86"/>
      <c r="I632" s="86"/>
      <c r="J632" s="86"/>
      <c r="K632" s="86"/>
      <c r="L632" s="98"/>
      <c r="M632" s="96"/>
      <c r="N632" s="86"/>
      <c r="O632" s="86"/>
      <c r="P632" s="77"/>
      <c r="Q632" s="77"/>
      <c r="R632" s="77"/>
      <c r="S632" s="77"/>
      <c r="T632" s="77"/>
      <c r="U632" s="77"/>
    </row>
    <row r="633" customFormat="false" ht="15.75" hidden="false" customHeight="true" outlineLevel="0" collapsed="false">
      <c r="A633" s="86"/>
      <c r="B633" s="97"/>
      <c r="C633" s="96"/>
      <c r="D633" s="96"/>
      <c r="E633" s="86"/>
      <c r="F633" s="86"/>
      <c r="G633" s="86"/>
      <c r="H633" s="86"/>
      <c r="I633" s="86"/>
      <c r="J633" s="86"/>
      <c r="K633" s="86"/>
      <c r="L633" s="98"/>
      <c r="M633" s="96"/>
      <c r="N633" s="86"/>
      <c r="O633" s="86"/>
      <c r="P633" s="77"/>
      <c r="Q633" s="77"/>
      <c r="R633" s="77"/>
      <c r="S633" s="77"/>
      <c r="T633" s="77"/>
      <c r="U633" s="77"/>
    </row>
    <row r="634" customFormat="false" ht="15.75" hidden="false" customHeight="true" outlineLevel="0" collapsed="false">
      <c r="A634" s="86"/>
      <c r="B634" s="97"/>
      <c r="C634" s="96"/>
      <c r="D634" s="96"/>
      <c r="E634" s="86"/>
      <c r="F634" s="86"/>
      <c r="G634" s="86"/>
      <c r="H634" s="86"/>
      <c r="I634" s="86"/>
      <c r="J634" s="86"/>
      <c r="K634" s="86"/>
      <c r="L634" s="98"/>
      <c r="M634" s="96"/>
      <c r="N634" s="86"/>
      <c r="O634" s="86"/>
      <c r="P634" s="77"/>
      <c r="Q634" s="77"/>
      <c r="R634" s="77"/>
      <c r="S634" s="77"/>
      <c r="T634" s="77"/>
      <c r="U634" s="77"/>
    </row>
    <row r="635" customFormat="false" ht="15.75" hidden="false" customHeight="true" outlineLevel="0" collapsed="false">
      <c r="A635" s="86"/>
      <c r="B635" s="97"/>
      <c r="C635" s="96"/>
      <c r="D635" s="96"/>
      <c r="E635" s="86"/>
      <c r="F635" s="86"/>
      <c r="G635" s="86"/>
      <c r="H635" s="86"/>
      <c r="I635" s="86"/>
      <c r="J635" s="86"/>
      <c r="K635" s="86"/>
      <c r="L635" s="98"/>
      <c r="M635" s="96"/>
      <c r="N635" s="86"/>
      <c r="O635" s="86"/>
      <c r="P635" s="77"/>
      <c r="Q635" s="77"/>
      <c r="R635" s="77"/>
      <c r="S635" s="77"/>
      <c r="T635" s="77"/>
      <c r="U635" s="77"/>
    </row>
    <row r="636" customFormat="false" ht="15.75" hidden="false" customHeight="true" outlineLevel="0" collapsed="false">
      <c r="A636" s="86"/>
      <c r="B636" s="97"/>
      <c r="C636" s="96"/>
      <c r="D636" s="96"/>
      <c r="E636" s="86"/>
      <c r="F636" s="86"/>
      <c r="G636" s="86"/>
      <c r="H636" s="86"/>
      <c r="I636" s="86"/>
      <c r="J636" s="86"/>
      <c r="K636" s="86"/>
      <c r="L636" s="98"/>
      <c r="M636" s="96"/>
      <c r="N636" s="86"/>
      <c r="O636" s="86"/>
      <c r="P636" s="77"/>
      <c r="Q636" s="77"/>
      <c r="R636" s="77"/>
      <c r="S636" s="77"/>
      <c r="T636" s="77"/>
      <c r="U636" s="77"/>
    </row>
    <row r="637" customFormat="false" ht="15.75" hidden="false" customHeight="true" outlineLevel="0" collapsed="false">
      <c r="A637" s="86"/>
      <c r="B637" s="97"/>
      <c r="C637" s="96"/>
      <c r="D637" s="96"/>
      <c r="E637" s="86"/>
      <c r="F637" s="86"/>
      <c r="G637" s="86"/>
      <c r="H637" s="86"/>
      <c r="I637" s="86"/>
      <c r="J637" s="86"/>
      <c r="K637" s="86"/>
      <c r="L637" s="98"/>
      <c r="M637" s="96"/>
      <c r="N637" s="86"/>
      <c r="O637" s="86"/>
      <c r="P637" s="77"/>
      <c r="Q637" s="77"/>
      <c r="R637" s="77"/>
      <c r="S637" s="77"/>
      <c r="T637" s="77"/>
      <c r="U637" s="77"/>
    </row>
    <row r="638" customFormat="false" ht="15.75" hidden="false" customHeight="true" outlineLevel="0" collapsed="false">
      <c r="A638" s="77"/>
      <c r="B638" s="99"/>
      <c r="C638" s="100"/>
      <c r="D638" s="100"/>
      <c r="E638" s="77"/>
      <c r="F638" s="77"/>
      <c r="G638" s="77"/>
      <c r="H638" s="77"/>
      <c r="I638" s="77"/>
      <c r="J638" s="77"/>
      <c r="K638" s="77"/>
      <c r="L638" s="101"/>
      <c r="M638" s="100"/>
      <c r="N638" s="77"/>
      <c r="O638" s="77"/>
      <c r="P638" s="77"/>
      <c r="Q638" s="77"/>
      <c r="R638" s="77"/>
      <c r="S638" s="77"/>
      <c r="T638" s="77"/>
      <c r="U638" s="77"/>
    </row>
    <row r="639" customFormat="false" ht="15.75" hidden="false" customHeight="true" outlineLevel="0" collapsed="false">
      <c r="A639" s="77"/>
      <c r="B639" s="99"/>
      <c r="C639" s="100"/>
      <c r="D639" s="100"/>
      <c r="E639" s="77"/>
      <c r="F639" s="77"/>
      <c r="G639" s="77"/>
      <c r="H639" s="77"/>
      <c r="I639" s="77"/>
      <c r="J639" s="77"/>
      <c r="K639" s="77"/>
      <c r="L639" s="101"/>
      <c r="M639" s="100"/>
      <c r="N639" s="77"/>
      <c r="O639" s="77"/>
      <c r="P639" s="77"/>
      <c r="Q639" s="77"/>
      <c r="R639" s="77"/>
      <c r="S639" s="77"/>
      <c r="T639" s="77"/>
      <c r="U639" s="77"/>
    </row>
    <row r="640" customFormat="false" ht="15.75" hidden="false" customHeight="true" outlineLevel="0" collapsed="false">
      <c r="A640" s="77"/>
      <c r="B640" s="99"/>
      <c r="C640" s="100"/>
      <c r="D640" s="100"/>
      <c r="E640" s="77"/>
      <c r="F640" s="77"/>
      <c r="G640" s="77"/>
      <c r="H640" s="77"/>
      <c r="I640" s="77"/>
      <c r="J640" s="77"/>
      <c r="K640" s="77"/>
      <c r="L640" s="101"/>
      <c r="M640" s="100"/>
      <c r="N640" s="77"/>
      <c r="O640" s="77"/>
      <c r="P640" s="77"/>
      <c r="Q640" s="77"/>
      <c r="R640" s="77"/>
      <c r="S640" s="77"/>
      <c r="T640" s="77"/>
      <c r="U640" s="77"/>
    </row>
    <row r="641" customFormat="false" ht="15.75" hidden="false" customHeight="true" outlineLevel="0" collapsed="false">
      <c r="A641" s="77"/>
      <c r="B641" s="99"/>
      <c r="C641" s="100"/>
      <c r="D641" s="100"/>
      <c r="E641" s="77"/>
      <c r="F641" s="77"/>
      <c r="G641" s="77"/>
      <c r="H641" s="77"/>
      <c r="I641" s="77"/>
      <c r="J641" s="77"/>
      <c r="K641" s="77"/>
      <c r="L641" s="101"/>
      <c r="M641" s="100"/>
      <c r="N641" s="77"/>
      <c r="O641" s="77"/>
      <c r="P641" s="77"/>
      <c r="Q641" s="77"/>
      <c r="R641" s="77"/>
      <c r="S641" s="77"/>
      <c r="T641" s="77"/>
      <c r="U641" s="77"/>
    </row>
    <row r="642" customFormat="false" ht="15.75" hidden="false" customHeight="true" outlineLevel="0" collapsed="false">
      <c r="A642" s="77"/>
      <c r="B642" s="99"/>
      <c r="C642" s="100"/>
      <c r="D642" s="100"/>
      <c r="E642" s="77"/>
      <c r="F642" s="77"/>
      <c r="G642" s="77"/>
      <c r="H642" s="77"/>
      <c r="I642" s="77"/>
      <c r="J642" s="77"/>
      <c r="K642" s="77"/>
      <c r="L642" s="101"/>
      <c r="M642" s="100"/>
      <c r="N642" s="77"/>
      <c r="O642" s="77"/>
      <c r="P642" s="77"/>
      <c r="Q642" s="77"/>
      <c r="R642" s="77"/>
      <c r="S642" s="77"/>
      <c r="T642" s="77"/>
      <c r="U642" s="77"/>
    </row>
    <row r="643" customFormat="false" ht="15.75" hidden="false" customHeight="true" outlineLevel="0" collapsed="false">
      <c r="A643" s="77"/>
      <c r="B643" s="99"/>
      <c r="C643" s="100"/>
      <c r="D643" s="100"/>
      <c r="E643" s="77"/>
      <c r="F643" s="77"/>
      <c r="G643" s="77"/>
      <c r="H643" s="77"/>
      <c r="I643" s="77"/>
      <c r="J643" s="77"/>
      <c r="K643" s="77"/>
      <c r="L643" s="101"/>
      <c r="M643" s="100"/>
      <c r="N643" s="77"/>
      <c r="O643" s="77"/>
      <c r="P643" s="77"/>
      <c r="Q643" s="77"/>
      <c r="R643" s="77"/>
      <c r="S643" s="77"/>
      <c r="T643" s="77"/>
      <c r="U643" s="77"/>
    </row>
    <row r="644" customFormat="false" ht="15.75" hidden="false" customHeight="true" outlineLevel="0" collapsed="false">
      <c r="A644" s="77"/>
      <c r="B644" s="99"/>
      <c r="C644" s="100"/>
      <c r="D644" s="100"/>
      <c r="E644" s="77"/>
      <c r="F644" s="77"/>
      <c r="G644" s="77"/>
      <c r="H644" s="77"/>
      <c r="I644" s="77"/>
      <c r="J644" s="77"/>
      <c r="K644" s="77"/>
      <c r="L644" s="101"/>
      <c r="M644" s="100"/>
      <c r="N644" s="77"/>
      <c r="O644" s="77"/>
      <c r="P644" s="77"/>
      <c r="Q644" s="77"/>
      <c r="R644" s="77"/>
      <c r="S644" s="77"/>
      <c r="T644" s="77"/>
      <c r="U644" s="77"/>
    </row>
    <row r="645" customFormat="false" ht="15.75" hidden="false" customHeight="true" outlineLevel="0" collapsed="false">
      <c r="A645" s="77"/>
      <c r="B645" s="99"/>
      <c r="C645" s="100"/>
      <c r="D645" s="100"/>
      <c r="E645" s="77"/>
      <c r="F645" s="77"/>
      <c r="G645" s="77"/>
      <c r="H645" s="77"/>
      <c r="I645" s="77"/>
      <c r="J645" s="77"/>
      <c r="K645" s="77"/>
      <c r="L645" s="101"/>
      <c r="M645" s="100"/>
      <c r="N645" s="77"/>
      <c r="O645" s="77"/>
      <c r="P645" s="77"/>
      <c r="Q645" s="77"/>
      <c r="R645" s="77"/>
      <c r="S645" s="77"/>
      <c r="T645" s="77"/>
      <c r="U645" s="77"/>
    </row>
    <row r="646" customFormat="false" ht="15.75" hidden="false" customHeight="true" outlineLevel="0" collapsed="false">
      <c r="A646" s="77"/>
      <c r="B646" s="99"/>
      <c r="C646" s="100"/>
      <c r="D646" s="100"/>
      <c r="E646" s="77"/>
      <c r="F646" s="77"/>
      <c r="G646" s="77"/>
      <c r="H646" s="77"/>
      <c r="I646" s="77"/>
      <c r="J646" s="77"/>
      <c r="K646" s="77"/>
      <c r="L646" s="101"/>
      <c r="M646" s="100"/>
      <c r="N646" s="77"/>
      <c r="O646" s="77"/>
      <c r="P646" s="77"/>
      <c r="Q646" s="77"/>
      <c r="R646" s="77"/>
      <c r="S646" s="77"/>
      <c r="T646" s="77"/>
      <c r="U646" s="77"/>
    </row>
    <row r="647" customFormat="false" ht="15.75" hidden="false" customHeight="true" outlineLevel="0" collapsed="false">
      <c r="A647" s="77"/>
      <c r="B647" s="99"/>
      <c r="C647" s="100"/>
      <c r="D647" s="100"/>
      <c r="E647" s="77"/>
      <c r="F647" s="77"/>
      <c r="G647" s="77"/>
      <c r="H647" s="77"/>
      <c r="I647" s="77"/>
      <c r="J647" s="77"/>
      <c r="K647" s="77"/>
      <c r="L647" s="101"/>
      <c r="M647" s="100"/>
      <c r="N647" s="77"/>
      <c r="O647" s="77"/>
      <c r="P647" s="77"/>
      <c r="Q647" s="77"/>
      <c r="R647" s="77"/>
      <c r="S647" s="77"/>
      <c r="T647" s="77"/>
      <c r="U647" s="77"/>
    </row>
    <row r="648" customFormat="false" ht="15.75" hidden="false" customHeight="true" outlineLevel="0" collapsed="false">
      <c r="A648" s="77"/>
      <c r="B648" s="99"/>
      <c r="C648" s="100"/>
      <c r="D648" s="100"/>
      <c r="E648" s="77"/>
      <c r="F648" s="77"/>
      <c r="G648" s="77"/>
      <c r="H648" s="77"/>
      <c r="I648" s="77"/>
      <c r="J648" s="77"/>
      <c r="K648" s="77"/>
      <c r="L648" s="101"/>
      <c r="M648" s="100"/>
      <c r="N648" s="77"/>
      <c r="O648" s="77"/>
      <c r="P648" s="77"/>
      <c r="Q648" s="77"/>
      <c r="R648" s="77"/>
      <c r="S648" s="77"/>
      <c r="T648" s="77"/>
      <c r="U648" s="77"/>
    </row>
    <row r="649" customFormat="false" ht="15.75" hidden="false" customHeight="true" outlineLevel="0" collapsed="false">
      <c r="A649" s="77"/>
      <c r="B649" s="99"/>
      <c r="C649" s="100"/>
      <c r="D649" s="100"/>
      <c r="E649" s="77"/>
      <c r="F649" s="77"/>
      <c r="G649" s="77"/>
      <c r="H649" s="77"/>
      <c r="I649" s="77"/>
      <c r="J649" s="77"/>
      <c r="K649" s="77"/>
      <c r="L649" s="101"/>
      <c r="M649" s="100"/>
      <c r="N649" s="77"/>
      <c r="O649" s="77"/>
      <c r="P649" s="77"/>
      <c r="Q649" s="77"/>
      <c r="R649" s="77"/>
      <c r="S649" s="77"/>
      <c r="T649" s="77"/>
      <c r="U649" s="77"/>
    </row>
    <row r="650" customFormat="false" ht="15.75" hidden="false" customHeight="true" outlineLevel="0" collapsed="false">
      <c r="A650" s="77"/>
      <c r="B650" s="99"/>
      <c r="C650" s="100"/>
      <c r="D650" s="100"/>
      <c r="E650" s="77"/>
      <c r="F650" s="77"/>
      <c r="G650" s="77"/>
      <c r="H650" s="77"/>
      <c r="I650" s="77"/>
      <c r="J650" s="77"/>
      <c r="K650" s="77"/>
      <c r="L650" s="101"/>
      <c r="M650" s="100"/>
      <c r="N650" s="77"/>
      <c r="O650" s="77"/>
      <c r="P650" s="77"/>
      <c r="Q650" s="77"/>
      <c r="R650" s="77"/>
      <c r="S650" s="77"/>
      <c r="T650" s="77"/>
      <c r="U650" s="77"/>
    </row>
    <row r="651" customFormat="false" ht="15.75" hidden="false" customHeight="true" outlineLevel="0" collapsed="false">
      <c r="A651" s="77"/>
      <c r="B651" s="99"/>
      <c r="C651" s="100"/>
      <c r="D651" s="100"/>
      <c r="E651" s="77"/>
      <c r="F651" s="77"/>
      <c r="G651" s="77"/>
      <c r="H651" s="77"/>
      <c r="I651" s="77"/>
      <c r="J651" s="77"/>
      <c r="K651" s="77"/>
      <c r="L651" s="101"/>
      <c r="M651" s="100"/>
      <c r="N651" s="77"/>
      <c r="O651" s="77"/>
      <c r="P651" s="77"/>
      <c r="Q651" s="77"/>
      <c r="R651" s="77"/>
      <c r="S651" s="77"/>
      <c r="T651" s="77"/>
      <c r="U651" s="77"/>
    </row>
    <row r="652" customFormat="false" ht="15.75" hidden="false" customHeight="true" outlineLevel="0" collapsed="false">
      <c r="A652" s="77"/>
      <c r="B652" s="99"/>
      <c r="C652" s="100"/>
      <c r="D652" s="100"/>
      <c r="E652" s="77"/>
      <c r="F652" s="77"/>
      <c r="G652" s="77"/>
      <c r="H652" s="77"/>
      <c r="I652" s="77"/>
      <c r="J652" s="77"/>
      <c r="K652" s="77"/>
      <c r="L652" s="101"/>
      <c r="M652" s="100"/>
      <c r="N652" s="77"/>
      <c r="O652" s="77"/>
      <c r="P652" s="77"/>
      <c r="Q652" s="77"/>
      <c r="R652" s="77"/>
      <c r="S652" s="77"/>
      <c r="T652" s="77"/>
      <c r="U652" s="77"/>
    </row>
    <row r="653" customFormat="false" ht="15.75" hidden="false" customHeight="true" outlineLevel="0" collapsed="false">
      <c r="A653" s="77"/>
      <c r="B653" s="99"/>
      <c r="C653" s="100"/>
      <c r="D653" s="100"/>
      <c r="E653" s="77"/>
      <c r="F653" s="77"/>
      <c r="G653" s="77"/>
      <c r="H653" s="77"/>
      <c r="I653" s="77"/>
      <c r="J653" s="77"/>
      <c r="K653" s="77"/>
      <c r="L653" s="101"/>
      <c r="M653" s="100"/>
      <c r="N653" s="77"/>
      <c r="O653" s="77"/>
      <c r="P653" s="77"/>
      <c r="Q653" s="77"/>
      <c r="R653" s="77"/>
      <c r="S653" s="77"/>
      <c r="T653" s="77"/>
      <c r="U653" s="77"/>
    </row>
    <row r="654" customFormat="false" ht="15.75" hidden="false" customHeight="true" outlineLevel="0" collapsed="false">
      <c r="A654" s="77"/>
      <c r="B654" s="99"/>
      <c r="C654" s="100"/>
      <c r="D654" s="100"/>
      <c r="E654" s="77"/>
      <c r="F654" s="77"/>
      <c r="G654" s="77"/>
      <c r="H654" s="77"/>
      <c r="I654" s="77"/>
      <c r="J654" s="77"/>
      <c r="K654" s="77"/>
      <c r="L654" s="101"/>
      <c r="M654" s="100"/>
      <c r="N654" s="77"/>
      <c r="O654" s="77"/>
      <c r="P654" s="77"/>
      <c r="Q654" s="77"/>
      <c r="R654" s="77"/>
      <c r="S654" s="77"/>
      <c r="T654" s="77"/>
      <c r="U654" s="77"/>
    </row>
    <row r="655" customFormat="false" ht="15.75" hidden="false" customHeight="true" outlineLevel="0" collapsed="false">
      <c r="A655" s="77"/>
      <c r="B655" s="99"/>
      <c r="C655" s="100"/>
      <c r="D655" s="100"/>
      <c r="E655" s="77"/>
      <c r="F655" s="77"/>
      <c r="G655" s="77"/>
      <c r="H655" s="77"/>
      <c r="I655" s="77"/>
      <c r="J655" s="77"/>
      <c r="K655" s="77"/>
      <c r="L655" s="101"/>
      <c r="M655" s="100"/>
      <c r="N655" s="77"/>
      <c r="O655" s="77"/>
      <c r="P655" s="77"/>
      <c r="Q655" s="77"/>
      <c r="R655" s="77"/>
      <c r="S655" s="77"/>
      <c r="T655" s="77"/>
      <c r="U655" s="77"/>
    </row>
    <row r="656" customFormat="false" ht="15.75" hidden="false" customHeight="true" outlineLevel="0" collapsed="false">
      <c r="A656" s="77"/>
      <c r="B656" s="99"/>
      <c r="C656" s="100"/>
      <c r="D656" s="100"/>
      <c r="E656" s="77"/>
      <c r="F656" s="77"/>
      <c r="G656" s="77"/>
      <c r="H656" s="77"/>
      <c r="I656" s="77"/>
      <c r="J656" s="77"/>
      <c r="K656" s="77"/>
      <c r="L656" s="101"/>
      <c r="M656" s="100"/>
      <c r="N656" s="77"/>
      <c r="O656" s="77"/>
      <c r="P656" s="77"/>
      <c r="Q656" s="77"/>
      <c r="R656" s="77"/>
      <c r="S656" s="77"/>
      <c r="T656" s="77"/>
      <c r="U656" s="77"/>
    </row>
    <row r="657" customFormat="false" ht="15.75" hidden="false" customHeight="true" outlineLevel="0" collapsed="false">
      <c r="A657" s="77"/>
      <c r="B657" s="99"/>
      <c r="C657" s="100"/>
      <c r="D657" s="100"/>
      <c r="E657" s="77"/>
      <c r="F657" s="77"/>
      <c r="G657" s="77"/>
      <c r="H657" s="77"/>
      <c r="I657" s="77"/>
      <c r="J657" s="77"/>
      <c r="K657" s="77"/>
      <c r="L657" s="101"/>
      <c r="M657" s="100"/>
      <c r="N657" s="77"/>
      <c r="O657" s="77"/>
      <c r="P657" s="77"/>
      <c r="Q657" s="77"/>
      <c r="R657" s="77"/>
      <c r="S657" s="77"/>
      <c r="T657" s="77"/>
      <c r="U657" s="77"/>
    </row>
    <row r="658" customFormat="false" ht="15.75" hidden="false" customHeight="true" outlineLevel="0" collapsed="false">
      <c r="A658" s="77"/>
      <c r="B658" s="99"/>
      <c r="C658" s="100"/>
      <c r="D658" s="100"/>
      <c r="E658" s="77"/>
      <c r="F658" s="77"/>
      <c r="G658" s="77"/>
      <c r="H658" s="77"/>
      <c r="I658" s="77"/>
      <c r="J658" s="77"/>
      <c r="K658" s="77"/>
      <c r="L658" s="101"/>
      <c r="M658" s="100"/>
      <c r="N658" s="77"/>
      <c r="O658" s="77"/>
      <c r="P658" s="77"/>
      <c r="Q658" s="77"/>
      <c r="R658" s="77"/>
      <c r="S658" s="77"/>
      <c r="T658" s="77"/>
      <c r="U658" s="77"/>
    </row>
    <row r="659" customFormat="false" ht="15.75" hidden="false" customHeight="true" outlineLevel="0" collapsed="false">
      <c r="A659" s="77"/>
      <c r="B659" s="99"/>
      <c r="C659" s="100"/>
      <c r="D659" s="100"/>
      <c r="E659" s="77"/>
      <c r="F659" s="77"/>
      <c r="G659" s="77"/>
      <c r="H659" s="77"/>
      <c r="I659" s="77"/>
      <c r="J659" s="77"/>
      <c r="K659" s="77"/>
      <c r="L659" s="101"/>
      <c r="M659" s="100"/>
      <c r="N659" s="77"/>
      <c r="O659" s="77"/>
      <c r="P659" s="77"/>
      <c r="Q659" s="77"/>
      <c r="R659" s="77"/>
      <c r="S659" s="77"/>
      <c r="T659" s="77"/>
      <c r="U659" s="77"/>
    </row>
    <row r="660" customFormat="false" ht="15.75" hidden="false" customHeight="true" outlineLevel="0" collapsed="false">
      <c r="A660" s="77"/>
      <c r="B660" s="99"/>
      <c r="C660" s="100"/>
      <c r="D660" s="100"/>
      <c r="E660" s="77"/>
      <c r="F660" s="77"/>
      <c r="G660" s="77"/>
      <c r="H660" s="77"/>
      <c r="I660" s="77"/>
      <c r="J660" s="77"/>
      <c r="K660" s="77"/>
      <c r="L660" s="101"/>
      <c r="M660" s="100"/>
      <c r="N660" s="77"/>
      <c r="O660" s="77"/>
      <c r="P660" s="77"/>
      <c r="Q660" s="77"/>
      <c r="R660" s="77"/>
      <c r="S660" s="77"/>
      <c r="T660" s="77"/>
      <c r="U660" s="77"/>
    </row>
    <row r="661" customFormat="false" ht="15.75" hidden="false" customHeight="true" outlineLevel="0" collapsed="false">
      <c r="A661" s="77"/>
      <c r="B661" s="99"/>
      <c r="C661" s="100"/>
      <c r="D661" s="100"/>
      <c r="E661" s="77"/>
      <c r="F661" s="77"/>
      <c r="G661" s="77"/>
      <c r="H661" s="77"/>
      <c r="I661" s="77"/>
      <c r="J661" s="77"/>
      <c r="K661" s="77"/>
      <c r="L661" s="101"/>
      <c r="M661" s="100"/>
      <c r="N661" s="77"/>
      <c r="O661" s="77"/>
      <c r="P661" s="77"/>
      <c r="Q661" s="77"/>
      <c r="R661" s="77"/>
      <c r="S661" s="77"/>
      <c r="T661" s="77"/>
      <c r="U661" s="77"/>
    </row>
    <row r="662" customFormat="false" ht="15.75" hidden="false" customHeight="true" outlineLevel="0" collapsed="false">
      <c r="A662" s="77"/>
      <c r="B662" s="99"/>
      <c r="C662" s="100"/>
      <c r="D662" s="100"/>
      <c r="E662" s="77"/>
      <c r="F662" s="77"/>
      <c r="G662" s="77"/>
      <c r="H662" s="77"/>
      <c r="I662" s="77"/>
      <c r="J662" s="77"/>
      <c r="K662" s="77"/>
      <c r="L662" s="101"/>
      <c r="M662" s="100"/>
      <c r="N662" s="77"/>
      <c r="O662" s="77"/>
      <c r="P662" s="77"/>
      <c r="Q662" s="77"/>
      <c r="R662" s="77"/>
      <c r="S662" s="77"/>
      <c r="T662" s="77"/>
      <c r="U662" s="77"/>
    </row>
    <row r="663" customFormat="false" ht="15.75" hidden="false" customHeight="true" outlineLevel="0" collapsed="false">
      <c r="A663" s="77"/>
      <c r="B663" s="99"/>
      <c r="C663" s="100"/>
      <c r="D663" s="100"/>
      <c r="E663" s="77"/>
      <c r="F663" s="77"/>
      <c r="G663" s="77"/>
      <c r="H663" s="77"/>
      <c r="I663" s="77"/>
      <c r="J663" s="77"/>
      <c r="K663" s="77"/>
      <c r="L663" s="101"/>
      <c r="M663" s="100"/>
      <c r="N663" s="77"/>
      <c r="O663" s="77"/>
      <c r="P663" s="77"/>
      <c r="Q663" s="77"/>
      <c r="R663" s="77"/>
      <c r="S663" s="77"/>
      <c r="T663" s="77"/>
      <c r="U663" s="77"/>
    </row>
    <row r="664" customFormat="false" ht="15.75" hidden="false" customHeight="true" outlineLevel="0" collapsed="false">
      <c r="A664" s="77"/>
      <c r="B664" s="99"/>
      <c r="C664" s="100"/>
      <c r="D664" s="100"/>
      <c r="E664" s="77"/>
      <c r="F664" s="77"/>
      <c r="G664" s="77"/>
      <c r="H664" s="77"/>
      <c r="I664" s="77"/>
      <c r="J664" s="77"/>
      <c r="K664" s="77"/>
      <c r="L664" s="101"/>
      <c r="M664" s="100"/>
      <c r="N664" s="77"/>
      <c r="O664" s="77"/>
      <c r="P664" s="77"/>
      <c r="Q664" s="77"/>
      <c r="R664" s="77"/>
      <c r="S664" s="77"/>
      <c r="T664" s="77"/>
      <c r="U664" s="77"/>
    </row>
    <row r="665" customFormat="false" ht="15.75" hidden="false" customHeight="true" outlineLevel="0" collapsed="false">
      <c r="A665" s="77"/>
      <c r="B665" s="99"/>
      <c r="C665" s="100"/>
      <c r="D665" s="100"/>
      <c r="E665" s="77"/>
      <c r="F665" s="77"/>
      <c r="G665" s="77"/>
      <c r="H665" s="77"/>
      <c r="I665" s="77"/>
      <c r="J665" s="77"/>
      <c r="K665" s="77"/>
      <c r="L665" s="101"/>
      <c r="M665" s="100"/>
      <c r="N665" s="77"/>
      <c r="O665" s="77"/>
      <c r="P665" s="77"/>
      <c r="Q665" s="77"/>
      <c r="R665" s="77"/>
      <c r="S665" s="77"/>
      <c r="T665" s="77"/>
      <c r="U665" s="77"/>
    </row>
    <row r="666" customFormat="false" ht="15.75" hidden="false" customHeight="true" outlineLevel="0" collapsed="false">
      <c r="A666" s="77"/>
      <c r="B666" s="99"/>
      <c r="C666" s="100"/>
      <c r="D666" s="100"/>
      <c r="E666" s="77"/>
      <c r="F666" s="77"/>
      <c r="G666" s="77"/>
      <c r="H666" s="77"/>
      <c r="I666" s="77"/>
      <c r="J666" s="77"/>
      <c r="K666" s="77"/>
      <c r="L666" s="101"/>
      <c r="M666" s="100"/>
      <c r="N666" s="77"/>
      <c r="O666" s="77"/>
      <c r="P666" s="77"/>
      <c r="Q666" s="77"/>
      <c r="R666" s="77"/>
      <c r="S666" s="77"/>
      <c r="T666" s="77"/>
      <c r="U666" s="77"/>
    </row>
    <row r="667" customFormat="false" ht="15.75" hidden="false" customHeight="true" outlineLevel="0" collapsed="false">
      <c r="A667" s="77"/>
      <c r="B667" s="99"/>
      <c r="C667" s="100"/>
      <c r="D667" s="100"/>
      <c r="E667" s="77"/>
      <c r="F667" s="77"/>
      <c r="G667" s="77"/>
      <c r="H667" s="77"/>
      <c r="I667" s="77"/>
      <c r="J667" s="77"/>
      <c r="K667" s="77"/>
      <c r="L667" s="101"/>
      <c r="M667" s="100"/>
      <c r="N667" s="77"/>
      <c r="O667" s="77"/>
      <c r="P667" s="77"/>
      <c r="Q667" s="77"/>
      <c r="R667" s="77"/>
      <c r="S667" s="77"/>
      <c r="T667" s="77"/>
      <c r="U667" s="77"/>
    </row>
    <row r="668" customFormat="false" ht="15.75" hidden="false" customHeight="true" outlineLevel="0" collapsed="false">
      <c r="A668" s="77"/>
      <c r="B668" s="99"/>
      <c r="C668" s="100"/>
      <c r="D668" s="100"/>
      <c r="E668" s="77"/>
      <c r="F668" s="77"/>
      <c r="G668" s="77"/>
      <c r="H668" s="77"/>
      <c r="I668" s="77"/>
      <c r="J668" s="77"/>
      <c r="K668" s="77"/>
      <c r="L668" s="101"/>
      <c r="M668" s="100"/>
      <c r="N668" s="77"/>
      <c r="O668" s="77"/>
      <c r="P668" s="77"/>
      <c r="Q668" s="77"/>
      <c r="R668" s="77"/>
      <c r="S668" s="77"/>
      <c r="T668" s="77"/>
      <c r="U668" s="77"/>
    </row>
    <row r="669" customFormat="false" ht="15.75" hidden="false" customHeight="true" outlineLevel="0" collapsed="false">
      <c r="A669" s="77"/>
      <c r="B669" s="99"/>
      <c r="C669" s="100"/>
      <c r="D669" s="100"/>
      <c r="E669" s="77"/>
      <c r="F669" s="77"/>
      <c r="G669" s="77"/>
      <c r="H669" s="77"/>
      <c r="I669" s="77"/>
      <c r="J669" s="77"/>
      <c r="K669" s="77"/>
      <c r="L669" s="101"/>
      <c r="M669" s="100"/>
      <c r="N669" s="77"/>
      <c r="O669" s="77"/>
      <c r="P669" s="77"/>
      <c r="Q669" s="77"/>
      <c r="R669" s="77"/>
      <c r="S669" s="77"/>
      <c r="T669" s="77"/>
      <c r="U669" s="77"/>
    </row>
    <row r="670" customFormat="false" ht="15.75" hidden="false" customHeight="true" outlineLevel="0" collapsed="false">
      <c r="A670" s="77"/>
      <c r="B670" s="99"/>
      <c r="C670" s="100"/>
      <c r="D670" s="100"/>
      <c r="E670" s="77"/>
      <c r="F670" s="77"/>
      <c r="G670" s="77"/>
      <c r="H670" s="77"/>
      <c r="I670" s="77"/>
      <c r="J670" s="77"/>
      <c r="K670" s="77"/>
      <c r="L670" s="101"/>
      <c r="M670" s="100"/>
      <c r="N670" s="77"/>
      <c r="O670" s="77"/>
      <c r="P670" s="77"/>
      <c r="Q670" s="77"/>
      <c r="R670" s="77"/>
      <c r="S670" s="77"/>
      <c r="T670" s="77"/>
      <c r="U670" s="77"/>
    </row>
    <row r="671" customFormat="false" ht="15.75" hidden="false" customHeight="true" outlineLevel="0" collapsed="false">
      <c r="A671" s="77"/>
      <c r="B671" s="99"/>
      <c r="C671" s="100"/>
      <c r="D671" s="100"/>
      <c r="E671" s="77"/>
      <c r="F671" s="77"/>
      <c r="G671" s="77"/>
      <c r="H671" s="77"/>
      <c r="I671" s="77"/>
      <c r="J671" s="77"/>
      <c r="K671" s="77"/>
      <c r="L671" s="101"/>
      <c r="M671" s="100"/>
      <c r="N671" s="77"/>
      <c r="O671" s="77"/>
      <c r="P671" s="77"/>
      <c r="Q671" s="77"/>
      <c r="R671" s="77"/>
      <c r="S671" s="77"/>
      <c r="T671" s="77"/>
      <c r="U671" s="77"/>
    </row>
    <row r="672" customFormat="false" ht="15.75" hidden="false" customHeight="true" outlineLevel="0" collapsed="false">
      <c r="A672" s="77"/>
      <c r="B672" s="99"/>
      <c r="C672" s="100"/>
      <c r="D672" s="100"/>
      <c r="E672" s="77"/>
      <c r="F672" s="77"/>
      <c r="G672" s="77"/>
      <c r="H672" s="77"/>
      <c r="I672" s="77"/>
      <c r="J672" s="77"/>
      <c r="K672" s="77"/>
      <c r="L672" s="101"/>
      <c r="M672" s="100"/>
      <c r="N672" s="77"/>
      <c r="O672" s="77"/>
      <c r="P672" s="77"/>
      <c r="Q672" s="77"/>
      <c r="R672" s="77"/>
      <c r="S672" s="77"/>
      <c r="T672" s="77"/>
      <c r="U672" s="77"/>
    </row>
    <row r="673" customFormat="false" ht="15.75" hidden="false" customHeight="true" outlineLevel="0" collapsed="false">
      <c r="A673" s="77"/>
      <c r="B673" s="99"/>
      <c r="C673" s="100"/>
      <c r="D673" s="100"/>
      <c r="E673" s="77"/>
      <c r="F673" s="77"/>
      <c r="G673" s="77"/>
      <c r="H673" s="77"/>
      <c r="I673" s="77"/>
      <c r="J673" s="77"/>
      <c r="K673" s="77"/>
      <c r="L673" s="101"/>
      <c r="M673" s="100"/>
      <c r="N673" s="77"/>
      <c r="O673" s="77"/>
      <c r="P673" s="77"/>
      <c r="Q673" s="77"/>
      <c r="R673" s="77"/>
      <c r="S673" s="77"/>
      <c r="T673" s="77"/>
      <c r="U673" s="77"/>
    </row>
    <row r="674" customFormat="false" ht="15.75" hidden="false" customHeight="true" outlineLevel="0" collapsed="false">
      <c r="A674" s="77"/>
      <c r="B674" s="99"/>
      <c r="C674" s="100"/>
      <c r="D674" s="100"/>
      <c r="E674" s="77"/>
      <c r="F674" s="77"/>
      <c r="G674" s="77"/>
      <c r="H674" s="77"/>
      <c r="I674" s="77"/>
      <c r="J674" s="77"/>
      <c r="K674" s="77"/>
      <c r="L674" s="101"/>
      <c r="M674" s="100"/>
      <c r="N674" s="77"/>
      <c r="O674" s="77"/>
      <c r="P674" s="77"/>
      <c r="Q674" s="77"/>
      <c r="R674" s="77"/>
      <c r="S674" s="77"/>
      <c r="T674" s="77"/>
      <c r="U674" s="77"/>
    </row>
    <row r="675" customFormat="false" ht="15.75" hidden="false" customHeight="true" outlineLevel="0" collapsed="false">
      <c r="A675" s="77"/>
      <c r="B675" s="99"/>
      <c r="C675" s="100"/>
      <c r="D675" s="100"/>
      <c r="E675" s="77"/>
      <c r="F675" s="77"/>
      <c r="G675" s="77"/>
      <c r="H675" s="77"/>
      <c r="I675" s="77"/>
      <c r="J675" s="77"/>
      <c r="K675" s="77"/>
      <c r="L675" s="101"/>
      <c r="M675" s="100"/>
      <c r="N675" s="77"/>
      <c r="O675" s="77"/>
      <c r="P675" s="77"/>
      <c r="Q675" s="77"/>
      <c r="R675" s="77"/>
      <c r="S675" s="77"/>
      <c r="T675" s="77"/>
      <c r="U675" s="77"/>
    </row>
    <row r="676" customFormat="false" ht="15.75" hidden="false" customHeight="true" outlineLevel="0" collapsed="false">
      <c r="A676" s="77"/>
      <c r="B676" s="99"/>
      <c r="C676" s="100"/>
      <c r="D676" s="100"/>
      <c r="E676" s="77"/>
      <c r="F676" s="77"/>
      <c r="G676" s="77"/>
      <c r="H676" s="77"/>
      <c r="I676" s="77"/>
      <c r="J676" s="77"/>
      <c r="K676" s="77"/>
      <c r="L676" s="101"/>
      <c r="M676" s="100"/>
      <c r="N676" s="77"/>
      <c r="O676" s="77"/>
      <c r="P676" s="77"/>
      <c r="Q676" s="77"/>
      <c r="R676" s="77"/>
      <c r="S676" s="77"/>
      <c r="T676" s="77"/>
      <c r="U676" s="77"/>
    </row>
    <row r="677" customFormat="false" ht="15.75" hidden="false" customHeight="true" outlineLevel="0" collapsed="false">
      <c r="A677" s="77"/>
      <c r="B677" s="99"/>
      <c r="C677" s="100"/>
      <c r="D677" s="100"/>
      <c r="E677" s="77"/>
      <c r="F677" s="77"/>
      <c r="G677" s="77"/>
      <c r="H677" s="77"/>
      <c r="I677" s="77"/>
      <c r="J677" s="77"/>
      <c r="K677" s="77"/>
      <c r="L677" s="101"/>
      <c r="M677" s="100"/>
      <c r="N677" s="77"/>
      <c r="O677" s="77"/>
      <c r="P677" s="77"/>
      <c r="Q677" s="77"/>
      <c r="R677" s="77"/>
      <c r="S677" s="77"/>
      <c r="T677" s="77"/>
      <c r="U677" s="77"/>
    </row>
    <row r="678" customFormat="false" ht="15.75" hidden="false" customHeight="true" outlineLevel="0" collapsed="false">
      <c r="A678" s="77"/>
      <c r="B678" s="99"/>
      <c r="C678" s="100"/>
      <c r="D678" s="100"/>
      <c r="E678" s="77"/>
      <c r="F678" s="77"/>
      <c r="G678" s="77"/>
      <c r="H678" s="77"/>
      <c r="I678" s="77"/>
      <c r="J678" s="77"/>
      <c r="K678" s="77"/>
      <c r="L678" s="101"/>
      <c r="M678" s="100"/>
      <c r="N678" s="77"/>
      <c r="O678" s="77"/>
      <c r="P678" s="77"/>
      <c r="Q678" s="77"/>
      <c r="R678" s="77"/>
      <c r="S678" s="77"/>
      <c r="T678" s="77"/>
      <c r="U678" s="77"/>
    </row>
    <row r="679" customFormat="false" ht="15.75" hidden="false" customHeight="true" outlineLevel="0" collapsed="false">
      <c r="A679" s="77"/>
      <c r="B679" s="99"/>
      <c r="C679" s="100"/>
      <c r="D679" s="100"/>
      <c r="E679" s="77"/>
      <c r="F679" s="77"/>
      <c r="G679" s="77"/>
      <c r="H679" s="77"/>
      <c r="I679" s="77"/>
      <c r="J679" s="77"/>
      <c r="K679" s="77"/>
      <c r="L679" s="101"/>
      <c r="M679" s="100"/>
      <c r="N679" s="77"/>
      <c r="O679" s="77"/>
      <c r="P679" s="77"/>
      <c r="Q679" s="77"/>
      <c r="R679" s="77"/>
      <c r="S679" s="77"/>
      <c r="T679" s="77"/>
      <c r="U679" s="77"/>
    </row>
    <row r="680" customFormat="false" ht="15.75" hidden="false" customHeight="true" outlineLevel="0" collapsed="false">
      <c r="A680" s="77"/>
      <c r="B680" s="99"/>
      <c r="C680" s="100"/>
      <c r="D680" s="100"/>
      <c r="E680" s="77"/>
      <c r="F680" s="77"/>
      <c r="G680" s="77"/>
      <c r="H680" s="77"/>
      <c r="I680" s="77"/>
      <c r="J680" s="77"/>
      <c r="K680" s="77"/>
      <c r="L680" s="101"/>
      <c r="M680" s="100"/>
      <c r="N680" s="77"/>
      <c r="O680" s="77"/>
      <c r="P680" s="77"/>
      <c r="Q680" s="77"/>
      <c r="R680" s="77"/>
      <c r="S680" s="77"/>
      <c r="T680" s="77"/>
      <c r="U680" s="77"/>
    </row>
    <row r="681" customFormat="false" ht="15.75" hidden="false" customHeight="true" outlineLevel="0" collapsed="false">
      <c r="A681" s="77"/>
      <c r="B681" s="99"/>
      <c r="C681" s="100"/>
      <c r="D681" s="100"/>
      <c r="E681" s="77"/>
      <c r="F681" s="77"/>
      <c r="G681" s="77"/>
      <c r="H681" s="77"/>
      <c r="I681" s="77"/>
      <c r="J681" s="77"/>
      <c r="K681" s="77"/>
      <c r="L681" s="101"/>
      <c r="M681" s="100"/>
      <c r="N681" s="77"/>
      <c r="O681" s="77"/>
      <c r="P681" s="77"/>
      <c r="Q681" s="77"/>
      <c r="R681" s="77"/>
      <c r="S681" s="77"/>
      <c r="T681" s="77"/>
      <c r="U681" s="77"/>
    </row>
    <row r="682" customFormat="false" ht="15.75" hidden="false" customHeight="true" outlineLevel="0" collapsed="false">
      <c r="A682" s="77"/>
      <c r="B682" s="99"/>
      <c r="C682" s="100"/>
      <c r="D682" s="100"/>
      <c r="E682" s="77"/>
      <c r="F682" s="77"/>
      <c r="G682" s="77"/>
      <c r="H682" s="77"/>
      <c r="I682" s="77"/>
      <c r="J682" s="77"/>
      <c r="K682" s="77"/>
      <c r="L682" s="101"/>
      <c r="M682" s="100"/>
      <c r="N682" s="77"/>
      <c r="O682" s="77"/>
      <c r="P682" s="77"/>
      <c r="Q682" s="77"/>
      <c r="R682" s="77"/>
      <c r="S682" s="77"/>
      <c r="T682" s="77"/>
      <c r="U682" s="77"/>
    </row>
    <row r="683" customFormat="false" ht="15.75" hidden="false" customHeight="true" outlineLevel="0" collapsed="false">
      <c r="A683" s="77"/>
      <c r="B683" s="99"/>
      <c r="C683" s="100"/>
      <c r="D683" s="100"/>
      <c r="E683" s="77"/>
      <c r="F683" s="77"/>
      <c r="G683" s="77"/>
      <c r="H683" s="77"/>
      <c r="I683" s="77"/>
      <c r="J683" s="77"/>
      <c r="K683" s="77"/>
      <c r="L683" s="101"/>
      <c r="M683" s="100"/>
      <c r="N683" s="77"/>
      <c r="O683" s="77"/>
      <c r="P683" s="77"/>
      <c r="Q683" s="77"/>
      <c r="R683" s="77"/>
      <c r="S683" s="77"/>
      <c r="T683" s="77"/>
      <c r="U683" s="77"/>
    </row>
    <row r="684" customFormat="false" ht="15.75" hidden="false" customHeight="true" outlineLevel="0" collapsed="false">
      <c r="A684" s="77"/>
      <c r="B684" s="99"/>
      <c r="C684" s="100"/>
      <c r="D684" s="100"/>
      <c r="E684" s="77"/>
      <c r="F684" s="77"/>
      <c r="G684" s="77"/>
      <c r="H684" s="77"/>
      <c r="I684" s="77"/>
      <c r="J684" s="77"/>
      <c r="K684" s="77"/>
      <c r="L684" s="101"/>
      <c r="M684" s="100"/>
      <c r="N684" s="77"/>
      <c r="O684" s="77"/>
      <c r="P684" s="77"/>
      <c r="Q684" s="77"/>
      <c r="R684" s="77"/>
      <c r="S684" s="77"/>
      <c r="T684" s="77"/>
      <c r="U684" s="77"/>
    </row>
    <row r="685" customFormat="false" ht="15.75" hidden="false" customHeight="true" outlineLevel="0" collapsed="false">
      <c r="A685" s="77"/>
      <c r="B685" s="99"/>
      <c r="C685" s="100"/>
      <c r="D685" s="100"/>
      <c r="E685" s="77"/>
      <c r="F685" s="77"/>
      <c r="G685" s="77"/>
      <c r="H685" s="77"/>
      <c r="I685" s="77"/>
      <c r="J685" s="77"/>
      <c r="K685" s="77"/>
      <c r="L685" s="101"/>
      <c r="M685" s="100"/>
      <c r="N685" s="77"/>
      <c r="O685" s="77"/>
      <c r="P685" s="77"/>
      <c r="Q685" s="77"/>
      <c r="R685" s="77"/>
      <c r="S685" s="77"/>
      <c r="T685" s="77"/>
      <c r="U685" s="77"/>
    </row>
    <row r="686" customFormat="false" ht="15.75" hidden="false" customHeight="true" outlineLevel="0" collapsed="false">
      <c r="A686" s="77"/>
      <c r="B686" s="99"/>
      <c r="C686" s="100"/>
      <c r="D686" s="100"/>
      <c r="E686" s="77"/>
      <c r="F686" s="77"/>
      <c r="G686" s="77"/>
      <c r="H686" s="77"/>
      <c r="I686" s="77"/>
      <c r="J686" s="77"/>
      <c r="K686" s="77"/>
      <c r="L686" s="101"/>
      <c r="M686" s="100"/>
      <c r="N686" s="77"/>
      <c r="O686" s="77"/>
      <c r="P686" s="77"/>
      <c r="Q686" s="77"/>
      <c r="R686" s="77"/>
      <c r="S686" s="77"/>
      <c r="T686" s="77"/>
      <c r="U686" s="77"/>
    </row>
    <row r="687" customFormat="false" ht="15.75" hidden="false" customHeight="true" outlineLevel="0" collapsed="false">
      <c r="A687" s="77"/>
      <c r="B687" s="99"/>
      <c r="C687" s="100"/>
      <c r="D687" s="100"/>
      <c r="E687" s="77"/>
      <c r="F687" s="77"/>
      <c r="G687" s="77"/>
      <c r="H687" s="77"/>
      <c r="I687" s="77"/>
      <c r="J687" s="77"/>
      <c r="K687" s="77"/>
      <c r="L687" s="101"/>
      <c r="M687" s="100"/>
      <c r="N687" s="77"/>
      <c r="O687" s="77"/>
      <c r="P687" s="77"/>
      <c r="Q687" s="77"/>
      <c r="R687" s="77"/>
      <c r="S687" s="77"/>
      <c r="T687" s="77"/>
      <c r="U687" s="77"/>
    </row>
    <row r="688" customFormat="false" ht="15.75" hidden="false" customHeight="true" outlineLevel="0" collapsed="false">
      <c r="A688" s="77"/>
      <c r="B688" s="99"/>
      <c r="C688" s="100"/>
      <c r="D688" s="100"/>
      <c r="E688" s="77"/>
      <c r="F688" s="77"/>
      <c r="G688" s="77"/>
      <c r="H688" s="77"/>
      <c r="I688" s="77"/>
      <c r="J688" s="77"/>
      <c r="K688" s="77"/>
      <c r="L688" s="101"/>
      <c r="M688" s="100"/>
      <c r="N688" s="77"/>
      <c r="O688" s="77"/>
      <c r="P688" s="77"/>
      <c r="Q688" s="77"/>
      <c r="R688" s="77"/>
      <c r="S688" s="77"/>
      <c r="T688" s="77"/>
      <c r="U688" s="77"/>
    </row>
    <row r="689" customFormat="false" ht="15.75" hidden="false" customHeight="true" outlineLevel="0" collapsed="false">
      <c r="A689" s="77"/>
      <c r="B689" s="99"/>
      <c r="C689" s="100"/>
      <c r="D689" s="100"/>
      <c r="E689" s="77"/>
      <c r="F689" s="77"/>
      <c r="G689" s="77"/>
      <c r="H689" s="77"/>
      <c r="I689" s="77"/>
      <c r="J689" s="77"/>
      <c r="K689" s="77"/>
      <c r="L689" s="101"/>
      <c r="M689" s="100"/>
      <c r="N689" s="77"/>
      <c r="O689" s="77"/>
      <c r="P689" s="77"/>
      <c r="Q689" s="77"/>
      <c r="R689" s="77"/>
      <c r="S689" s="77"/>
      <c r="T689" s="77"/>
      <c r="U689" s="77"/>
    </row>
    <row r="690" customFormat="false" ht="15.75" hidden="false" customHeight="true" outlineLevel="0" collapsed="false">
      <c r="A690" s="77"/>
      <c r="B690" s="99"/>
      <c r="C690" s="100"/>
      <c r="D690" s="100"/>
      <c r="E690" s="77"/>
      <c r="F690" s="77"/>
      <c r="G690" s="77"/>
      <c r="H690" s="77"/>
      <c r="I690" s="77"/>
      <c r="J690" s="77"/>
      <c r="K690" s="77"/>
      <c r="L690" s="101"/>
      <c r="M690" s="100"/>
      <c r="N690" s="77"/>
      <c r="O690" s="77"/>
      <c r="P690" s="77"/>
      <c r="Q690" s="77"/>
      <c r="R690" s="77"/>
      <c r="S690" s="77"/>
      <c r="T690" s="77"/>
      <c r="U690" s="77"/>
    </row>
    <row r="691" customFormat="false" ht="15.75" hidden="false" customHeight="true" outlineLevel="0" collapsed="false">
      <c r="A691" s="77"/>
      <c r="B691" s="99"/>
      <c r="C691" s="100"/>
      <c r="D691" s="100"/>
      <c r="E691" s="77"/>
      <c r="F691" s="77"/>
      <c r="G691" s="77"/>
      <c r="H691" s="77"/>
      <c r="I691" s="77"/>
      <c r="J691" s="77"/>
      <c r="K691" s="77"/>
      <c r="L691" s="101"/>
      <c r="M691" s="100"/>
      <c r="N691" s="77"/>
      <c r="O691" s="77"/>
      <c r="P691" s="77"/>
      <c r="Q691" s="77"/>
      <c r="R691" s="77"/>
      <c r="S691" s="77"/>
      <c r="T691" s="77"/>
      <c r="U691" s="77"/>
    </row>
    <row r="692" customFormat="false" ht="15.75" hidden="false" customHeight="true" outlineLevel="0" collapsed="false">
      <c r="A692" s="77"/>
      <c r="B692" s="99"/>
      <c r="C692" s="100"/>
      <c r="D692" s="100"/>
      <c r="E692" s="77"/>
      <c r="F692" s="77"/>
      <c r="G692" s="77"/>
      <c r="H692" s="77"/>
      <c r="I692" s="77"/>
      <c r="J692" s="77"/>
      <c r="K692" s="77"/>
      <c r="L692" s="101"/>
      <c r="M692" s="100"/>
      <c r="N692" s="77"/>
      <c r="O692" s="77"/>
      <c r="P692" s="77"/>
      <c r="Q692" s="77"/>
      <c r="R692" s="77"/>
      <c r="S692" s="77"/>
      <c r="T692" s="77"/>
      <c r="U692" s="77"/>
    </row>
    <row r="693" customFormat="false" ht="15.75" hidden="false" customHeight="true" outlineLevel="0" collapsed="false">
      <c r="A693" s="77"/>
      <c r="B693" s="99"/>
      <c r="C693" s="100"/>
      <c r="D693" s="100"/>
      <c r="E693" s="77"/>
      <c r="F693" s="77"/>
      <c r="G693" s="77"/>
      <c r="H693" s="77"/>
      <c r="I693" s="77"/>
      <c r="J693" s="77"/>
      <c r="K693" s="77"/>
      <c r="L693" s="101"/>
      <c r="M693" s="100"/>
      <c r="N693" s="77"/>
      <c r="O693" s="77"/>
      <c r="P693" s="77"/>
      <c r="Q693" s="77"/>
      <c r="R693" s="77"/>
      <c r="S693" s="77"/>
      <c r="T693" s="77"/>
      <c r="U693" s="77"/>
    </row>
    <row r="694" customFormat="false" ht="15.75" hidden="false" customHeight="true" outlineLevel="0" collapsed="false">
      <c r="A694" s="77"/>
      <c r="B694" s="99"/>
      <c r="C694" s="100"/>
      <c r="D694" s="100"/>
      <c r="E694" s="77"/>
      <c r="F694" s="77"/>
      <c r="G694" s="77"/>
      <c r="H694" s="77"/>
      <c r="I694" s="77"/>
      <c r="J694" s="77"/>
      <c r="K694" s="77"/>
      <c r="L694" s="101"/>
      <c r="M694" s="100"/>
      <c r="N694" s="77"/>
      <c r="O694" s="77"/>
      <c r="P694" s="77"/>
      <c r="Q694" s="77"/>
      <c r="R694" s="77"/>
      <c r="S694" s="77"/>
      <c r="T694" s="77"/>
      <c r="U694" s="77"/>
    </row>
    <row r="695" customFormat="false" ht="15.75" hidden="false" customHeight="true" outlineLevel="0" collapsed="false">
      <c r="A695" s="77"/>
      <c r="B695" s="99"/>
      <c r="C695" s="100"/>
      <c r="D695" s="100"/>
      <c r="E695" s="77"/>
      <c r="F695" s="77"/>
      <c r="G695" s="77"/>
      <c r="H695" s="77"/>
      <c r="I695" s="77"/>
      <c r="J695" s="77"/>
      <c r="K695" s="77"/>
      <c r="L695" s="101"/>
      <c r="M695" s="100"/>
      <c r="N695" s="77"/>
      <c r="O695" s="77"/>
      <c r="P695" s="77"/>
      <c r="Q695" s="77"/>
      <c r="R695" s="77"/>
      <c r="S695" s="77"/>
      <c r="T695" s="77"/>
      <c r="U695" s="77"/>
    </row>
    <row r="696" customFormat="false" ht="15.75" hidden="false" customHeight="true" outlineLevel="0" collapsed="false">
      <c r="A696" s="77"/>
      <c r="B696" s="99"/>
      <c r="C696" s="100"/>
      <c r="D696" s="100"/>
      <c r="E696" s="77"/>
      <c r="F696" s="77"/>
      <c r="G696" s="77"/>
      <c r="H696" s="77"/>
      <c r="I696" s="77"/>
      <c r="J696" s="77"/>
      <c r="K696" s="77"/>
      <c r="L696" s="101"/>
      <c r="M696" s="100"/>
      <c r="N696" s="77"/>
      <c r="O696" s="77"/>
      <c r="P696" s="77"/>
      <c r="Q696" s="77"/>
      <c r="R696" s="77"/>
      <c r="S696" s="77"/>
      <c r="T696" s="77"/>
      <c r="U696" s="77"/>
    </row>
    <row r="697" customFormat="false" ht="15.75" hidden="false" customHeight="true" outlineLevel="0" collapsed="false">
      <c r="A697" s="77"/>
      <c r="B697" s="99"/>
      <c r="C697" s="100"/>
      <c r="D697" s="100"/>
      <c r="E697" s="77"/>
      <c r="F697" s="77"/>
      <c r="G697" s="77"/>
      <c r="H697" s="77"/>
      <c r="I697" s="77"/>
      <c r="J697" s="77"/>
      <c r="K697" s="77"/>
      <c r="L697" s="101"/>
      <c r="M697" s="100"/>
      <c r="N697" s="77"/>
      <c r="O697" s="77"/>
      <c r="P697" s="77"/>
      <c r="Q697" s="77"/>
      <c r="R697" s="77"/>
      <c r="S697" s="77"/>
      <c r="T697" s="77"/>
      <c r="U697" s="77"/>
    </row>
    <row r="698" customFormat="false" ht="15.75" hidden="false" customHeight="true" outlineLevel="0" collapsed="false">
      <c r="A698" s="77"/>
      <c r="B698" s="99"/>
      <c r="C698" s="100"/>
      <c r="D698" s="100"/>
      <c r="E698" s="77"/>
      <c r="F698" s="77"/>
      <c r="G698" s="77"/>
      <c r="H698" s="77"/>
      <c r="I698" s="77"/>
      <c r="J698" s="77"/>
      <c r="K698" s="77"/>
      <c r="L698" s="101"/>
      <c r="M698" s="100"/>
      <c r="N698" s="77"/>
      <c r="O698" s="77"/>
      <c r="P698" s="77"/>
      <c r="Q698" s="77"/>
      <c r="R698" s="77"/>
      <c r="S698" s="77"/>
      <c r="T698" s="77"/>
      <c r="U698" s="77"/>
    </row>
    <row r="699" customFormat="false" ht="15.75" hidden="false" customHeight="true" outlineLevel="0" collapsed="false">
      <c r="A699" s="77"/>
      <c r="B699" s="99"/>
      <c r="C699" s="100"/>
      <c r="D699" s="100"/>
      <c r="E699" s="77"/>
      <c r="F699" s="77"/>
      <c r="G699" s="77"/>
      <c r="H699" s="77"/>
      <c r="I699" s="77"/>
      <c r="J699" s="77"/>
      <c r="K699" s="77"/>
      <c r="L699" s="101"/>
      <c r="M699" s="100"/>
      <c r="N699" s="77"/>
      <c r="O699" s="77"/>
      <c r="P699" s="77"/>
      <c r="Q699" s="77"/>
      <c r="R699" s="77"/>
      <c r="S699" s="77"/>
      <c r="T699" s="77"/>
      <c r="U699" s="77"/>
    </row>
    <row r="700" customFormat="false" ht="15.75" hidden="false" customHeight="true" outlineLevel="0" collapsed="false">
      <c r="A700" s="77"/>
      <c r="B700" s="99"/>
      <c r="C700" s="100"/>
      <c r="D700" s="100"/>
      <c r="E700" s="77"/>
      <c r="F700" s="77"/>
      <c r="G700" s="77"/>
      <c r="H700" s="77"/>
      <c r="I700" s="77"/>
      <c r="J700" s="77"/>
      <c r="K700" s="77"/>
      <c r="L700" s="101"/>
      <c r="M700" s="100"/>
      <c r="N700" s="77"/>
      <c r="O700" s="77"/>
      <c r="P700" s="77"/>
      <c r="Q700" s="77"/>
      <c r="R700" s="77"/>
      <c r="S700" s="77"/>
      <c r="T700" s="77"/>
      <c r="U700" s="77"/>
    </row>
    <row r="701" customFormat="false" ht="15.75" hidden="false" customHeight="true" outlineLevel="0" collapsed="false">
      <c r="A701" s="77"/>
      <c r="B701" s="99"/>
      <c r="C701" s="100"/>
      <c r="D701" s="100"/>
      <c r="E701" s="77"/>
      <c r="F701" s="77"/>
      <c r="G701" s="77"/>
      <c r="H701" s="77"/>
      <c r="I701" s="77"/>
      <c r="J701" s="77"/>
      <c r="K701" s="77"/>
      <c r="L701" s="101"/>
      <c r="M701" s="100"/>
      <c r="N701" s="77"/>
      <c r="O701" s="77"/>
      <c r="P701" s="77"/>
      <c r="Q701" s="77"/>
      <c r="R701" s="77"/>
      <c r="S701" s="77"/>
      <c r="T701" s="77"/>
      <c r="U701" s="77"/>
    </row>
    <row r="702" customFormat="false" ht="15.75" hidden="false" customHeight="true" outlineLevel="0" collapsed="false">
      <c r="A702" s="77"/>
      <c r="B702" s="99"/>
      <c r="C702" s="100"/>
      <c r="D702" s="100"/>
      <c r="E702" s="77"/>
      <c r="F702" s="77"/>
      <c r="G702" s="77"/>
      <c r="H702" s="77"/>
      <c r="I702" s="77"/>
      <c r="J702" s="77"/>
      <c r="K702" s="77"/>
      <c r="L702" s="101"/>
      <c r="M702" s="100"/>
      <c r="N702" s="77"/>
      <c r="O702" s="77"/>
      <c r="P702" s="77"/>
      <c r="Q702" s="77"/>
      <c r="R702" s="77"/>
      <c r="S702" s="77"/>
      <c r="T702" s="77"/>
      <c r="U702" s="77"/>
    </row>
    <row r="703" customFormat="false" ht="15.75" hidden="false" customHeight="true" outlineLevel="0" collapsed="false">
      <c r="A703" s="77"/>
      <c r="B703" s="99"/>
      <c r="C703" s="100"/>
      <c r="D703" s="100"/>
      <c r="E703" s="77"/>
      <c r="F703" s="77"/>
      <c r="G703" s="77"/>
      <c r="H703" s="77"/>
      <c r="I703" s="77"/>
      <c r="J703" s="77"/>
      <c r="K703" s="77"/>
      <c r="L703" s="101"/>
      <c r="M703" s="100"/>
      <c r="N703" s="77"/>
      <c r="O703" s="77"/>
      <c r="P703" s="77"/>
      <c r="Q703" s="77"/>
      <c r="R703" s="77"/>
      <c r="S703" s="77"/>
      <c r="T703" s="77"/>
      <c r="U703" s="77"/>
    </row>
    <row r="704" customFormat="false" ht="15.75" hidden="false" customHeight="true" outlineLevel="0" collapsed="false">
      <c r="A704" s="77"/>
      <c r="B704" s="99"/>
      <c r="C704" s="100"/>
      <c r="D704" s="100"/>
      <c r="E704" s="77"/>
      <c r="F704" s="77"/>
      <c r="G704" s="77"/>
      <c r="H704" s="77"/>
      <c r="I704" s="77"/>
      <c r="J704" s="77"/>
      <c r="K704" s="77"/>
      <c r="L704" s="101"/>
      <c r="M704" s="100"/>
      <c r="N704" s="77"/>
      <c r="O704" s="77"/>
      <c r="P704" s="77"/>
      <c r="Q704" s="77"/>
      <c r="R704" s="77"/>
      <c r="S704" s="77"/>
      <c r="T704" s="77"/>
      <c r="U704" s="77"/>
    </row>
    <row r="705" customFormat="false" ht="15.75" hidden="false" customHeight="true" outlineLevel="0" collapsed="false">
      <c r="A705" s="77"/>
      <c r="B705" s="99"/>
      <c r="C705" s="100"/>
      <c r="D705" s="100"/>
      <c r="E705" s="77"/>
      <c r="F705" s="77"/>
      <c r="G705" s="77"/>
      <c r="H705" s="77"/>
      <c r="I705" s="77"/>
      <c r="J705" s="77"/>
      <c r="K705" s="77"/>
      <c r="L705" s="101"/>
      <c r="M705" s="100"/>
      <c r="N705" s="77"/>
      <c r="O705" s="77"/>
      <c r="P705" s="77"/>
      <c r="Q705" s="77"/>
      <c r="R705" s="77"/>
      <c r="S705" s="77"/>
      <c r="T705" s="77"/>
      <c r="U705" s="77"/>
    </row>
    <row r="706" customFormat="false" ht="15.75" hidden="false" customHeight="true" outlineLevel="0" collapsed="false">
      <c r="A706" s="77"/>
      <c r="B706" s="99"/>
      <c r="C706" s="100"/>
      <c r="D706" s="100"/>
      <c r="E706" s="77"/>
      <c r="F706" s="77"/>
      <c r="G706" s="77"/>
      <c r="H706" s="77"/>
      <c r="I706" s="77"/>
      <c r="J706" s="77"/>
      <c r="K706" s="77"/>
      <c r="L706" s="101"/>
      <c r="M706" s="100"/>
      <c r="N706" s="77"/>
      <c r="O706" s="77"/>
      <c r="P706" s="77"/>
      <c r="Q706" s="77"/>
      <c r="R706" s="77"/>
      <c r="S706" s="77"/>
      <c r="T706" s="77"/>
      <c r="U706" s="77"/>
    </row>
    <row r="707" customFormat="false" ht="15.75" hidden="false" customHeight="true" outlineLevel="0" collapsed="false">
      <c r="A707" s="77"/>
      <c r="B707" s="99"/>
      <c r="C707" s="100"/>
      <c r="D707" s="100"/>
      <c r="E707" s="77"/>
      <c r="F707" s="77"/>
      <c r="G707" s="77"/>
      <c r="H707" s="77"/>
      <c r="I707" s="77"/>
      <c r="J707" s="77"/>
      <c r="K707" s="77"/>
      <c r="L707" s="101"/>
      <c r="M707" s="100"/>
      <c r="N707" s="77"/>
      <c r="O707" s="77"/>
      <c r="P707" s="77"/>
      <c r="Q707" s="77"/>
      <c r="R707" s="77"/>
      <c r="S707" s="77"/>
      <c r="T707" s="77"/>
      <c r="U707" s="77"/>
    </row>
    <row r="708" customFormat="false" ht="15.75" hidden="false" customHeight="true" outlineLevel="0" collapsed="false">
      <c r="A708" s="77"/>
      <c r="B708" s="99"/>
      <c r="C708" s="100"/>
      <c r="D708" s="100"/>
      <c r="E708" s="77"/>
      <c r="F708" s="77"/>
      <c r="G708" s="77"/>
      <c r="H708" s="77"/>
      <c r="I708" s="77"/>
      <c r="J708" s="77"/>
      <c r="K708" s="77"/>
      <c r="L708" s="101"/>
      <c r="M708" s="100"/>
      <c r="N708" s="77"/>
      <c r="O708" s="77"/>
      <c r="P708" s="77"/>
      <c r="Q708" s="77"/>
      <c r="R708" s="77"/>
      <c r="S708" s="77"/>
      <c r="T708" s="77"/>
      <c r="U708" s="77"/>
    </row>
    <row r="709" customFormat="false" ht="15.75" hidden="false" customHeight="true" outlineLevel="0" collapsed="false">
      <c r="A709" s="77"/>
      <c r="B709" s="99"/>
      <c r="C709" s="100"/>
      <c r="D709" s="100"/>
      <c r="E709" s="77"/>
      <c r="F709" s="77"/>
      <c r="G709" s="77"/>
      <c r="H709" s="77"/>
      <c r="I709" s="77"/>
      <c r="J709" s="77"/>
      <c r="K709" s="77"/>
      <c r="L709" s="101"/>
      <c r="M709" s="100"/>
      <c r="N709" s="77"/>
      <c r="O709" s="77"/>
      <c r="P709" s="77"/>
      <c r="Q709" s="77"/>
      <c r="R709" s="77"/>
      <c r="S709" s="77"/>
      <c r="T709" s="77"/>
      <c r="U709" s="77"/>
    </row>
    <row r="710" customFormat="false" ht="15.75" hidden="false" customHeight="true" outlineLevel="0" collapsed="false">
      <c r="A710" s="77"/>
      <c r="B710" s="99"/>
      <c r="C710" s="100"/>
      <c r="D710" s="100"/>
      <c r="E710" s="77"/>
      <c r="F710" s="77"/>
      <c r="G710" s="77"/>
      <c r="H710" s="77"/>
      <c r="I710" s="77"/>
      <c r="J710" s="77"/>
      <c r="K710" s="77"/>
      <c r="L710" s="101"/>
      <c r="M710" s="100"/>
      <c r="N710" s="77"/>
      <c r="O710" s="77"/>
      <c r="P710" s="77"/>
      <c r="Q710" s="77"/>
      <c r="R710" s="77"/>
      <c r="S710" s="77"/>
      <c r="T710" s="77"/>
      <c r="U710" s="77"/>
    </row>
    <row r="711" customFormat="false" ht="15.75" hidden="false" customHeight="true" outlineLevel="0" collapsed="false">
      <c r="A711" s="77"/>
      <c r="B711" s="99"/>
      <c r="C711" s="100"/>
      <c r="D711" s="100"/>
      <c r="E711" s="77"/>
      <c r="F711" s="77"/>
      <c r="G711" s="77"/>
      <c r="H711" s="77"/>
      <c r="I711" s="77"/>
      <c r="J711" s="77"/>
      <c r="K711" s="77"/>
      <c r="L711" s="101"/>
      <c r="M711" s="100"/>
      <c r="N711" s="77"/>
      <c r="O711" s="77"/>
      <c r="P711" s="77"/>
      <c r="Q711" s="77"/>
      <c r="R711" s="77"/>
      <c r="S711" s="77"/>
      <c r="T711" s="77"/>
      <c r="U711" s="77"/>
    </row>
    <row r="712" customFormat="false" ht="15.75" hidden="false" customHeight="true" outlineLevel="0" collapsed="false">
      <c r="A712" s="77"/>
      <c r="B712" s="99"/>
      <c r="C712" s="100"/>
      <c r="D712" s="100"/>
      <c r="E712" s="77"/>
      <c r="F712" s="77"/>
      <c r="G712" s="77"/>
      <c r="H712" s="77"/>
      <c r="I712" s="77"/>
      <c r="J712" s="77"/>
      <c r="K712" s="77"/>
      <c r="L712" s="101"/>
      <c r="M712" s="100"/>
      <c r="N712" s="77"/>
      <c r="O712" s="77"/>
      <c r="P712" s="77"/>
      <c r="Q712" s="77"/>
      <c r="R712" s="77"/>
      <c r="S712" s="77"/>
      <c r="T712" s="77"/>
      <c r="U712" s="77"/>
    </row>
    <row r="713" customFormat="false" ht="15.75" hidden="false" customHeight="true" outlineLevel="0" collapsed="false">
      <c r="A713" s="77"/>
      <c r="B713" s="99"/>
      <c r="C713" s="100"/>
      <c r="D713" s="100"/>
      <c r="E713" s="77"/>
      <c r="F713" s="77"/>
      <c r="G713" s="77"/>
      <c r="H713" s="77"/>
      <c r="I713" s="77"/>
      <c r="J713" s="77"/>
      <c r="K713" s="77"/>
      <c r="L713" s="101"/>
      <c r="M713" s="100"/>
      <c r="N713" s="77"/>
      <c r="O713" s="77"/>
      <c r="P713" s="77"/>
      <c r="Q713" s="77"/>
      <c r="R713" s="77"/>
      <c r="S713" s="77"/>
      <c r="T713" s="77"/>
      <c r="U713" s="77"/>
    </row>
    <row r="714" customFormat="false" ht="15.75" hidden="false" customHeight="true" outlineLevel="0" collapsed="false">
      <c r="A714" s="77"/>
      <c r="B714" s="99"/>
      <c r="C714" s="100"/>
      <c r="D714" s="100"/>
      <c r="E714" s="77"/>
      <c r="F714" s="77"/>
      <c r="G714" s="77"/>
      <c r="H714" s="77"/>
      <c r="I714" s="77"/>
      <c r="J714" s="77"/>
      <c r="K714" s="77"/>
      <c r="L714" s="101"/>
      <c r="M714" s="100"/>
      <c r="N714" s="77"/>
      <c r="O714" s="77"/>
      <c r="P714" s="77"/>
      <c r="Q714" s="77"/>
      <c r="R714" s="77"/>
      <c r="S714" s="77"/>
      <c r="T714" s="77"/>
      <c r="U714" s="77"/>
    </row>
    <row r="715" customFormat="false" ht="15.75" hidden="false" customHeight="true" outlineLevel="0" collapsed="false">
      <c r="A715" s="77"/>
      <c r="B715" s="99"/>
      <c r="C715" s="100"/>
      <c r="D715" s="100"/>
      <c r="E715" s="77"/>
      <c r="F715" s="77"/>
      <c r="G715" s="77"/>
      <c r="H715" s="77"/>
      <c r="I715" s="77"/>
      <c r="J715" s="77"/>
      <c r="K715" s="77"/>
      <c r="L715" s="101"/>
      <c r="M715" s="100"/>
      <c r="N715" s="77"/>
      <c r="O715" s="77"/>
      <c r="P715" s="77"/>
      <c r="Q715" s="77"/>
      <c r="R715" s="77"/>
      <c r="S715" s="77"/>
      <c r="T715" s="77"/>
      <c r="U715" s="77"/>
    </row>
    <row r="716" customFormat="false" ht="15.75" hidden="false" customHeight="true" outlineLevel="0" collapsed="false">
      <c r="A716" s="77"/>
      <c r="B716" s="99"/>
      <c r="C716" s="100"/>
      <c r="D716" s="100"/>
      <c r="E716" s="77"/>
      <c r="F716" s="77"/>
      <c r="G716" s="77"/>
      <c r="H716" s="77"/>
      <c r="I716" s="77"/>
      <c r="J716" s="77"/>
      <c r="K716" s="77"/>
      <c r="L716" s="101"/>
      <c r="M716" s="100"/>
      <c r="N716" s="77"/>
      <c r="O716" s="77"/>
      <c r="P716" s="77"/>
      <c r="Q716" s="77"/>
      <c r="R716" s="77"/>
      <c r="S716" s="77"/>
      <c r="T716" s="77"/>
      <c r="U716" s="77"/>
    </row>
    <row r="717" customFormat="false" ht="15.75" hidden="false" customHeight="true" outlineLevel="0" collapsed="false">
      <c r="A717" s="77"/>
      <c r="B717" s="99"/>
      <c r="C717" s="100"/>
      <c r="D717" s="100"/>
      <c r="E717" s="77"/>
      <c r="F717" s="77"/>
      <c r="G717" s="77"/>
      <c r="H717" s="77"/>
      <c r="I717" s="77"/>
      <c r="J717" s="77"/>
      <c r="K717" s="77"/>
      <c r="L717" s="101"/>
      <c r="M717" s="100"/>
      <c r="N717" s="77"/>
      <c r="O717" s="77"/>
      <c r="P717" s="77"/>
      <c r="Q717" s="77"/>
      <c r="R717" s="77"/>
      <c r="S717" s="77"/>
      <c r="T717" s="77"/>
      <c r="U717" s="77"/>
    </row>
    <row r="718" customFormat="false" ht="15.75" hidden="false" customHeight="true" outlineLevel="0" collapsed="false">
      <c r="A718" s="77"/>
      <c r="B718" s="99"/>
      <c r="C718" s="100"/>
      <c r="D718" s="100"/>
      <c r="E718" s="77"/>
      <c r="F718" s="77"/>
      <c r="G718" s="77"/>
      <c r="H718" s="77"/>
      <c r="I718" s="77"/>
      <c r="J718" s="77"/>
      <c r="K718" s="77"/>
      <c r="L718" s="101"/>
      <c r="M718" s="100"/>
      <c r="N718" s="77"/>
      <c r="O718" s="77"/>
      <c r="P718" s="77"/>
      <c r="Q718" s="77"/>
      <c r="R718" s="77"/>
      <c r="S718" s="77"/>
      <c r="T718" s="77"/>
      <c r="U718" s="77"/>
    </row>
    <row r="719" customFormat="false" ht="15.75" hidden="false" customHeight="true" outlineLevel="0" collapsed="false">
      <c r="A719" s="77"/>
      <c r="B719" s="99"/>
      <c r="C719" s="100"/>
      <c r="D719" s="100"/>
      <c r="E719" s="77"/>
      <c r="F719" s="77"/>
      <c r="G719" s="77"/>
      <c r="H719" s="77"/>
      <c r="I719" s="77"/>
      <c r="J719" s="77"/>
      <c r="K719" s="77"/>
      <c r="L719" s="101"/>
      <c r="M719" s="100"/>
      <c r="N719" s="77"/>
      <c r="O719" s="77"/>
      <c r="P719" s="77"/>
      <c r="Q719" s="77"/>
      <c r="R719" s="77"/>
      <c r="S719" s="77"/>
      <c r="T719" s="77"/>
      <c r="U719" s="77"/>
    </row>
    <row r="720" customFormat="false" ht="15.75" hidden="false" customHeight="true" outlineLevel="0" collapsed="false">
      <c r="A720" s="77"/>
      <c r="B720" s="99"/>
      <c r="C720" s="100"/>
      <c r="D720" s="100"/>
      <c r="E720" s="77"/>
      <c r="F720" s="77"/>
      <c r="G720" s="77"/>
      <c r="H720" s="77"/>
      <c r="I720" s="77"/>
      <c r="J720" s="77"/>
      <c r="K720" s="77"/>
      <c r="L720" s="101"/>
      <c r="M720" s="100"/>
      <c r="N720" s="77"/>
      <c r="O720" s="77"/>
      <c r="P720" s="77"/>
      <c r="Q720" s="77"/>
      <c r="R720" s="77"/>
      <c r="S720" s="77"/>
      <c r="T720" s="77"/>
      <c r="U720" s="77"/>
    </row>
    <row r="721" customFormat="false" ht="15.75" hidden="false" customHeight="true" outlineLevel="0" collapsed="false">
      <c r="A721" s="77"/>
      <c r="B721" s="99"/>
      <c r="C721" s="100"/>
      <c r="D721" s="100"/>
      <c r="E721" s="77"/>
      <c r="F721" s="77"/>
      <c r="G721" s="77"/>
      <c r="H721" s="77"/>
      <c r="I721" s="77"/>
      <c r="J721" s="77"/>
      <c r="K721" s="77"/>
      <c r="L721" s="101"/>
      <c r="M721" s="100"/>
      <c r="N721" s="77"/>
      <c r="O721" s="77"/>
      <c r="P721" s="77"/>
      <c r="Q721" s="77"/>
      <c r="R721" s="77"/>
      <c r="S721" s="77"/>
      <c r="T721" s="77"/>
      <c r="U721" s="77"/>
    </row>
    <row r="722" customFormat="false" ht="15.75" hidden="false" customHeight="true" outlineLevel="0" collapsed="false">
      <c r="A722" s="77"/>
      <c r="B722" s="99"/>
      <c r="C722" s="100"/>
      <c r="D722" s="100"/>
      <c r="E722" s="77"/>
      <c r="F722" s="77"/>
      <c r="G722" s="77"/>
      <c r="H722" s="77"/>
      <c r="I722" s="77"/>
      <c r="J722" s="77"/>
      <c r="K722" s="77"/>
      <c r="L722" s="101"/>
      <c r="M722" s="100"/>
      <c r="N722" s="77"/>
      <c r="O722" s="77"/>
      <c r="P722" s="77"/>
      <c r="Q722" s="77"/>
      <c r="R722" s="77"/>
      <c r="S722" s="77"/>
      <c r="T722" s="77"/>
      <c r="U722" s="77"/>
    </row>
    <row r="723" customFormat="false" ht="15.75" hidden="false" customHeight="true" outlineLevel="0" collapsed="false">
      <c r="A723" s="77"/>
      <c r="B723" s="99"/>
      <c r="C723" s="100"/>
      <c r="D723" s="100"/>
      <c r="E723" s="77"/>
      <c r="F723" s="77"/>
      <c r="G723" s="77"/>
      <c r="H723" s="77"/>
      <c r="I723" s="77"/>
      <c r="J723" s="77"/>
      <c r="K723" s="77"/>
      <c r="L723" s="101"/>
      <c r="M723" s="100"/>
      <c r="N723" s="77"/>
      <c r="O723" s="77"/>
      <c r="P723" s="77"/>
      <c r="Q723" s="77"/>
      <c r="R723" s="77"/>
      <c r="S723" s="77"/>
      <c r="T723" s="77"/>
      <c r="U723" s="77"/>
    </row>
    <row r="724" customFormat="false" ht="15.75" hidden="false" customHeight="true" outlineLevel="0" collapsed="false">
      <c r="A724" s="77"/>
      <c r="B724" s="99"/>
      <c r="C724" s="100"/>
      <c r="D724" s="100"/>
      <c r="E724" s="77"/>
      <c r="F724" s="77"/>
      <c r="G724" s="77"/>
      <c r="H724" s="77"/>
      <c r="I724" s="77"/>
      <c r="J724" s="77"/>
      <c r="K724" s="77"/>
      <c r="L724" s="101"/>
      <c r="M724" s="100"/>
      <c r="N724" s="77"/>
      <c r="O724" s="77"/>
      <c r="P724" s="77"/>
      <c r="Q724" s="77"/>
      <c r="R724" s="77"/>
      <c r="S724" s="77"/>
      <c r="T724" s="77"/>
      <c r="U724" s="77"/>
    </row>
    <row r="725" customFormat="false" ht="15.75" hidden="false" customHeight="true" outlineLevel="0" collapsed="false">
      <c r="A725" s="77"/>
      <c r="B725" s="99"/>
      <c r="C725" s="100"/>
      <c r="D725" s="100"/>
      <c r="E725" s="77"/>
      <c r="F725" s="77"/>
      <c r="G725" s="77"/>
      <c r="H725" s="77"/>
      <c r="I725" s="77"/>
      <c r="J725" s="77"/>
      <c r="K725" s="77"/>
      <c r="L725" s="101"/>
      <c r="M725" s="100"/>
      <c r="N725" s="77"/>
      <c r="O725" s="77"/>
      <c r="P725" s="77"/>
      <c r="Q725" s="77"/>
      <c r="R725" s="77"/>
      <c r="S725" s="77"/>
      <c r="T725" s="77"/>
      <c r="U725" s="77"/>
    </row>
    <row r="726" customFormat="false" ht="15.75" hidden="false" customHeight="true" outlineLevel="0" collapsed="false">
      <c r="A726" s="77"/>
      <c r="B726" s="99"/>
      <c r="C726" s="100"/>
      <c r="D726" s="100"/>
      <c r="E726" s="77"/>
      <c r="F726" s="77"/>
      <c r="G726" s="77"/>
      <c r="H726" s="77"/>
      <c r="I726" s="77"/>
      <c r="J726" s="77"/>
      <c r="K726" s="77"/>
      <c r="L726" s="101"/>
      <c r="M726" s="100"/>
      <c r="N726" s="77"/>
      <c r="O726" s="77"/>
      <c r="P726" s="77"/>
      <c r="Q726" s="77"/>
      <c r="R726" s="77"/>
      <c r="S726" s="77"/>
      <c r="T726" s="77"/>
      <c r="U726" s="77"/>
    </row>
    <row r="727" customFormat="false" ht="15.75" hidden="false" customHeight="true" outlineLevel="0" collapsed="false">
      <c r="A727" s="77"/>
      <c r="B727" s="99"/>
      <c r="C727" s="100"/>
      <c r="D727" s="100"/>
      <c r="E727" s="77"/>
      <c r="F727" s="77"/>
      <c r="G727" s="77"/>
      <c r="H727" s="77"/>
      <c r="I727" s="77"/>
      <c r="J727" s="77"/>
      <c r="K727" s="77"/>
      <c r="L727" s="101"/>
      <c r="M727" s="100"/>
      <c r="N727" s="77"/>
      <c r="O727" s="77"/>
      <c r="P727" s="77"/>
      <c r="Q727" s="77"/>
      <c r="R727" s="77"/>
      <c r="S727" s="77"/>
      <c r="T727" s="77"/>
      <c r="U727" s="77"/>
    </row>
    <row r="728" customFormat="false" ht="15.75" hidden="false" customHeight="true" outlineLevel="0" collapsed="false">
      <c r="A728" s="77"/>
      <c r="B728" s="99"/>
      <c r="C728" s="100"/>
      <c r="D728" s="100"/>
      <c r="E728" s="77"/>
      <c r="F728" s="77"/>
      <c r="G728" s="77"/>
      <c r="H728" s="77"/>
      <c r="I728" s="77"/>
      <c r="J728" s="77"/>
      <c r="K728" s="77"/>
      <c r="L728" s="101"/>
      <c r="M728" s="100"/>
      <c r="N728" s="77"/>
      <c r="O728" s="77"/>
      <c r="P728" s="77"/>
      <c r="Q728" s="77"/>
      <c r="R728" s="77"/>
      <c r="S728" s="77"/>
      <c r="T728" s="77"/>
      <c r="U728" s="77"/>
    </row>
    <row r="729" customFormat="false" ht="15.75" hidden="false" customHeight="true" outlineLevel="0" collapsed="false">
      <c r="A729" s="77"/>
      <c r="B729" s="99"/>
      <c r="C729" s="100"/>
      <c r="D729" s="100"/>
      <c r="E729" s="77"/>
      <c r="F729" s="77"/>
      <c r="G729" s="77"/>
      <c r="H729" s="77"/>
      <c r="I729" s="77"/>
      <c r="J729" s="77"/>
      <c r="K729" s="77"/>
      <c r="L729" s="101"/>
      <c r="M729" s="100"/>
      <c r="N729" s="77"/>
      <c r="O729" s="77"/>
      <c r="P729" s="77"/>
      <c r="Q729" s="77"/>
      <c r="R729" s="77"/>
      <c r="S729" s="77"/>
      <c r="T729" s="77"/>
      <c r="U729" s="77"/>
    </row>
    <row r="730" customFormat="false" ht="15.75" hidden="false" customHeight="true" outlineLevel="0" collapsed="false">
      <c r="A730" s="77"/>
      <c r="B730" s="99"/>
      <c r="C730" s="100"/>
      <c r="D730" s="100"/>
      <c r="E730" s="77"/>
      <c r="F730" s="77"/>
      <c r="G730" s="77"/>
      <c r="H730" s="77"/>
      <c r="I730" s="77"/>
      <c r="J730" s="77"/>
      <c r="K730" s="77"/>
      <c r="L730" s="101"/>
      <c r="M730" s="100"/>
      <c r="N730" s="77"/>
      <c r="O730" s="77"/>
      <c r="P730" s="77"/>
      <c r="Q730" s="77"/>
      <c r="R730" s="77"/>
      <c r="S730" s="77"/>
      <c r="T730" s="77"/>
      <c r="U730" s="77"/>
    </row>
    <row r="731" customFormat="false" ht="15.75" hidden="false" customHeight="true" outlineLevel="0" collapsed="false">
      <c r="A731" s="77"/>
      <c r="B731" s="99"/>
      <c r="C731" s="100"/>
      <c r="D731" s="100"/>
      <c r="E731" s="77"/>
      <c r="F731" s="77"/>
      <c r="G731" s="77"/>
      <c r="H731" s="77"/>
      <c r="I731" s="77"/>
      <c r="J731" s="77"/>
      <c r="K731" s="77"/>
      <c r="L731" s="101"/>
      <c r="M731" s="100"/>
      <c r="N731" s="77"/>
      <c r="O731" s="77"/>
      <c r="P731" s="77"/>
      <c r="Q731" s="77"/>
      <c r="R731" s="77"/>
      <c r="S731" s="77"/>
      <c r="T731" s="77"/>
      <c r="U731" s="77"/>
    </row>
    <row r="732" customFormat="false" ht="15.75" hidden="false" customHeight="true" outlineLevel="0" collapsed="false">
      <c r="A732" s="77"/>
      <c r="B732" s="99"/>
      <c r="C732" s="100"/>
      <c r="D732" s="100"/>
      <c r="E732" s="77"/>
      <c r="F732" s="77"/>
      <c r="G732" s="77"/>
      <c r="H732" s="77"/>
      <c r="I732" s="77"/>
      <c r="J732" s="77"/>
      <c r="K732" s="77"/>
      <c r="L732" s="101"/>
      <c r="M732" s="100"/>
      <c r="N732" s="77"/>
      <c r="O732" s="77"/>
      <c r="P732" s="77"/>
      <c r="Q732" s="77"/>
      <c r="R732" s="77"/>
      <c r="S732" s="77"/>
      <c r="T732" s="77"/>
      <c r="U732" s="77"/>
    </row>
    <row r="733" customFormat="false" ht="15.75" hidden="false" customHeight="true" outlineLevel="0" collapsed="false">
      <c r="A733" s="77"/>
      <c r="B733" s="99"/>
      <c r="C733" s="100"/>
      <c r="D733" s="100"/>
      <c r="E733" s="77"/>
      <c r="F733" s="77"/>
      <c r="G733" s="77"/>
      <c r="H733" s="77"/>
      <c r="I733" s="77"/>
      <c r="J733" s="77"/>
      <c r="K733" s="77"/>
      <c r="L733" s="101"/>
      <c r="M733" s="100"/>
      <c r="N733" s="77"/>
      <c r="O733" s="77"/>
      <c r="P733" s="77"/>
      <c r="Q733" s="77"/>
      <c r="R733" s="77"/>
      <c r="S733" s="77"/>
      <c r="T733" s="77"/>
      <c r="U733" s="77"/>
    </row>
    <row r="734" customFormat="false" ht="15.75" hidden="false" customHeight="true" outlineLevel="0" collapsed="false">
      <c r="A734" s="77"/>
      <c r="B734" s="99"/>
      <c r="C734" s="100"/>
      <c r="D734" s="100"/>
      <c r="E734" s="77"/>
      <c r="F734" s="77"/>
      <c r="G734" s="77"/>
      <c r="H734" s="77"/>
      <c r="I734" s="77"/>
      <c r="J734" s="77"/>
      <c r="K734" s="77"/>
      <c r="L734" s="101"/>
      <c r="M734" s="100"/>
      <c r="N734" s="77"/>
      <c r="O734" s="77"/>
      <c r="P734" s="77"/>
      <c r="Q734" s="77"/>
      <c r="R734" s="77"/>
      <c r="S734" s="77"/>
      <c r="T734" s="77"/>
      <c r="U734" s="77"/>
    </row>
    <row r="735" customFormat="false" ht="15.75" hidden="false" customHeight="true" outlineLevel="0" collapsed="false">
      <c r="A735" s="77"/>
      <c r="B735" s="99"/>
      <c r="C735" s="100"/>
      <c r="D735" s="100"/>
      <c r="E735" s="77"/>
      <c r="F735" s="77"/>
      <c r="G735" s="77"/>
      <c r="H735" s="77"/>
      <c r="I735" s="77"/>
      <c r="J735" s="77"/>
      <c r="K735" s="77"/>
      <c r="L735" s="101"/>
      <c r="M735" s="100"/>
      <c r="N735" s="77"/>
      <c r="O735" s="77"/>
      <c r="P735" s="77"/>
      <c r="Q735" s="77"/>
      <c r="R735" s="77"/>
      <c r="S735" s="77"/>
      <c r="T735" s="77"/>
      <c r="U735" s="77"/>
    </row>
    <row r="736" customFormat="false" ht="15.75" hidden="false" customHeight="true" outlineLevel="0" collapsed="false">
      <c r="A736" s="77"/>
      <c r="B736" s="99"/>
      <c r="C736" s="100"/>
      <c r="D736" s="100"/>
      <c r="E736" s="77"/>
      <c r="F736" s="77"/>
      <c r="G736" s="77"/>
      <c r="H736" s="77"/>
      <c r="I736" s="77"/>
      <c r="J736" s="77"/>
      <c r="K736" s="77"/>
      <c r="L736" s="101"/>
      <c r="M736" s="100"/>
      <c r="N736" s="77"/>
      <c r="O736" s="77"/>
      <c r="P736" s="77"/>
      <c r="Q736" s="77"/>
      <c r="R736" s="77"/>
      <c r="S736" s="77"/>
      <c r="T736" s="77"/>
      <c r="U736" s="77"/>
    </row>
    <row r="737" customFormat="false" ht="15.75" hidden="false" customHeight="true" outlineLevel="0" collapsed="false">
      <c r="A737" s="77"/>
      <c r="B737" s="99"/>
      <c r="C737" s="100"/>
      <c r="D737" s="100"/>
      <c r="E737" s="77"/>
      <c r="F737" s="77"/>
      <c r="G737" s="77"/>
      <c r="H737" s="77"/>
      <c r="I737" s="77"/>
      <c r="J737" s="77"/>
      <c r="K737" s="77"/>
      <c r="L737" s="101"/>
      <c r="M737" s="100"/>
      <c r="N737" s="77"/>
      <c r="O737" s="77"/>
      <c r="P737" s="77"/>
      <c r="Q737" s="77"/>
      <c r="R737" s="77"/>
      <c r="S737" s="77"/>
      <c r="T737" s="77"/>
      <c r="U737" s="77"/>
    </row>
    <row r="738" customFormat="false" ht="15.75" hidden="false" customHeight="true" outlineLevel="0" collapsed="false">
      <c r="A738" s="77"/>
      <c r="B738" s="99"/>
      <c r="C738" s="100"/>
      <c r="D738" s="100"/>
      <c r="E738" s="77"/>
      <c r="F738" s="77"/>
      <c r="G738" s="77"/>
      <c r="H738" s="77"/>
      <c r="I738" s="77"/>
      <c r="J738" s="77"/>
      <c r="K738" s="77"/>
      <c r="L738" s="101"/>
      <c r="M738" s="100"/>
      <c r="N738" s="77"/>
      <c r="O738" s="77"/>
      <c r="P738" s="77"/>
      <c r="Q738" s="77"/>
      <c r="R738" s="77"/>
      <c r="S738" s="77"/>
      <c r="T738" s="77"/>
      <c r="U738" s="77"/>
    </row>
    <row r="739" customFormat="false" ht="15.75" hidden="false" customHeight="true" outlineLevel="0" collapsed="false">
      <c r="A739" s="77"/>
      <c r="B739" s="99"/>
      <c r="C739" s="100"/>
      <c r="D739" s="100"/>
      <c r="E739" s="77"/>
      <c r="F739" s="77"/>
      <c r="G739" s="77"/>
      <c r="H739" s="77"/>
      <c r="I739" s="77"/>
      <c r="J739" s="77"/>
      <c r="K739" s="77"/>
      <c r="L739" s="101"/>
      <c r="M739" s="100"/>
      <c r="N739" s="77"/>
      <c r="O739" s="77"/>
      <c r="P739" s="77"/>
      <c r="Q739" s="77"/>
      <c r="R739" s="77"/>
      <c r="S739" s="77"/>
      <c r="T739" s="77"/>
      <c r="U739" s="77"/>
    </row>
    <row r="740" customFormat="false" ht="15.75" hidden="false" customHeight="true" outlineLevel="0" collapsed="false">
      <c r="A740" s="77"/>
      <c r="B740" s="99"/>
      <c r="C740" s="100"/>
      <c r="D740" s="100"/>
      <c r="E740" s="77"/>
      <c r="F740" s="77"/>
      <c r="G740" s="77"/>
      <c r="H740" s="77"/>
      <c r="I740" s="77"/>
      <c r="J740" s="77"/>
      <c r="K740" s="77"/>
      <c r="L740" s="101"/>
      <c r="M740" s="100"/>
      <c r="N740" s="77"/>
      <c r="O740" s="77"/>
      <c r="P740" s="77"/>
      <c r="Q740" s="77"/>
      <c r="R740" s="77"/>
      <c r="S740" s="77"/>
      <c r="T740" s="77"/>
      <c r="U740" s="77"/>
    </row>
    <row r="741" customFormat="false" ht="15.75" hidden="false" customHeight="true" outlineLevel="0" collapsed="false">
      <c r="A741" s="77"/>
      <c r="B741" s="99"/>
      <c r="C741" s="100"/>
      <c r="D741" s="100"/>
      <c r="E741" s="77"/>
      <c r="F741" s="77"/>
      <c r="G741" s="77"/>
      <c r="H741" s="77"/>
      <c r="I741" s="77"/>
      <c r="J741" s="77"/>
      <c r="K741" s="77"/>
      <c r="L741" s="101"/>
      <c r="M741" s="100"/>
      <c r="N741" s="77"/>
      <c r="O741" s="77"/>
      <c r="P741" s="77"/>
      <c r="Q741" s="77"/>
      <c r="R741" s="77"/>
      <c r="S741" s="77"/>
      <c r="T741" s="77"/>
      <c r="U741" s="77"/>
    </row>
    <row r="742" customFormat="false" ht="15.75" hidden="false" customHeight="true" outlineLevel="0" collapsed="false">
      <c r="A742" s="77"/>
      <c r="B742" s="99"/>
      <c r="C742" s="100"/>
      <c r="D742" s="100"/>
      <c r="E742" s="77"/>
      <c r="F742" s="77"/>
      <c r="G742" s="77"/>
      <c r="H742" s="77"/>
      <c r="I742" s="77"/>
      <c r="J742" s="77"/>
      <c r="K742" s="77"/>
      <c r="L742" s="101"/>
      <c r="M742" s="100"/>
      <c r="N742" s="77"/>
      <c r="O742" s="77"/>
      <c r="P742" s="77"/>
      <c r="Q742" s="77"/>
      <c r="R742" s="77"/>
      <c r="S742" s="77"/>
      <c r="T742" s="77"/>
      <c r="U742" s="77"/>
    </row>
    <row r="743" customFormat="false" ht="15.75" hidden="false" customHeight="true" outlineLevel="0" collapsed="false">
      <c r="A743" s="77"/>
      <c r="B743" s="99"/>
      <c r="C743" s="100"/>
      <c r="D743" s="100"/>
      <c r="E743" s="77"/>
      <c r="F743" s="77"/>
      <c r="G743" s="77"/>
      <c r="H743" s="77"/>
      <c r="I743" s="77"/>
      <c r="J743" s="77"/>
      <c r="K743" s="77"/>
      <c r="L743" s="101"/>
      <c r="M743" s="100"/>
      <c r="N743" s="77"/>
      <c r="O743" s="77"/>
      <c r="P743" s="77"/>
      <c r="Q743" s="77"/>
      <c r="R743" s="77"/>
      <c r="S743" s="77"/>
      <c r="T743" s="77"/>
      <c r="U743" s="77"/>
    </row>
    <row r="744" customFormat="false" ht="15.75" hidden="false" customHeight="true" outlineLevel="0" collapsed="false">
      <c r="A744" s="77"/>
      <c r="B744" s="99"/>
      <c r="C744" s="100"/>
      <c r="D744" s="100"/>
      <c r="E744" s="77"/>
      <c r="F744" s="77"/>
      <c r="G744" s="77"/>
      <c r="H744" s="77"/>
      <c r="I744" s="77"/>
      <c r="J744" s="77"/>
      <c r="K744" s="77"/>
      <c r="L744" s="101"/>
      <c r="M744" s="100"/>
      <c r="N744" s="77"/>
      <c r="O744" s="77"/>
      <c r="P744" s="77"/>
      <c r="Q744" s="77"/>
      <c r="R744" s="77"/>
      <c r="S744" s="77"/>
      <c r="T744" s="77"/>
      <c r="U744" s="77"/>
    </row>
    <row r="745" customFormat="false" ht="15.75" hidden="false" customHeight="true" outlineLevel="0" collapsed="false">
      <c r="A745" s="77"/>
      <c r="B745" s="99"/>
      <c r="C745" s="100"/>
      <c r="D745" s="100"/>
      <c r="E745" s="77"/>
      <c r="F745" s="77"/>
      <c r="G745" s="77"/>
      <c r="H745" s="77"/>
      <c r="I745" s="77"/>
      <c r="J745" s="77"/>
      <c r="K745" s="77"/>
      <c r="L745" s="101"/>
      <c r="M745" s="100"/>
      <c r="N745" s="77"/>
      <c r="O745" s="77"/>
      <c r="P745" s="77"/>
      <c r="Q745" s="77"/>
      <c r="R745" s="77"/>
      <c r="S745" s="77"/>
      <c r="T745" s="77"/>
      <c r="U745" s="77"/>
    </row>
    <row r="746" customFormat="false" ht="15.75" hidden="false" customHeight="true" outlineLevel="0" collapsed="false">
      <c r="A746" s="77"/>
      <c r="B746" s="99"/>
      <c r="C746" s="100"/>
      <c r="D746" s="100"/>
      <c r="E746" s="77"/>
      <c r="F746" s="77"/>
      <c r="G746" s="77"/>
      <c r="H746" s="77"/>
      <c r="I746" s="77"/>
      <c r="J746" s="77"/>
      <c r="K746" s="77"/>
      <c r="L746" s="101"/>
      <c r="M746" s="100"/>
      <c r="N746" s="77"/>
      <c r="O746" s="77"/>
      <c r="P746" s="77"/>
      <c r="Q746" s="77"/>
      <c r="R746" s="77"/>
      <c r="S746" s="77"/>
      <c r="T746" s="77"/>
      <c r="U746" s="77"/>
    </row>
    <row r="747" customFormat="false" ht="15.75" hidden="false" customHeight="true" outlineLevel="0" collapsed="false">
      <c r="A747" s="77"/>
      <c r="B747" s="99"/>
      <c r="C747" s="100"/>
      <c r="D747" s="100"/>
      <c r="E747" s="77"/>
      <c r="F747" s="77"/>
      <c r="G747" s="77"/>
      <c r="H747" s="77"/>
      <c r="I747" s="77"/>
      <c r="J747" s="77"/>
      <c r="K747" s="77"/>
      <c r="L747" s="101"/>
      <c r="M747" s="100"/>
      <c r="N747" s="77"/>
      <c r="O747" s="77"/>
      <c r="P747" s="77"/>
      <c r="Q747" s="77"/>
      <c r="R747" s="77"/>
      <c r="S747" s="77"/>
      <c r="T747" s="77"/>
      <c r="U747" s="77"/>
    </row>
    <row r="748" customFormat="false" ht="15.75" hidden="false" customHeight="true" outlineLevel="0" collapsed="false">
      <c r="A748" s="77"/>
      <c r="B748" s="99"/>
      <c r="C748" s="100"/>
      <c r="D748" s="100"/>
      <c r="E748" s="77"/>
      <c r="F748" s="77"/>
      <c r="G748" s="77"/>
      <c r="H748" s="77"/>
      <c r="I748" s="77"/>
      <c r="J748" s="77"/>
      <c r="K748" s="77"/>
      <c r="L748" s="101"/>
      <c r="M748" s="100"/>
      <c r="N748" s="77"/>
      <c r="O748" s="77"/>
      <c r="P748" s="77"/>
      <c r="Q748" s="77"/>
      <c r="R748" s="77"/>
      <c r="S748" s="77"/>
      <c r="T748" s="77"/>
      <c r="U748" s="77"/>
    </row>
    <row r="749" customFormat="false" ht="15.75" hidden="false" customHeight="true" outlineLevel="0" collapsed="false">
      <c r="A749" s="77"/>
      <c r="B749" s="99"/>
      <c r="C749" s="100"/>
      <c r="D749" s="100"/>
      <c r="E749" s="77"/>
      <c r="F749" s="77"/>
      <c r="G749" s="77"/>
      <c r="H749" s="77"/>
      <c r="I749" s="77"/>
      <c r="J749" s="77"/>
      <c r="K749" s="77"/>
      <c r="L749" s="101"/>
      <c r="M749" s="100"/>
      <c r="N749" s="77"/>
      <c r="O749" s="77"/>
      <c r="P749" s="77"/>
      <c r="Q749" s="77"/>
      <c r="R749" s="77"/>
      <c r="S749" s="77"/>
      <c r="T749" s="77"/>
      <c r="U749" s="77"/>
    </row>
    <row r="750" customFormat="false" ht="15.75" hidden="false" customHeight="true" outlineLevel="0" collapsed="false">
      <c r="A750" s="77"/>
      <c r="B750" s="99"/>
      <c r="C750" s="100"/>
      <c r="D750" s="100"/>
      <c r="E750" s="77"/>
      <c r="F750" s="77"/>
      <c r="G750" s="77"/>
      <c r="H750" s="77"/>
      <c r="I750" s="77"/>
      <c r="J750" s="77"/>
      <c r="K750" s="77"/>
      <c r="L750" s="101"/>
      <c r="M750" s="100"/>
      <c r="N750" s="77"/>
      <c r="O750" s="77"/>
      <c r="P750" s="77"/>
      <c r="Q750" s="77"/>
      <c r="R750" s="77"/>
      <c r="S750" s="77"/>
      <c r="T750" s="77"/>
      <c r="U750" s="77"/>
    </row>
    <row r="751" customFormat="false" ht="15.75" hidden="false" customHeight="true" outlineLevel="0" collapsed="false">
      <c r="A751" s="77"/>
      <c r="B751" s="99"/>
      <c r="C751" s="100"/>
      <c r="D751" s="100"/>
      <c r="E751" s="77"/>
      <c r="F751" s="77"/>
      <c r="G751" s="77"/>
      <c r="H751" s="77"/>
      <c r="I751" s="77"/>
      <c r="J751" s="77"/>
      <c r="K751" s="77"/>
      <c r="L751" s="101"/>
      <c r="M751" s="100"/>
      <c r="N751" s="77"/>
      <c r="O751" s="77"/>
      <c r="P751" s="77"/>
      <c r="Q751" s="77"/>
      <c r="R751" s="77"/>
      <c r="S751" s="77"/>
      <c r="T751" s="77"/>
      <c r="U751" s="77"/>
    </row>
    <row r="752" customFormat="false" ht="15.75" hidden="false" customHeight="true" outlineLevel="0" collapsed="false">
      <c r="A752" s="77"/>
      <c r="B752" s="99"/>
      <c r="C752" s="100"/>
      <c r="D752" s="100"/>
      <c r="E752" s="77"/>
      <c r="F752" s="77"/>
      <c r="G752" s="77"/>
      <c r="H752" s="77"/>
      <c r="I752" s="77"/>
      <c r="J752" s="77"/>
      <c r="K752" s="77"/>
      <c r="L752" s="101"/>
      <c r="M752" s="100"/>
      <c r="N752" s="77"/>
      <c r="O752" s="77"/>
      <c r="P752" s="77"/>
      <c r="Q752" s="77"/>
      <c r="R752" s="77"/>
      <c r="S752" s="77"/>
      <c r="T752" s="77"/>
      <c r="U752" s="77"/>
    </row>
    <row r="753" customFormat="false" ht="15.75" hidden="false" customHeight="true" outlineLevel="0" collapsed="false">
      <c r="A753" s="77"/>
      <c r="B753" s="99"/>
      <c r="C753" s="100"/>
      <c r="D753" s="100"/>
      <c r="E753" s="77"/>
      <c r="F753" s="77"/>
      <c r="G753" s="77"/>
      <c r="H753" s="77"/>
      <c r="I753" s="77"/>
      <c r="J753" s="77"/>
      <c r="K753" s="77"/>
      <c r="L753" s="101"/>
      <c r="M753" s="100"/>
      <c r="N753" s="77"/>
      <c r="O753" s="77"/>
      <c r="P753" s="77"/>
      <c r="Q753" s="77"/>
      <c r="R753" s="77"/>
      <c r="S753" s="77"/>
      <c r="T753" s="77"/>
      <c r="U753" s="77"/>
    </row>
    <row r="754" customFormat="false" ht="15.75" hidden="false" customHeight="true" outlineLevel="0" collapsed="false">
      <c r="A754" s="77"/>
      <c r="B754" s="99"/>
      <c r="C754" s="100"/>
      <c r="D754" s="100"/>
      <c r="E754" s="77"/>
      <c r="F754" s="77"/>
      <c r="G754" s="77"/>
      <c r="H754" s="77"/>
      <c r="I754" s="77"/>
      <c r="J754" s="77"/>
      <c r="K754" s="77"/>
      <c r="L754" s="101"/>
      <c r="M754" s="100"/>
      <c r="N754" s="77"/>
      <c r="O754" s="77"/>
      <c r="P754" s="77"/>
      <c r="Q754" s="77"/>
      <c r="R754" s="77"/>
      <c r="S754" s="77"/>
      <c r="T754" s="77"/>
      <c r="U754" s="77"/>
    </row>
    <row r="755" customFormat="false" ht="15.75" hidden="false" customHeight="true" outlineLevel="0" collapsed="false">
      <c r="A755" s="77"/>
      <c r="B755" s="99"/>
      <c r="C755" s="100"/>
      <c r="D755" s="100"/>
      <c r="E755" s="77"/>
      <c r="F755" s="77"/>
      <c r="G755" s="77"/>
      <c r="H755" s="77"/>
      <c r="I755" s="77"/>
      <c r="J755" s="77"/>
      <c r="K755" s="77"/>
      <c r="L755" s="101"/>
      <c r="M755" s="100"/>
      <c r="N755" s="77"/>
      <c r="O755" s="77"/>
      <c r="P755" s="77"/>
      <c r="Q755" s="77"/>
      <c r="R755" s="77"/>
      <c r="S755" s="77"/>
      <c r="T755" s="77"/>
      <c r="U755" s="77"/>
    </row>
    <row r="756" customFormat="false" ht="15.75" hidden="false" customHeight="true" outlineLevel="0" collapsed="false">
      <c r="A756" s="77"/>
      <c r="B756" s="99"/>
      <c r="C756" s="100"/>
      <c r="D756" s="100"/>
      <c r="E756" s="77"/>
      <c r="F756" s="77"/>
      <c r="G756" s="77"/>
      <c r="H756" s="77"/>
      <c r="I756" s="77"/>
      <c r="J756" s="77"/>
      <c r="K756" s="77"/>
      <c r="L756" s="101"/>
      <c r="M756" s="100"/>
      <c r="N756" s="77"/>
      <c r="O756" s="77"/>
      <c r="P756" s="77"/>
      <c r="Q756" s="77"/>
      <c r="R756" s="77"/>
      <c r="S756" s="77"/>
      <c r="T756" s="77"/>
      <c r="U756" s="77"/>
    </row>
    <row r="757" customFormat="false" ht="15.75" hidden="false" customHeight="true" outlineLevel="0" collapsed="false">
      <c r="A757" s="77"/>
      <c r="B757" s="99"/>
      <c r="C757" s="100"/>
      <c r="D757" s="100"/>
      <c r="E757" s="77"/>
      <c r="F757" s="77"/>
      <c r="G757" s="77"/>
      <c r="H757" s="77"/>
      <c r="I757" s="77"/>
      <c r="J757" s="77"/>
      <c r="K757" s="77"/>
      <c r="L757" s="101"/>
      <c r="M757" s="100"/>
      <c r="N757" s="77"/>
      <c r="O757" s="77"/>
      <c r="P757" s="77"/>
      <c r="Q757" s="77"/>
      <c r="R757" s="77"/>
      <c r="S757" s="77"/>
      <c r="T757" s="77"/>
      <c r="U757" s="77"/>
    </row>
    <row r="758" customFormat="false" ht="15.75" hidden="false" customHeight="true" outlineLevel="0" collapsed="false">
      <c r="A758" s="77"/>
      <c r="B758" s="99"/>
      <c r="C758" s="100"/>
      <c r="D758" s="100"/>
      <c r="E758" s="77"/>
      <c r="F758" s="77"/>
      <c r="G758" s="77"/>
      <c r="H758" s="77"/>
      <c r="I758" s="77"/>
      <c r="J758" s="77"/>
      <c r="K758" s="77"/>
      <c r="L758" s="101"/>
      <c r="M758" s="100"/>
      <c r="N758" s="77"/>
      <c r="O758" s="77"/>
      <c r="P758" s="77"/>
      <c r="Q758" s="77"/>
      <c r="R758" s="77"/>
      <c r="S758" s="77"/>
      <c r="T758" s="77"/>
      <c r="U758" s="77"/>
    </row>
    <row r="759" customFormat="false" ht="15.75" hidden="false" customHeight="true" outlineLevel="0" collapsed="false">
      <c r="A759" s="77"/>
      <c r="B759" s="99"/>
      <c r="C759" s="100"/>
      <c r="D759" s="100"/>
      <c r="E759" s="77"/>
      <c r="F759" s="77"/>
      <c r="G759" s="77"/>
      <c r="H759" s="77"/>
      <c r="I759" s="77"/>
      <c r="J759" s="77"/>
      <c r="K759" s="77"/>
      <c r="L759" s="101"/>
      <c r="M759" s="100"/>
      <c r="N759" s="77"/>
      <c r="O759" s="77"/>
      <c r="P759" s="77"/>
      <c r="Q759" s="77"/>
      <c r="R759" s="77"/>
      <c r="S759" s="77"/>
      <c r="T759" s="77"/>
      <c r="U759" s="77"/>
    </row>
    <row r="760" customFormat="false" ht="15.75" hidden="false" customHeight="true" outlineLevel="0" collapsed="false">
      <c r="A760" s="77"/>
      <c r="B760" s="99"/>
      <c r="C760" s="100"/>
      <c r="D760" s="100"/>
      <c r="E760" s="77"/>
      <c r="F760" s="77"/>
      <c r="G760" s="77"/>
      <c r="H760" s="77"/>
      <c r="I760" s="77"/>
      <c r="J760" s="77"/>
      <c r="K760" s="77"/>
      <c r="L760" s="101"/>
      <c r="M760" s="100"/>
      <c r="N760" s="77"/>
      <c r="O760" s="77"/>
      <c r="P760" s="77"/>
      <c r="Q760" s="77"/>
      <c r="R760" s="77"/>
      <c r="S760" s="77"/>
      <c r="T760" s="77"/>
      <c r="U760" s="77"/>
    </row>
    <row r="761" customFormat="false" ht="15.75" hidden="false" customHeight="true" outlineLevel="0" collapsed="false">
      <c r="A761" s="77"/>
      <c r="B761" s="99"/>
      <c r="C761" s="100"/>
      <c r="D761" s="100"/>
      <c r="E761" s="77"/>
      <c r="F761" s="77"/>
      <c r="G761" s="77"/>
      <c r="H761" s="77"/>
      <c r="I761" s="77"/>
      <c r="J761" s="77"/>
      <c r="K761" s="77"/>
      <c r="L761" s="101"/>
      <c r="M761" s="100"/>
      <c r="N761" s="77"/>
      <c r="O761" s="77"/>
      <c r="P761" s="77"/>
      <c r="Q761" s="77"/>
      <c r="R761" s="77"/>
      <c r="S761" s="77"/>
      <c r="T761" s="77"/>
      <c r="U761" s="77"/>
    </row>
    <row r="762" customFormat="false" ht="15.75" hidden="false" customHeight="true" outlineLevel="0" collapsed="false">
      <c r="A762" s="77"/>
      <c r="B762" s="99"/>
      <c r="C762" s="100"/>
      <c r="D762" s="100"/>
      <c r="E762" s="77"/>
      <c r="F762" s="77"/>
      <c r="G762" s="77"/>
      <c r="H762" s="77"/>
      <c r="I762" s="77"/>
      <c r="J762" s="77"/>
      <c r="K762" s="77"/>
      <c r="L762" s="101"/>
      <c r="M762" s="100"/>
      <c r="N762" s="77"/>
      <c r="O762" s="77"/>
      <c r="P762" s="77"/>
      <c r="Q762" s="77"/>
      <c r="R762" s="77"/>
      <c r="S762" s="77"/>
      <c r="T762" s="77"/>
      <c r="U762" s="77"/>
    </row>
    <row r="763" customFormat="false" ht="15.75" hidden="false" customHeight="true" outlineLevel="0" collapsed="false">
      <c r="A763" s="77"/>
      <c r="B763" s="99"/>
      <c r="C763" s="100"/>
      <c r="D763" s="100"/>
      <c r="E763" s="77"/>
      <c r="F763" s="77"/>
      <c r="G763" s="77"/>
      <c r="H763" s="77"/>
      <c r="I763" s="77"/>
      <c r="J763" s="77"/>
      <c r="K763" s="77"/>
      <c r="L763" s="101"/>
      <c r="M763" s="100"/>
      <c r="N763" s="77"/>
      <c r="O763" s="77"/>
      <c r="P763" s="77"/>
      <c r="Q763" s="77"/>
      <c r="R763" s="77"/>
      <c r="S763" s="77"/>
      <c r="T763" s="77"/>
      <c r="U763" s="77"/>
    </row>
    <row r="764" customFormat="false" ht="15.75" hidden="false" customHeight="true" outlineLevel="0" collapsed="false">
      <c r="A764" s="77"/>
      <c r="B764" s="99"/>
      <c r="C764" s="100"/>
      <c r="D764" s="100"/>
      <c r="E764" s="77"/>
      <c r="F764" s="77"/>
      <c r="G764" s="77"/>
      <c r="H764" s="77"/>
      <c r="I764" s="77"/>
      <c r="J764" s="77"/>
      <c r="K764" s="77"/>
      <c r="L764" s="101"/>
      <c r="M764" s="100"/>
      <c r="N764" s="77"/>
      <c r="O764" s="77"/>
      <c r="P764" s="77"/>
      <c r="Q764" s="77"/>
      <c r="R764" s="77"/>
      <c r="S764" s="77"/>
      <c r="T764" s="77"/>
      <c r="U764" s="77"/>
    </row>
    <row r="765" customFormat="false" ht="15.75" hidden="false" customHeight="true" outlineLevel="0" collapsed="false">
      <c r="A765" s="77"/>
      <c r="B765" s="99"/>
      <c r="C765" s="100"/>
      <c r="D765" s="100"/>
      <c r="E765" s="77"/>
      <c r="F765" s="77"/>
      <c r="G765" s="77"/>
      <c r="H765" s="77"/>
      <c r="I765" s="77"/>
      <c r="J765" s="77"/>
      <c r="K765" s="77"/>
      <c r="L765" s="101"/>
      <c r="M765" s="100"/>
      <c r="N765" s="77"/>
      <c r="O765" s="77"/>
      <c r="P765" s="77"/>
      <c r="Q765" s="77"/>
      <c r="R765" s="77"/>
      <c r="S765" s="77"/>
      <c r="T765" s="77"/>
      <c r="U765" s="77"/>
    </row>
  </sheetData>
  <mergeCells count="2">
    <mergeCell ref="A1:U1"/>
    <mergeCell ref="P3:S3"/>
  </mergeCells>
  <conditionalFormatting sqref="L3:L608 K609:K610 L611:L620">
    <cfRule type="cellIs" priority="2" operator="equal" aboveAverage="0" equalAverage="0" bottom="0" percent="0" rank="0" text="" dxfId="11">
      <formula>"MUITO ATRASADO"</formula>
    </cfRule>
  </conditionalFormatting>
  <conditionalFormatting sqref="L3:L608 K609:K610 L611:L620">
    <cfRule type="cellIs" priority="3" operator="equal" aboveAverage="0" equalAverage="0" bottom="0" percent="0" rank="0" text="" dxfId="12">
      <formula>"MUITO ADIANTADO"</formula>
    </cfRule>
  </conditionalFormatting>
  <conditionalFormatting sqref="L3:L608 K609:K610 L611:L620">
    <cfRule type="cellIs" priority="4" operator="equal" aboveAverage="0" equalAverage="0" bottom="0" percent="0" rank="0" text="" dxfId="13">
      <formula>"ATRASADO"</formula>
    </cfRule>
  </conditionalFormatting>
  <conditionalFormatting sqref="L3:L608 K609:K610 L611:L620">
    <cfRule type="cellIs" priority="5" operator="equal" aboveAverage="0" equalAverage="0" bottom="0" percent="0" rank="0" text="" dxfId="14">
      <formula>"EM DIAS"</formula>
    </cfRule>
  </conditionalFormatting>
  <conditionalFormatting sqref="L3:L608 K609:K610 L611:L620">
    <cfRule type="cellIs" priority="6" operator="equal" aboveAverage="0" equalAverage="0" bottom="0" percent="0" rank="0" text="" dxfId="15">
      <formula>"ADIANTADO"</formula>
    </cfRule>
  </conditionalFormatting>
  <conditionalFormatting sqref="O3:O620">
    <cfRule type="cellIs" priority="7" operator="equal" aboveAverage="0" equalAverage="0" bottom="0" percent="0" rank="0" text="" dxfId="16">
      <formula>"VERIFICAR URGENTE"</formula>
    </cfRule>
  </conditionalFormatting>
  <conditionalFormatting sqref="O3:O620">
    <cfRule type="cellIs" priority="8" operator="equal" aboveAverage="0" equalAverage="0" bottom="0" percent="0" rank="0" text="" dxfId="13">
      <formula>"VERIFICAR"</formula>
    </cfRule>
  </conditionalFormatting>
  <conditionalFormatting sqref="O3:O620">
    <cfRule type="cellIs" priority="9" operator="equal" aboveAverage="0" equalAverage="0" bottom="0" percent="0" rank="0" text="" dxfId="14">
      <formula>"VERIFICADO"</formula>
    </cfRule>
  </conditionalFormatting>
  <conditionalFormatting sqref="J3:J38 J40:J377 J379:J398 J403:J407 J411:J422 J425:J608 I609:I610 J611:J765">
    <cfRule type="cellIs" priority="10" operator="greaterThanOrEqual" aboveAverage="0" equalAverage="0" bottom="0" percent="0" rank="0" text="" dxfId="17">
      <formula>"100%"</formula>
    </cfRule>
  </conditionalFormatting>
  <conditionalFormatting sqref="O3:O620">
    <cfRule type="cellIs" priority="11" operator="equal" aboveAverage="0" equalAverage="0" bottom="0" percent="0" rank="0" text="" dxfId="11">
      <formula>"VERIFICAR URGENTE"</formula>
    </cfRule>
  </conditionalFormatting>
  <printOptions headings="false" gridLines="false" gridLinesSet="true" horizontalCentered="false" verticalCentered="false"/>
  <pageMargins left="0.776388888888889" right="0" top="0" bottom="0.511805555555556"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outlinePr summaryBelow="0"/>
    <pageSetUpPr fitToPage="false"/>
  </sheetPr>
  <dimension ref="A1:AC12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0546875" defaultRowHeight="15" customHeight="true" zeroHeight="false" outlineLevelRow="0" outlineLevelCol="1"/>
  <cols>
    <col collapsed="false" customWidth="true" hidden="false" outlineLevel="0" max="1" min="1" style="14" width="22.8"/>
    <col collapsed="false" customWidth="true" hidden="true" outlineLevel="1" max="2" min="2" style="14" width="13.6"/>
    <col collapsed="false" customWidth="true" hidden="true" outlineLevel="1" max="3" min="3" style="14" width="3.1"/>
    <col collapsed="false" customWidth="true" hidden="false" outlineLevel="0" max="4" min="4" style="14" width="7.11"/>
    <col collapsed="false" customWidth="true" hidden="false" outlineLevel="0" max="5" min="5" style="14" width="28.4"/>
    <col collapsed="false" customWidth="true" hidden="true" outlineLevel="0" max="6" min="6" style="14" width="12.8"/>
    <col collapsed="false" customWidth="true" hidden="false" outlineLevel="0" max="7" min="7" style="14" width="50.1"/>
    <col collapsed="false" customWidth="true" hidden="false" outlineLevel="0" max="8" min="8" style="14" width="5.4"/>
    <col collapsed="false" customWidth="true" hidden="false" outlineLevel="0" max="11" min="11" style="14" width="26.7"/>
    <col collapsed="false" customWidth="true" hidden="false" outlineLevel="0" max="27" min="27" style="14" width="28.2"/>
    <col collapsed="false" customWidth="true" hidden="false" outlineLevel="0" max="28" min="28" style="14" width="21.6"/>
  </cols>
  <sheetData>
    <row r="1" customFormat="false" ht="26.25" hidden="false" customHeight="true" outlineLevel="0" collapsed="false">
      <c r="A1" s="102"/>
      <c r="B1" s="102"/>
      <c r="C1" s="102"/>
      <c r="D1" s="102"/>
      <c r="E1" s="102"/>
      <c r="F1" s="102"/>
      <c r="G1" s="102"/>
      <c r="H1" s="103"/>
      <c r="I1" s="104"/>
      <c r="J1" s="104"/>
      <c r="K1" s="104"/>
      <c r="L1" s="104"/>
      <c r="M1" s="104"/>
      <c r="N1" s="104"/>
      <c r="O1" s="104"/>
      <c r="P1" s="104"/>
      <c r="Q1" s="104"/>
      <c r="R1" s="104"/>
      <c r="S1" s="104"/>
      <c r="T1" s="104"/>
      <c r="U1" s="104"/>
      <c r="V1" s="104"/>
      <c r="W1" s="104"/>
      <c r="X1" s="104"/>
      <c r="Y1" s="104"/>
      <c r="Z1" s="104"/>
      <c r="AA1" s="104"/>
      <c r="AB1" s="104"/>
      <c r="AC1" s="104"/>
    </row>
    <row r="2" customFormat="false" ht="15" hidden="false" customHeight="false" outlineLevel="0" collapsed="false">
      <c r="A2" s="105" t="s">
        <v>909</v>
      </c>
      <c r="B2" s="106" t="s">
        <v>910</v>
      </c>
      <c r="C2" s="107" t="s">
        <v>911</v>
      </c>
      <c r="D2" s="106" t="s">
        <v>912</v>
      </c>
      <c r="E2" s="105" t="s">
        <v>913</v>
      </c>
      <c r="F2" s="105" t="s">
        <v>914</v>
      </c>
      <c r="G2" s="105" t="s">
        <v>915</v>
      </c>
      <c r="H2" s="104"/>
      <c r="I2" s="104"/>
      <c r="J2" s="104"/>
      <c r="K2" s="104"/>
      <c r="L2" s="104"/>
      <c r="M2" s="104"/>
      <c r="N2" s="104"/>
      <c r="O2" s="104"/>
      <c r="P2" s="104"/>
      <c r="Q2" s="104"/>
      <c r="R2" s="104"/>
      <c r="S2" s="104"/>
      <c r="T2" s="104"/>
      <c r="U2" s="104"/>
      <c r="V2" s="104"/>
      <c r="W2" s="104"/>
      <c r="X2" s="104"/>
      <c r="Y2" s="104"/>
      <c r="Z2" s="104"/>
      <c r="AA2" s="104"/>
      <c r="AB2" s="104"/>
      <c r="AC2" s="104"/>
    </row>
    <row r="3" customFormat="false" ht="15" hidden="false" customHeight="false" outlineLevel="0" collapsed="false">
      <c r="A3" s="108" t="s">
        <v>773</v>
      </c>
      <c r="B3" s="109" t="str">
        <f aca="false">IFERROR(VLOOKUP(A3,CENTRO!$A$4:$L$548,12,0),"")</f>
        <v>MUITO ATRASADO</v>
      </c>
      <c r="C3" s="110" t="str">
        <f aca="false">IFERROR(VLOOKUP(A3,CENTRO!$A$4:$L$137,11,0),"")</f>
        <v/>
      </c>
      <c r="D3" s="111" t="n">
        <f aca="false">TRUE()</f>
        <v>1</v>
      </c>
      <c r="E3" s="112" t="s">
        <v>916</v>
      </c>
      <c r="F3" s="113"/>
      <c r="G3" s="108" t="s">
        <v>917</v>
      </c>
      <c r="H3" s="104"/>
      <c r="I3" s="104"/>
      <c r="J3" s="104"/>
      <c r="K3" s="104"/>
      <c r="L3" s="104"/>
      <c r="M3" s="104"/>
      <c r="N3" s="104"/>
      <c r="O3" s="104"/>
      <c r="P3" s="104"/>
      <c r="Q3" s="104"/>
      <c r="R3" s="104"/>
      <c r="S3" s="104"/>
      <c r="T3" s="104"/>
      <c r="U3" s="104"/>
      <c r="V3" s="104"/>
      <c r="W3" s="104"/>
      <c r="X3" s="104"/>
      <c r="Y3" s="104"/>
      <c r="Z3" s="114"/>
      <c r="AA3" s="114"/>
      <c r="AB3" s="114"/>
      <c r="AC3" s="114"/>
    </row>
    <row r="4" customFormat="false" ht="15" hidden="false" customHeight="false" outlineLevel="0" collapsed="false">
      <c r="A4" s="108" t="s">
        <v>676</v>
      </c>
      <c r="B4" s="108"/>
      <c r="C4" s="108"/>
      <c r="D4" s="111" t="n">
        <f aca="false">TRUE()</f>
        <v>1</v>
      </c>
      <c r="E4" s="115" t="s">
        <v>918</v>
      </c>
      <c r="F4" s="113"/>
      <c r="G4" s="108" t="s">
        <v>917</v>
      </c>
      <c r="H4" s="104"/>
      <c r="I4" s="104"/>
      <c r="J4" s="104"/>
      <c r="L4" s="104"/>
      <c r="M4" s="104"/>
      <c r="N4" s="104"/>
      <c r="O4" s="104"/>
      <c r="P4" s="104"/>
      <c r="Q4" s="104"/>
      <c r="R4" s="104"/>
      <c r="S4" s="104"/>
      <c r="T4" s="104"/>
      <c r="U4" s="104"/>
      <c r="V4" s="104"/>
      <c r="W4" s="104"/>
      <c r="X4" s="104"/>
      <c r="Y4" s="104"/>
      <c r="Z4" s="104"/>
      <c r="AA4" s="104"/>
      <c r="AB4" s="104"/>
      <c r="AC4" s="104"/>
    </row>
    <row r="5" customFormat="false" ht="15" hidden="false" customHeight="false" outlineLevel="0" collapsed="false">
      <c r="A5" s="108" t="s">
        <v>214</v>
      </c>
      <c r="B5" s="108"/>
      <c r="C5" s="108"/>
      <c r="D5" s="111" t="n">
        <f aca="false">TRUE()</f>
        <v>1</v>
      </c>
      <c r="E5" s="115" t="s">
        <v>919</v>
      </c>
      <c r="F5" s="113"/>
      <c r="G5" s="108" t="s">
        <v>917</v>
      </c>
      <c r="H5" s="104"/>
      <c r="I5" s="104"/>
      <c r="J5" s="104"/>
      <c r="L5" s="104"/>
      <c r="M5" s="104"/>
      <c r="N5" s="104"/>
      <c r="O5" s="104"/>
      <c r="P5" s="104"/>
      <c r="Q5" s="104"/>
      <c r="R5" s="104"/>
      <c r="S5" s="104"/>
      <c r="T5" s="104"/>
      <c r="U5" s="104"/>
      <c r="V5" s="104"/>
      <c r="W5" s="104"/>
      <c r="X5" s="104"/>
      <c r="Y5" s="104"/>
      <c r="Z5" s="104"/>
      <c r="AA5" s="104"/>
      <c r="AB5" s="104"/>
      <c r="AC5" s="104"/>
    </row>
    <row r="6" customFormat="false" ht="15" hidden="false" customHeight="false" outlineLevel="0" collapsed="false">
      <c r="A6" s="108" t="s">
        <v>920</v>
      </c>
      <c r="B6" s="108"/>
      <c r="C6" s="110"/>
      <c r="D6" s="111" t="n">
        <f aca="false">TRUE()</f>
        <v>1</v>
      </c>
      <c r="E6" s="115" t="s">
        <v>921</v>
      </c>
      <c r="F6" s="113"/>
      <c r="G6" s="108" t="s">
        <v>917</v>
      </c>
      <c r="H6" s="104"/>
      <c r="I6" s="104"/>
      <c r="J6" s="104"/>
      <c r="L6" s="104"/>
      <c r="M6" s="104"/>
      <c r="N6" s="104"/>
      <c r="O6" s="104"/>
      <c r="P6" s="104"/>
      <c r="Q6" s="104"/>
      <c r="R6" s="104"/>
      <c r="S6" s="104"/>
      <c r="T6" s="104"/>
      <c r="U6" s="104"/>
      <c r="V6" s="104"/>
      <c r="W6" s="104"/>
      <c r="X6" s="104"/>
      <c r="Y6" s="104"/>
      <c r="Z6" s="104"/>
      <c r="AA6" s="104"/>
      <c r="AB6" s="104"/>
      <c r="AC6" s="104"/>
    </row>
    <row r="7" customFormat="false" ht="15" hidden="false" customHeight="false" outlineLevel="0" collapsed="false">
      <c r="A7" s="108" t="s">
        <v>273</v>
      </c>
      <c r="B7" s="108"/>
      <c r="C7" s="110"/>
      <c r="D7" s="111" t="n">
        <f aca="false">TRUE()</f>
        <v>1</v>
      </c>
      <c r="E7" s="115" t="s">
        <v>922</v>
      </c>
      <c r="F7" s="113"/>
      <c r="G7" s="108" t="s">
        <v>917</v>
      </c>
      <c r="H7" s="104"/>
      <c r="I7" s="104"/>
      <c r="J7" s="104"/>
      <c r="L7" s="104"/>
      <c r="M7" s="104"/>
      <c r="N7" s="104"/>
      <c r="O7" s="104"/>
      <c r="P7" s="104"/>
      <c r="Q7" s="104"/>
      <c r="R7" s="104"/>
      <c r="S7" s="104"/>
      <c r="T7" s="104"/>
      <c r="U7" s="104"/>
      <c r="V7" s="104"/>
      <c r="W7" s="104"/>
      <c r="X7" s="104"/>
      <c r="Y7" s="104"/>
      <c r="Z7" s="114"/>
      <c r="AA7" s="114"/>
      <c r="AB7" s="114"/>
      <c r="AC7" s="114"/>
    </row>
    <row r="8" customFormat="false" ht="15" hidden="false" customHeight="false" outlineLevel="0" collapsed="false">
      <c r="A8" s="108" t="s">
        <v>534</v>
      </c>
      <c r="B8" s="109" t="str">
        <f aca="false">IFERROR(VLOOKUP(A8,CENTRO!$A$4:$L$548,12,0),"")</f>
        <v>MUITO ATRASADO</v>
      </c>
      <c r="C8" s="110" t="n">
        <f aca="false">IFERROR(VLOOKUP(A8,CENTRO!$A$4:$L$548,11,0),"")</f>
        <v>136.617283950617</v>
      </c>
      <c r="D8" s="111" t="n">
        <f aca="false">TRUE()</f>
        <v>1</v>
      </c>
      <c r="E8" s="115" t="s">
        <v>923</v>
      </c>
      <c r="F8" s="113"/>
      <c r="G8" s="108" t="s">
        <v>924</v>
      </c>
      <c r="H8" s="104"/>
      <c r="I8" s="104"/>
      <c r="J8" s="104"/>
      <c r="L8" s="104"/>
      <c r="M8" s="104"/>
      <c r="N8" s="104"/>
      <c r="O8" s="104"/>
      <c r="P8" s="104"/>
      <c r="Q8" s="104"/>
      <c r="R8" s="104"/>
      <c r="S8" s="104"/>
      <c r="T8" s="104"/>
      <c r="U8" s="104"/>
      <c r="V8" s="104"/>
      <c r="W8" s="104"/>
      <c r="X8" s="104"/>
      <c r="Y8" s="104"/>
      <c r="Z8" s="104"/>
      <c r="AA8" s="104"/>
      <c r="AB8" s="104"/>
      <c r="AC8" s="104"/>
    </row>
    <row r="9" customFormat="false" ht="15" hidden="false" customHeight="false" outlineLevel="0" collapsed="false">
      <c r="A9" s="108" t="s">
        <v>333</v>
      </c>
      <c r="B9" s="109" t="str">
        <f aca="false">IFERROR(VLOOKUP(A9,CENTRO!$A$4:$L$548,12,0),"")</f>
        <v>MUITO ATRASADO</v>
      </c>
      <c r="C9" s="110" t="n">
        <f aca="false">IFERROR(VLOOKUP(A9,CENTRO!$A$4:$L$548,11,0),"")</f>
        <v>118.168147208122</v>
      </c>
      <c r="D9" s="111" t="n">
        <f aca="false">TRUE()</f>
        <v>1</v>
      </c>
      <c r="E9" s="115" t="s">
        <v>925</v>
      </c>
      <c r="F9" s="113"/>
      <c r="G9" s="108" t="s">
        <v>926</v>
      </c>
      <c r="H9" s="104"/>
      <c r="I9" s="104"/>
      <c r="J9" s="104"/>
      <c r="L9" s="104"/>
      <c r="M9" s="104"/>
      <c r="N9" s="104"/>
      <c r="O9" s="104"/>
      <c r="P9" s="104"/>
      <c r="Q9" s="104"/>
      <c r="R9" s="104"/>
      <c r="S9" s="104"/>
      <c r="T9" s="104"/>
      <c r="U9" s="104"/>
      <c r="V9" s="104"/>
      <c r="W9" s="104"/>
      <c r="X9" s="104"/>
      <c r="Y9" s="104"/>
      <c r="Z9" s="116"/>
      <c r="AA9" s="116"/>
      <c r="AB9" s="116"/>
      <c r="AC9" s="116"/>
    </row>
    <row r="10" customFormat="false" ht="15" hidden="false" customHeight="false" outlineLevel="0" collapsed="false">
      <c r="A10" s="108" t="s">
        <v>927</v>
      </c>
      <c r="B10" s="109" t="str">
        <f aca="false">IFERROR(VLOOKUP(A10,CENTRO!$A$4:$L$548,12,0),"")</f>
        <v/>
      </c>
      <c r="C10" s="110" t="str">
        <f aca="false">IFERROR(VLOOKUP(A10,CENTRO!$A$4:$L$548,11,0),"")</f>
        <v/>
      </c>
      <c r="D10" s="111" t="n">
        <f aca="false">TRUE()</f>
        <v>1</v>
      </c>
      <c r="E10" s="115" t="s">
        <v>928</v>
      </c>
      <c r="F10" s="113"/>
      <c r="G10" s="108" t="s">
        <v>929</v>
      </c>
      <c r="H10" s="104"/>
      <c r="I10" s="104"/>
      <c r="J10" s="104"/>
      <c r="L10" s="104"/>
      <c r="M10" s="104"/>
      <c r="N10" s="104"/>
      <c r="O10" s="104"/>
      <c r="P10" s="104"/>
      <c r="Q10" s="104"/>
      <c r="R10" s="104"/>
      <c r="S10" s="104"/>
      <c r="T10" s="104"/>
      <c r="U10" s="104"/>
      <c r="V10" s="104"/>
      <c r="W10" s="104"/>
      <c r="X10" s="104"/>
      <c r="Y10" s="104"/>
      <c r="Z10" s="104"/>
      <c r="AA10" s="104"/>
      <c r="AB10" s="104"/>
      <c r="AC10" s="104"/>
    </row>
    <row r="11" customFormat="false" ht="15" hidden="false" customHeight="false" outlineLevel="0" collapsed="false">
      <c r="A11" s="108" t="s">
        <v>804</v>
      </c>
      <c r="B11" s="108"/>
      <c r="C11" s="110"/>
      <c r="D11" s="111" t="n">
        <f aca="false">TRUE()</f>
        <v>1</v>
      </c>
      <c r="E11" s="115" t="s">
        <v>930</v>
      </c>
      <c r="F11" s="113"/>
      <c r="G11" s="108" t="s">
        <v>931</v>
      </c>
      <c r="H11" s="104"/>
      <c r="I11" s="104"/>
      <c r="J11" s="104"/>
      <c r="L11" s="104"/>
      <c r="M11" s="104"/>
      <c r="N11" s="104"/>
      <c r="O11" s="104"/>
      <c r="P11" s="104"/>
      <c r="Q11" s="104"/>
      <c r="R11" s="104"/>
      <c r="S11" s="104"/>
      <c r="T11" s="104"/>
      <c r="U11" s="104"/>
      <c r="V11" s="104"/>
      <c r="W11" s="104"/>
      <c r="X11" s="104"/>
      <c r="Y11" s="104"/>
      <c r="Z11" s="116"/>
      <c r="AA11" s="116"/>
      <c r="AB11" s="116"/>
      <c r="AC11" s="116"/>
    </row>
    <row r="12" customFormat="false" ht="15" hidden="false" customHeight="false" outlineLevel="0" collapsed="false">
      <c r="A12" s="108" t="s">
        <v>664</v>
      </c>
      <c r="B12" s="108"/>
      <c r="C12" s="110"/>
      <c r="D12" s="111" t="n">
        <f aca="false">TRUE()</f>
        <v>1</v>
      </c>
      <c r="E12" s="115" t="s">
        <v>921</v>
      </c>
      <c r="F12" s="113"/>
      <c r="G12" s="108" t="s">
        <v>931</v>
      </c>
      <c r="H12" s="104"/>
      <c r="I12" s="104"/>
      <c r="J12" s="104"/>
      <c r="L12" s="104"/>
      <c r="M12" s="104"/>
      <c r="N12" s="104"/>
      <c r="O12" s="104"/>
      <c r="P12" s="104"/>
      <c r="Q12" s="104"/>
      <c r="R12" s="104"/>
      <c r="S12" s="104"/>
      <c r="T12" s="104"/>
      <c r="U12" s="104"/>
      <c r="V12" s="104"/>
      <c r="W12" s="104"/>
      <c r="X12" s="104"/>
      <c r="Y12" s="104"/>
      <c r="Z12" s="104"/>
      <c r="AA12" s="104"/>
      <c r="AB12" s="104"/>
      <c r="AC12" s="104"/>
    </row>
    <row r="13" customFormat="false" ht="15" hidden="false" customHeight="false" outlineLevel="0" collapsed="false">
      <c r="A13" s="117" t="s">
        <v>228</v>
      </c>
      <c r="B13" s="108"/>
      <c r="C13" s="108"/>
      <c r="D13" s="108" t="b">
        <f aca="false">TRUE()</f>
        <v>1</v>
      </c>
      <c r="E13" s="115" t="s">
        <v>932</v>
      </c>
      <c r="F13" s="113"/>
      <c r="G13" s="108" t="s">
        <v>933</v>
      </c>
      <c r="H13" s="104"/>
      <c r="I13" s="104"/>
      <c r="J13" s="104"/>
      <c r="L13" s="104"/>
      <c r="M13" s="104"/>
      <c r="N13" s="104"/>
      <c r="O13" s="104"/>
      <c r="P13" s="104"/>
      <c r="Q13" s="104"/>
      <c r="R13" s="104"/>
      <c r="S13" s="104"/>
      <c r="T13" s="104"/>
      <c r="U13" s="104"/>
      <c r="V13" s="104"/>
      <c r="W13" s="104"/>
      <c r="X13" s="104"/>
      <c r="Y13" s="104"/>
      <c r="Z13" s="118"/>
      <c r="AA13" s="118"/>
      <c r="AB13" s="118"/>
      <c r="AC13" s="118"/>
    </row>
    <row r="14" customFormat="false" ht="15" hidden="false" customHeight="false" outlineLevel="0" collapsed="false">
      <c r="A14" s="108" t="s">
        <v>232</v>
      </c>
      <c r="B14" s="108"/>
      <c r="C14" s="110"/>
      <c r="D14" s="108" t="b">
        <f aca="false">TRUE()</f>
        <v>1</v>
      </c>
      <c r="E14" s="115" t="s">
        <v>930</v>
      </c>
      <c r="F14" s="113"/>
      <c r="G14" s="108" t="s">
        <v>924</v>
      </c>
      <c r="H14" s="104"/>
      <c r="I14" s="104"/>
      <c r="J14" s="104"/>
      <c r="L14" s="104"/>
      <c r="M14" s="104"/>
      <c r="N14" s="104"/>
      <c r="O14" s="104"/>
      <c r="P14" s="104"/>
      <c r="Q14" s="104"/>
      <c r="R14" s="104"/>
      <c r="S14" s="104"/>
      <c r="T14" s="104"/>
      <c r="U14" s="104"/>
      <c r="V14" s="104"/>
      <c r="W14" s="104"/>
      <c r="X14" s="104"/>
      <c r="Y14" s="104"/>
      <c r="Z14" s="116"/>
      <c r="AA14" s="116"/>
      <c r="AB14" s="116"/>
      <c r="AC14" s="116"/>
    </row>
    <row r="15" customFormat="false" ht="15" hidden="false" customHeight="false" outlineLevel="0" collapsed="false">
      <c r="A15" s="108" t="s">
        <v>934</v>
      </c>
      <c r="B15" s="108"/>
      <c r="C15" s="110"/>
      <c r="D15" s="108" t="b">
        <f aca="false">TRUE()</f>
        <v>1</v>
      </c>
      <c r="E15" s="115" t="s">
        <v>935</v>
      </c>
      <c r="F15" s="113"/>
      <c r="G15" s="108" t="s">
        <v>924</v>
      </c>
      <c r="H15" s="104"/>
      <c r="I15" s="104"/>
      <c r="J15" s="104"/>
      <c r="L15" s="104"/>
      <c r="M15" s="104"/>
      <c r="N15" s="104"/>
      <c r="O15" s="104"/>
      <c r="P15" s="104"/>
      <c r="Q15" s="104"/>
      <c r="R15" s="104"/>
      <c r="S15" s="104"/>
      <c r="T15" s="104"/>
      <c r="U15" s="104"/>
      <c r="V15" s="104"/>
      <c r="W15" s="104"/>
      <c r="X15" s="104"/>
      <c r="Y15" s="104"/>
      <c r="Z15" s="114"/>
      <c r="AA15" s="114"/>
      <c r="AB15" s="114"/>
      <c r="AC15" s="114"/>
    </row>
    <row r="16" customFormat="false" ht="15" hidden="false" customHeight="false" outlineLevel="0" collapsed="false">
      <c r="A16" s="119" t="s">
        <v>568</v>
      </c>
      <c r="B16" s="120" t="str">
        <f aca="false">IFERROR(VLOOKUP(A16,CENTRO!$A$4:$L$548,12,0),"")</f>
        <v>MUITO ATRASADO</v>
      </c>
      <c r="C16" s="121" t="n">
        <f aca="false">IFERROR(VLOOKUP(A16,CENTRO!$A$4:$L$137,11,0),"")</f>
        <v>176.240340030912</v>
      </c>
      <c r="D16" s="119" t="b">
        <f aca="false">TRUE()</f>
        <v>1</v>
      </c>
      <c r="E16" s="122" t="s">
        <v>936</v>
      </c>
      <c r="F16" s="123"/>
      <c r="G16" s="119" t="s">
        <v>933</v>
      </c>
      <c r="H16" s="104"/>
      <c r="I16" s="104"/>
      <c r="J16" s="104"/>
      <c r="L16" s="104"/>
      <c r="M16" s="104"/>
      <c r="N16" s="104"/>
      <c r="O16" s="104"/>
      <c r="P16" s="104"/>
      <c r="Q16" s="104"/>
      <c r="R16" s="104"/>
      <c r="S16" s="104"/>
      <c r="T16" s="104"/>
      <c r="U16" s="104"/>
      <c r="V16" s="104"/>
      <c r="W16" s="104"/>
      <c r="X16" s="104"/>
      <c r="Y16" s="104"/>
      <c r="Z16" s="118"/>
      <c r="AA16" s="118"/>
      <c r="AB16" s="118"/>
      <c r="AC16" s="118"/>
    </row>
    <row r="17" customFormat="false" ht="15" hidden="false" customHeight="false" outlineLevel="0" collapsed="false">
      <c r="A17" s="108" t="s">
        <v>440</v>
      </c>
      <c r="B17" s="109" t="str">
        <f aca="false">IFERROR(VLOOKUP(A17,CENTRO!$A$4:$L$548,12,0),"")</f>
        <v>MUITO ATRASADO</v>
      </c>
      <c r="C17" s="110" t="n">
        <f aca="false">IFERROR(VLOOKUP(A17,CENTRO!$A$4:$L$137,11,0),"")</f>
        <v>185.949912126537</v>
      </c>
      <c r="D17" s="108" t="b">
        <f aca="false">TRUE()</f>
        <v>1</v>
      </c>
      <c r="E17" s="115" t="s">
        <v>937</v>
      </c>
      <c r="F17" s="113"/>
      <c r="G17" s="108" t="s">
        <v>938</v>
      </c>
      <c r="H17" s="104"/>
      <c r="I17" s="104"/>
      <c r="J17" s="104"/>
      <c r="L17" s="104"/>
      <c r="M17" s="104"/>
      <c r="N17" s="104"/>
      <c r="O17" s="104"/>
      <c r="P17" s="104"/>
      <c r="Q17" s="104"/>
      <c r="R17" s="104"/>
      <c r="S17" s="104"/>
      <c r="T17" s="104"/>
      <c r="U17" s="104"/>
      <c r="V17" s="104"/>
      <c r="W17" s="104"/>
      <c r="X17" s="104"/>
      <c r="Y17" s="104"/>
      <c r="Z17" s="114"/>
      <c r="AA17" s="114"/>
      <c r="AB17" s="114"/>
      <c r="AC17" s="114"/>
    </row>
    <row r="18" customFormat="false" ht="15" hidden="false" customHeight="false" outlineLevel="0" collapsed="false">
      <c r="A18" s="108" t="s">
        <v>567</v>
      </c>
      <c r="B18" s="109" t="str">
        <f aca="false">IFERROR(VLOOKUP(A18,CENTRO!$A$4:$L$548,12,0),"")</f>
        <v>MUITO ATRASADO</v>
      </c>
      <c r="C18" s="110" t="n">
        <f aca="false">IFERROR(VLOOKUP(A18,CENTRO!$A$4:$L$137,11,0),"")</f>
        <v>186.10633484163</v>
      </c>
      <c r="D18" s="108" t="b">
        <f aca="false">TRUE()</f>
        <v>1</v>
      </c>
      <c r="E18" s="115"/>
      <c r="F18" s="113"/>
      <c r="G18" s="108" t="s">
        <v>933</v>
      </c>
      <c r="H18" s="104"/>
      <c r="I18" s="104"/>
      <c r="J18" s="104"/>
      <c r="L18" s="104"/>
      <c r="M18" s="104"/>
      <c r="N18" s="104"/>
      <c r="O18" s="104"/>
      <c r="P18" s="104"/>
      <c r="Q18" s="104"/>
      <c r="R18" s="104"/>
      <c r="S18" s="104"/>
      <c r="T18" s="104"/>
      <c r="U18" s="104"/>
      <c r="V18" s="104"/>
      <c r="W18" s="104"/>
      <c r="X18" s="104"/>
      <c r="Y18" s="104"/>
      <c r="Z18" s="114"/>
      <c r="AA18" s="114"/>
      <c r="AB18" s="114"/>
      <c r="AC18" s="114"/>
    </row>
    <row r="19" customFormat="false" ht="15" hidden="false" customHeight="false" outlineLevel="0" collapsed="false">
      <c r="A19" s="108" t="s">
        <v>851</v>
      </c>
      <c r="B19" s="108"/>
      <c r="C19" s="110"/>
      <c r="D19" s="108" t="b">
        <f aca="false">TRUE()</f>
        <v>1</v>
      </c>
      <c r="E19" s="115" t="s">
        <v>939</v>
      </c>
      <c r="F19" s="113"/>
      <c r="G19" s="108" t="s">
        <v>940</v>
      </c>
      <c r="H19" s="104"/>
      <c r="I19" s="104"/>
      <c r="J19" s="104"/>
      <c r="L19" s="104"/>
      <c r="M19" s="104"/>
      <c r="N19" s="104"/>
      <c r="O19" s="104"/>
      <c r="P19" s="104"/>
      <c r="Q19" s="104"/>
      <c r="R19" s="104"/>
      <c r="S19" s="104"/>
      <c r="T19" s="104"/>
      <c r="U19" s="104"/>
      <c r="V19" s="104"/>
      <c r="W19" s="104"/>
      <c r="X19" s="104"/>
      <c r="Y19" s="104"/>
      <c r="Z19" s="104"/>
      <c r="AA19" s="104"/>
      <c r="AB19" s="104"/>
      <c r="AC19" s="104"/>
    </row>
    <row r="20" customFormat="false" ht="15" hidden="false" customHeight="false" outlineLevel="0" collapsed="false">
      <c r="A20" s="108" t="s">
        <v>190</v>
      </c>
      <c r="B20" s="108"/>
      <c r="C20" s="110"/>
      <c r="D20" s="108" t="b">
        <f aca="false">TRUE()</f>
        <v>1</v>
      </c>
      <c r="E20" s="115" t="s">
        <v>941</v>
      </c>
      <c r="F20" s="113"/>
      <c r="G20" s="108" t="s">
        <v>942</v>
      </c>
      <c r="H20" s="104"/>
      <c r="I20" s="104"/>
      <c r="J20" s="104"/>
      <c r="L20" s="104"/>
      <c r="M20" s="104"/>
      <c r="N20" s="104"/>
      <c r="O20" s="104"/>
      <c r="P20" s="104"/>
      <c r="Q20" s="104"/>
      <c r="R20" s="104"/>
      <c r="S20" s="104"/>
      <c r="T20" s="104"/>
      <c r="U20" s="104"/>
      <c r="V20" s="104"/>
      <c r="W20" s="104"/>
      <c r="X20" s="104"/>
      <c r="Y20" s="104"/>
      <c r="Z20" s="118"/>
      <c r="AA20" s="118"/>
      <c r="AB20" s="118"/>
      <c r="AC20" s="118"/>
    </row>
    <row r="21" customFormat="false" ht="15" hidden="false" customHeight="false" outlineLevel="0" collapsed="false">
      <c r="A21" s="108" t="s">
        <v>453</v>
      </c>
      <c r="B21" s="108"/>
      <c r="C21" s="110"/>
      <c r="D21" s="108" t="b">
        <f aca="false">TRUE()</f>
        <v>1</v>
      </c>
      <c r="E21" s="115" t="s">
        <v>941</v>
      </c>
      <c r="F21" s="113"/>
      <c r="G21" s="108" t="s">
        <v>943</v>
      </c>
      <c r="H21" s="104"/>
      <c r="I21" s="104"/>
      <c r="J21" s="104"/>
      <c r="L21" s="104"/>
      <c r="M21" s="104"/>
      <c r="N21" s="104"/>
      <c r="O21" s="104"/>
      <c r="P21" s="104"/>
      <c r="Q21" s="104"/>
      <c r="R21" s="104"/>
      <c r="S21" s="104"/>
      <c r="T21" s="104"/>
      <c r="U21" s="104"/>
      <c r="V21" s="104"/>
      <c r="W21" s="104"/>
      <c r="X21" s="104"/>
      <c r="Y21" s="104"/>
      <c r="Z21" s="116"/>
      <c r="AA21" s="116"/>
      <c r="AB21" s="116"/>
      <c r="AC21" s="116"/>
    </row>
    <row r="22" customFormat="false" ht="15" hidden="false" customHeight="false" outlineLevel="0" collapsed="false">
      <c r="A22" s="108" t="s">
        <v>852</v>
      </c>
      <c r="B22" s="108"/>
      <c r="C22" s="110"/>
      <c r="D22" s="108" t="b">
        <f aca="false">TRUE()</f>
        <v>1</v>
      </c>
      <c r="E22" s="115" t="s">
        <v>941</v>
      </c>
      <c r="F22" s="113"/>
      <c r="G22" s="108" t="s">
        <v>944</v>
      </c>
      <c r="H22" s="104"/>
      <c r="I22" s="104"/>
      <c r="J22" s="104"/>
      <c r="L22" s="104"/>
      <c r="M22" s="104"/>
      <c r="N22" s="104"/>
      <c r="O22" s="104"/>
      <c r="P22" s="104"/>
      <c r="Q22" s="104"/>
      <c r="R22" s="104"/>
      <c r="S22" s="104"/>
      <c r="T22" s="104"/>
      <c r="U22" s="104"/>
      <c r="V22" s="104"/>
      <c r="W22" s="104"/>
      <c r="X22" s="104"/>
      <c r="Y22" s="104"/>
      <c r="Z22" s="104"/>
      <c r="AA22" s="104"/>
      <c r="AB22" s="104"/>
      <c r="AC22" s="104"/>
    </row>
    <row r="23" customFormat="false" ht="15" hidden="false" customHeight="false" outlineLevel="0" collapsed="false">
      <c r="A23" s="108" t="s">
        <v>853</v>
      </c>
      <c r="B23" s="108"/>
      <c r="C23" s="110"/>
      <c r="D23" s="108" t="b">
        <f aca="false">TRUE()</f>
        <v>1</v>
      </c>
      <c r="E23" s="115" t="s">
        <v>941</v>
      </c>
      <c r="F23" s="113"/>
      <c r="G23" s="108" t="s">
        <v>945</v>
      </c>
      <c r="H23" s="104"/>
      <c r="I23" s="104"/>
      <c r="J23" s="104"/>
      <c r="L23" s="104"/>
      <c r="M23" s="104"/>
      <c r="N23" s="104"/>
      <c r="O23" s="104"/>
      <c r="P23" s="104"/>
      <c r="Q23" s="104"/>
      <c r="R23" s="104"/>
      <c r="S23" s="104"/>
      <c r="T23" s="104"/>
      <c r="U23" s="104"/>
      <c r="V23" s="104"/>
      <c r="W23" s="104"/>
      <c r="X23" s="104"/>
      <c r="Y23" s="104"/>
      <c r="Z23" s="116"/>
      <c r="AA23" s="116"/>
      <c r="AB23" s="116"/>
      <c r="AC23" s="116"/>
    </row>
    <row r="24" customFormat="false" ht="15" hidden="false" customHeight="false" outlineLevel="0" collapsed="false">
      <c r="A24" s="108" t="s">
        <v>854</v>
      </c>
      <c r="B24" s="108"/>
      <c r="C24" s="110"/>
      <c r="D24" s="108" t="b">
        <f aca="false">TRUE()</f>
        <v>1</v>
      </c>
      <c r="E24" s="115" t="s">
        <v>941</v>
      </c>
      <c r="F24" s="113"/>
      <c r="G24" s="108" t="s">
        <v>946</v>
      </c>
      <c r="H24" s="104"/>
      <c r="I24" s="104"/>
      <c r="J24" s="104"/>
      <c r="L24" s="104"/>
      <c r="M24" s="104"/>
      <c r="N24" s="104"/>
      <c r="O24" s="104"/>
      <c r="P24" s="104"/>
      <c r="Q24" s="104"/>
      <c r="R24" s="104"/>
      <c r="S24" s="104"/>
      <c r="T24" s="104"/>
      <c r="U24" s="104"/>
      <c r="V24" s="104"/>
      <c r="W24" s="104"/>
      <c r="X24" s="104"/>
      <c r="Y24" s="104"/>
      <c r="Z24" s="114"/>
      <c r="AA24" s="114"/>
      <c r="AB24" s="114"/>
      <c r="AC24" s="114"/>
    </row>
    <row r="25" customFormat="false" ht="15" hidden="false" customHeight="false" outlineLevel="0" collapsed="false">
      <c r="A25" s="108" t="s">
        <v>947</v>
      </c>
      <c r="B25" s="108"/>
      <c r="C25" s="110"/>
      <c r="D25" s="108" t="b">
        <f aca="false">TRUE()</f>
        <v>1</v>
      </c>
      <c r="E25" s="115" t="s">
        <v>947</v>
      </c>
      <c r="F25" s="113"/>
      <c r="G25" s="108" t="s">
        <v>948</v>
      </c>
      <c r="H25" s="104"/>
      <c r="I25" s="124"/>
      <c r="J25" s="124"/>
      <c r="L25" s="124"/>
      <c r="M25" s="124"/>
      <c r="N25" s="124"/>
      <c r="O25" s="124"/>
      <c r="P25" s="124"/>
      <c r="Q25" s="124"/>
      <c r="R25" s="124"/>
      <c r="S25" s="124"/>
      <c r="T25" s="124"/>
      <c r="U25" s="124"/>
      <c r="V25" s="124"/>
      <c r="W25" s="124"/>
      <c r="X25" s="124"/>
      <c r="Y25" s="124"/>
      <c r="Z25" s="125"/>
      <c r="AA25" s="125"/>
      <c r="AB25" s="125"/>
      <c r="AC25" s="125"/>
    </row>
    <row r="26" customFormat="false" ht="15" hidden="false" customHeight="false" outlineLevel="0" collapsed="false">
      <c r="A26" s="126" t="s">
        <v>855</v>
      </c>
      <c r="B26" s="108"/>
      <c r="C26" s="110"/>
      <c r="D26" s="108" t="b">
        <f aca="false">TRUE()</f>
        <v>1</v>
      </c>
      <c r="E26" s="115" t="s">
        <v>941</v>
      </c>
      <c r="F26" s="113"/>
      <c r="G26" s="108" t="s">
        <v>944</v>
      </c>
      <c r="H26" s="104"/>
      <c r="I26" s="104"/>
      <c r="J26" s="104"/>
      <c r="L26" s="104"/>
      <c r="M26" s="104"/>
      <c r="N26" s="104"/>
      <c r="O26" s="104"/>
      <c r="P26" s="104"/>
      <c r="Q26" s="104"/>
      <c r="R26" s="104"/>
      <c r="S26" s="104"/>
      <c r="T26" s="104"/>
      <c r="U26" s="104"/>
      <c r="V26" s="104"/>
      <c r="W26" s="104"/>
      <c r="X26" s="104"/>
      <c r="Y26" s="104"/>
      <c r="Z26" s="114"/>
      <c r="AA26" s="114"/>
      <c r="AB26" s="114"/>
      <c r="AC26" s="114"/>
    </row>
    <row r="27" customFormat="false" ht="15" hidden="false" customHeight="false" outlineLevel="0" collapsed="false">
      <c r="A27" s="108" t="s">
        <v>856</v>
      </c>
      <c r="B27" s="108"/>
      <c r="C27" s="110"/>
      <c r="D27" s="108" t="b">
        <f aca="false">TRUE()</f>
        <v>1</v>
      </c>
      <c r="E27" s="115" t="s">
        <v>941</v>
      </c>
      <c r="F27" s="113"/>
      <c r="G27" s="108" t="s">
        <v>944</v>
      </c>
      <c r="H27" s="104"/>
      <c r="I27" s="104"/>
      <c r="J27" s="104"/>
      <c r="L27" s="104"/>
      <c r="M27" s="104"/>
      <c r="N27" s="104"/>
      <c r="O27" s="104"/>
      <c r="P27" s="104"/>
      <c r="Q27" s="104"/>
      <c r="R27" s="104"/>
      <c r="S27" s="104"/>
      <c r="T27" s="104"/>
      <c r="U27" s="104"/>
      <c r="V27" s="104"/>
      <c r="W27" s="104"/>
      <c r="X27" s="104"/>
      <c r="Y27" s="104"/>
      <c r="Z27" s="104"/>
      <c r="AA27" s="104"/>
      <c r="AB27" s="104"/>
      <c r="AC27" s="104"/>
    </row>
    <row r="28" customFormat="false" ht="15" hidden="false" customHeight="false" outlineLevel="0" collapsed="false">
      <c r="A28" s="108" t="s">
        <v>858</v>
      </c>
      <c r="B28" s="108"/>
      <c r="C28" s="110"/>
      <c r="D28" s="108" t="b">
        <f aca="false">TRUE()</f>
        <v>1</v>
      </c>
      <c r="E28" s="115" t="s">
        <v>935</v>
      </c>
      <c r="F28" s="113"/>
      <c r="G28" s="108" t="s">
        <v>945</v>
      </c>
      <c r="H28" s="104"/>
      <c r="I28" s="104"/>
      <c r="J28" s="104"/>
      <c r="L28" s="104"/>
      <c r="M28" s="104"/>
      <c r="N28" s="104"/>
      <c r="O28" s="104"/>
      <c r="P28" s="104"/>
      <c r="Q28" s="104"/>
      <c r="R28" s="104"/>
      <c r="S28" s="104"/>
      <c r="T28" s="104"/>
      <c r="U28" s="104"/>
      <c r="V28" s="104"/>
      <c r="W28" s="104"/>
      <c r="X28" s="104"/>
      <c r="Y28" s="104"/>
      <c r="Z28" s="116"/>
      <c r="AA28" s="116"/>
      <c r="AB28" s="116"/>
      <c r="AC28" s="116"/>
    </row>
    <row r="29" customFormat="false" ht="15" hidden="false" customHeight="false" outlineLevel="0" collapsed="false">
      <c r="A29" s="117" t="s">
        <v>859</v>
      </c>
      <c r="B29" s="108"/>
      <c r="C29" s="110"/>
      <c r="D29" s="108" t="b">
        <f aca="false">TRUE()</f>
        <v>1</v>
      </c>
      <c r="E29" s="115" t="s">
        <v>941</v>
      </c>
      <c r="F29" s="113"/>
      <c r="G29" s="108" t="s">
        <v>945</v>
      </c>
      <c r="H29" s="104"/>
      <c r="I29" s="104"/>
      <c r="J29" s="104"/>
      <c r="L29" s="104"/>
      <c r="M29" s="104"/>
      <c r="N29" s="104"/>
      <c r="O29" s="104"/>
      <c r="P29" s="104"/>
      <c r="Q29" s="104"/>
      <c r="R29" s="104"/>
      <c r="S29" s="104"/>
      <c r="T29" s="104"/>
      <c r="U29" s="104"/>
      <c r="V29" s="104"/>
      <c r="W29" s="104"/>
      <c r="X29" s="104"/>
      <c r="Y29" s="104"/>
      <c r="Z29" s="114"/>
      <c r="AA29" s="114"/>
      <c r="AB29" s="114"/>
      <c r="AC29" s="114"/>
    </row>
    <row r="30" customFormat="false" ht="15" hidden="false" customHeight="false" outlineLevel="0" collapsed="false">
      <c r="A30" s="108" t="s">
        <v>589</v>
      </c>
      <c r="B30" s="108"/>
      <c r="C30" s="110"/>
      <c r="D30" s="127" t="n">
        <f aca="false">TRUE()</f>
        <v>1</v>
      </c>
      <c r="E30" s="115" t="s">
        <v>949</v>
      </c>
      <c r="F30" s="113"/>
      <c r="G30" s="108" t="s">
        <v>944</v>
      </c>
      <c r="H30" s="104"/>
      <c r="I30" s="104"/>
      <c r="J30" s="104"/>
      <c r="L30" s="104"/>
      <c r="M30" s="104"/>
      <c r="N30" s="104"/>
      <c r="O30" s="104"/>
      <c r="P30" s="104"/>
      <c r="Q30" s="104"/>
      <c r="R30" s="104"/>
      <c r="S30" s="104"/>
      <c r="T30" s="104"/>
      <c r="U30" s="104"/>
      <c r="V30" s="104"/>
      <c r="W30" s="104"/>
      <c r="X30" s="104"/>
      <c r="Y30" s="104"/>
      <c r="Z30" s="114"/>
      <c r="AA30" s="114"/>
      <c r="AB30" s="114"/>
      <c r="AC30" s="114"/>
    </row>
    <row r="31" customFormat="false" ht="15" hidden="false" customHeight="false" outlineLevel="0" collapsed="false">
      <c r="A31" s="126" t="s">
        <v>839</v>
      </c>
      <c r="B31" s="108"/>
      <c r="C31" s="110"/>
      <c r="D31" s="127" t="n">
        <f aca="false">TRUE()</f>
        <v>1</v>
      </c>
      <c r="E31" s="115" t="s">
        <v>941</v>
      </c>
      <c r="F31" s="113"/>
      <c r="G31" s="108" t="s">
        <v>950</v>
      </c>
      <c r="H31" s="104"/>
      <c r="I31" s="104"/>
      <c r="J31" s="104"/>
      <c r="L31" s="104"/>
      <c r="M31" s="104"/>
      <c r="N31" s="104"/>
      <c r="O31" s="104"/>
      <c r="P31" s="104"/>
      <c r="Q31" s="104"/>
      <c r="R31" s="104"/>
      <c r="S31" s="104"/>
      <c r="T31" s="104"/>
      <c r="U31" s="104"/>
      <c r="V31" s="104"/>
      <c r="W31" s="104"/>
      <c r="X31" s="104"/>
      <c r="Y31" s="104"/>
      <c r="Z31" s="114"/>
      <c r="AA31" s="114"/>
      <c r="AB31" s="114"/>
      <c r="AC31" s="114"/>
    </row>
    <row r="32" customFormat="false" ht="15" hidden="false" customHeight="false" outlineLevel="0" collapsed="false">
      <c r="A32" s="108" t="s">
        <v>840</v>
      </c>
      <c r="B32" s="108"/>
      <c r="C32" s="110"/>
      <c r="D32" s="127" t="n">
        <f aca="false">TRUE()</f>
        <v>1</v>
      </c>
      <c r="E32" s="115" t="s">
        <v>951</v>
      </c>
      <c r="F32" s="113"/>
      <c r="G32" s="108" t="s">
        <v>952</v>
      </c>
      <c r="H32" s="104"/>
      <c r="I32" s="104"/>
      <c r="J32" s="104"/>
      <c r="L32" s="104"/>
      <c r="M32" s="104"/>
      <c r="N32" s="104"/>
      <c r="O32" s="104"/>
      <c r="P32" s="104"/>
      <c r="Q32" s="104"/>
      <c r="R32" s="104"/>
      <c r="S32" s="104"/>
      <c r="T32" s="104"/>
      <c r="U32" s="104"/>
      <c r="V32" s="104"/>
      <c r="W32" s="104"/>
      <c r="X32" s="104"/>
      <c r="Y32" s="104"/>
      <c r="Z32" s="104"/>
      <c r="AA32" s="104"/>
      <c r="AB32" s="104"/>
      <c r="AC32" s="104"/>
    </row>
    <row r="33" customFormat="false" ht="15" hidden="false" customHeight="false" outlineLevel="0" collapsed="false">
      <c r="A33" s="126" t="s">
        <v>860</v>
      </c>
      <c r="B33" s="108"/>
      <c r="C33" s="110"/>
      <c r="D33" s="127" t="n">
        <f aca="false">TRUE()</f>
        <v>1</v>
      </c>
      <c r="E33" s="115" t="s">
        <v>951</v>
      </c>
      <c r="F33" s="113"/>
      <c r="G33" s="108" t="s">
        <v>952</v>
      </c>
      <c r="H33" s="104"/>
      <c r="I33" s="104"/>
      <c r="J33" s="104"/>
      <c r="L33" s="104"/>
      <c r="M33" s="104"/>
      <c r="N33" s="104"/>
      <c r="O33" s="104"/>
      <c r="P33" s="104"/>
      <c r="Q33" s="104"/>
      <c r="R33" s="104"/>
      <c r="S33" s="104"/>
      <c r="T33" s="104"/>
      <c r="U33" s="104"/>
      <c r="V33" s="104"/>
      <c r="W33" s="104"/>
      <c r="X33" s="104"/>
      <c r="Y33" s="104"/>
      <c r="Z33" s="114"/>
      <c r="AA33" s="114"/>
      <c r="AB33" s="114"/>
      <c r="AC33" s="114"/>
    </row>
    <row r="34" customFormat="false" ht="15" hidden="false" customHeight="false" outlineLevel="0" collapsed="false">
      <c r="A34" s="108" t="s">
        <v>275</v>
      </c>
      <c r="B34" s="108"/>
      <c r="C34" s="110"/>
      <c r="D34" s="127" t="n">
        <f aca="false">TRUE()</f>
        <v>1</v>
      </c>
      <c r="E34" s="115" t="s">
        <v>953</v>
      </c>
      <c r="F34" s="113"/>
      <c r="G34" s="108" t="s">
        <v>954</v>
      </c>
      <c r="H34" s="104"/>
      <c r="I34" s="104"/>
      <c r="J34" s="104"/>
      <c r="L34" s="104"/>
      <c r="M34" s="104"/>
      <c r="N34" s="104"/>
      <c r="O34" s="104"/>
      <c r="P34" s="104"/>
      <c r="Q34" s="104"/>
      <c r="R34" s="104"/>
      <c r="S34" s="104"/>
      <c r="T34" s="104"/>
      <c r="U34" s="104"/>
      <c r="V34" s="104"/>
      <c r="W34" s="104"/>
      <c r="X34" s="104"/>
      <c r="Y34" s="104"/>
      <c r="Z34" s="114"/>
      <c r="AA34" s="114"/>
      <c r="AB34" s="114"/>
      <c r="AC34" s="114"/>
    </row>
    <row r="35" customFormat="false" ht="15" hidden="false" customHeight="false" outlineLevel="0" collapsed="false">
      <c r="A35" s="126" t="s">
        <v>861</v>
      </c>
      <c r="B35" s="108"/>
      <c r="C35" s="110"/>
      <c r="D35" s="127" t="n">
        <f aca="false">TRUE()</f>
        <v>1</v>
      </c>
      <c r="E35" s="115" t="s">
        <v>941</v>
      </c>
      <c r="F35" s="113"/>
      <c r="G35" s="108" t="s">
        <v>955</v>
      </c>
      <c r="H35" s="104"/>
      <c r="I35" s="104"/>
      <c r="J35" s="104"/>
      <c r="L35" s="104"/>
      <c r="M35" s="104"/>
      <c r="N35" s="104"/>
      <c r="O35" s="104"/>
      <c r="P35" s="104"/>
      <c r="Q35" s="104"/>
      <c r="R35" s="104"/>
      <c r="S35" s="104"/>
      <c r="T35" s="104"/>
      <c r="U35" s="104"/>
      <c r="V35" s="104"/>
      <c r="W35" s="104"/>
      <c r="X35" s="104"/>
      <c r="Y35" s="104"/>
      <c r="Z35" s="104"/>
      <c r="AA35" s="104"/>
      <c r="AB35" s="104"/>
      <c r="AC35" s="104"/>
    </row>
    <row r="36" customFormat="false" ht="15" hidden="false" customHeight="false" outlineLevel="0" collapsed="false">
      <c r="A36" s="126" t="s">
        <v>862</v>
      </c>
      <c r="B36" s="108"/>
      <c r="C36" s="110"/>
      <c r="D36" s="127" t="n">
        <f aca="false">TRUE()</f>
        <v>1</v>
      </c>
      <c r="E36" s="115" t="s">
        <v>941</v>
      </c>
      <c r="F36" s="113"/>
      <c r="G36" s="108" t="s">
        <v>956</v>
      </c>
      <c r="H36" s="104"/>
      <c r="I36" s="104"/>
      <c r="J36" s="104"/>
      <c r="L36" s="104"/>
      <c r="M36" s="104"/>
      <c r="N36" s="104"/>
      <c r="O36" s="104"/>
      <c r="P36" s="104"/>
      <c r="Q36" s="104"/>
      <c r="R36" s="104"/>
      <c r="S36" s="104"/>
      <c r="T36" s="104"/>
      <c r="U36" s="104"/>
      <c r="V36" s="104"/>
      <c r="W36" s="104"/>
      <c r="X36" s="104"/>
      <c r="Y36" s="104"/>
      <c r="Z36" s="104"/>
      <c r="AA36" s="104"/>
      <c r="AB36" s="104"/>
      <c r="AC36" s="104"/>
    </row>
    <row r="37" customFormat="false" ht="15" hidden="false" customHeight="false" outlineLevel="0" collapsed="false">
      <c r="A37" s="128" t="s">
        <v>328</v>
      </c>
      <c r="B37" s="108"/>
      <c r="C37" s="110"/>
      <c r="D37" s="127" t="n">
        <f aca="false">TRUE()</f>
        <v>1</v>
      </c>
      <c r="E37" s="115" t="s">
        <v>941</v>
      </c>
      <c r="F37" s="113"/>
      <c r="G37" s="108" t="s">
        <v>946</v>
      </c>
      <c r="H37" s="104"/>
      <c r="I37" s="104"/>
      <c r="J37" s="104"/>
      <c r="L37" s="104"/>
      <c r="M37" s="104"/>
      <c r="N37" s="104"/>
      <c r="O37" s="104"/>
      <c r="P37" s="104"/>
      <c r="Q37" s="104"/>
      <c r="R37" s="104"/>
      <c r="S37" s="104"/>
      <c r="T37" s="104"/>
      <c r="U37" s="104"/>
      <c r="V37" s="104"/>
      <c r="W37" s="104"/>
      <c r="X37" s="104"/>
      <c r="Y37" s="104"/>
      <c r="Z37" s="114"/>
      <c r="AA37" s="114"/>
      <c r="AB37" s="114"/>
      <c r="AC37" s="114"/>
    </row>
    <row r="38" customFormat="false" ht="15" hidden="false" customHeight="false" outlineLevel="0" collapsed="false">
      <c r="A38" s="128" t="s">
        <v>552</v>
      </c>
      <c r="B38" s="108"/>
      <c r="C38" s="110"/>
      <c r="D38" s="108" t="b">
        <f aca="false">TRUE()</f>
        <v>1</v>
      </c>
      <c r="E38" s="115" t="s">
        <v>932</v>
      </c>
      <c r="F38" s="113"/>
      <c r="G38" s="108" t="s">
        <v>957</v>
      </c>
      <c r="H38" s="104"/>
      <c r="I38" s="104"/>
      <c r="J38" s="104"/>
      <c r="L38" s="104"/>
      <c r="M38" s="104"/>
      <c r="N38" s="104"/>
      <c r="O38" s="104"/>
      <c r="P38" s="104"/>
      <c r="Q38" s="104"/>
      <c r="R38" s="104"/>
      <c r="S38" s="104"/>
      <c r="T38" s="104"/>
      <c r="U38" s="104"/>
      <c r="V38" s="104"/>
      <c r="W38" s="104"/>
      <c r="X38" s="104"/>
      <c r="Y38" s="104"/>
      <c r="Z38" s="116"/>
      <c r="AA38" s="116"/>
      <c r="AB38" s="116"/>
      <c r="AC38" s="116"/>
    </row>
    <row r="39" customFormat="false" ht="15" hidden="false" customHeight="false" outlineLevel="0" collapsed="false">
      <c r="A39" s="129" t="s">
        <v>60</v>
      </c>
      <c r="B39" s="119"/>
      <c r="C39" s="121"/>
      <c r="D39" s="130" t="n">
        <f aca="false">FALSE()</f>
        <v>0</v>
      </c>
      <c r="E39" s="122" t="s">
        <v>941</v>
      </c>
      <c r="F39" s="123"/>
      <c r="G39" s="119" t="s">
        <v>957</v>
      </c>
      <c r="H39" s="104"/>
      <c r="I39" s="104"/>
      <c r="J39" s="104"/>
      <c r="L39" s="104"/>
      <c r="M39" s="104"/>
      <c r="N39" s="104"/>
      <c r="O39" s="104"/>
      <c r="P39" s="104"/>
      <c r="Q39" s="104"/>
      <c r="R39" s="104"/>
      <c r="S39" s="104"/>
      <c r="T39" s="104"/>
      <c r="U39" s="104"/>
      <c r="V39" s="104"/>
      <c r="W39" s="104"/>
      <c r="X39" s="104"/>
      <c r="Y39" s="104"/>
      <c r="Z39" s="116"/>
      <c r="AA39" s="116"/>
      <c r="AB39" s="116"/>
      <c r="AC39" s="116"/>
    </row>
    <row r="40" customFormat="false" ht="15" hidden="false" customHeight="false" outlineLevel="0" collapsed="false">
      <c r="A40" s="131" t="s">
        <v>958</v>
      </c>
      <c r="B40" s="119"/>
      <c r="C40" s="121"/>
      <c r="D40" s="130" t="n">
        <f aca="false">FALSE()</f>
        <v>0</v>
      </c>
      <c r="E40" s="122" t="s">
        <v>930</v>
      </c>
      <c r="F40" s="123"/>
      <c r="G40" s="119" t="s">
        <v>957</v>
      </c>
      <c r="H40" s="104"/>
      <c r="I40" s="104"/>
      <c r="J40" s="104"/>
      <c r="L40" s="104"/>
      <c r="M40" s="104"/>
      <c r="N40" s="104"/>
      <c r="O40" s="104"/>
      <c r="P40" s="104"/>
      <c r="Q40" s="104"/>
      <c r="R40" s="104"/>
      <c r="S40" s="104"/>
      <c r="T40" s="104"/>
      <c r="U40" s="104"/>
      <c r="V40" s="104"/>
      <c r="W40" s="104"/>
      <c r="X40" s="104"/>
      <c r="Y40" s="104"/>
      <c r="Z40" s="116"/>
      <c r="AA40" s="116"/>
      <c r="AB40" s="116"/>
      <c r="AC40" s="116"/>
    </row>
    <row r="41" customFormat="false" ht="15" hidden="false" customHeight="false" outlineLevel="0" collapsed="false">
      <c r="A41" s="131" t="s">
        <v>546</v>
      </c>
      <c r="B41" s="119"/>
      <c r="C41" s="121"/>
      <c r="D41" s="130" t="n">
        <f aca="false">FALSE()</f>
        <v>0</v>
      </c>
      <c r="E41" s="122" t="s">
        <v>959</v>
      </c>
      <c r="F41" s="123"/>
      <c r="G41" s="119" t="s">
        <v>957</v>
      </c>
      <c r="H41" s="104"/>
      <c r="I41" s="104"/>
      <c r="J41" s="104"/>
      <c r="L41" s="104"/>
      <c r="M41" s="104"/>
      <c r="N41" s="104"/>
      <c r="O41" s="104"/>
      <c r="P41" s="104"/>
      <c r="Q41" s="104"/>
      <c r="R41" s="104"/>
      <c r="S41" s="104"/>
      <c r="T41" s="104"/>
      <c r="U41" s="104"/>
      <c r="V41" s="104"/>
      <c r="W41" s="104"/>
      <c r="X41" s="104"/>
      <c r="Y41" s="104"/>
      <c r="Z41" s="114"/>
      <c r="AA41" s="114"/>
      <c r="AB41" s="114"/>
      <c r="AC41" s="114"/>
    </row>
    <row r="42" customFormat="false" ht="15" hidden="false" customHeight="false" outlineLevel="0" collapsed="false">
      <c r="A42" s="119" t="s">
        <v>830</v>
      </c>
      <c r="B42" s="119"/>
      <c r="C42" s="121"/>
      <c r="D42" s="130" t="n">
        <f aca="false">FALSE()</f>
        <v>0</v>
      </c>
      <c r="E42" s="122" t="s">
        <v>930</v>
      </c>
      <c r="F42" s="123"/>
      <c r="G42" s="119" t="s">
        <v>957</v>
      </c>
      <c r="H42" s="104"/>
      <c r="I42" s="104"/>
      <c r="J42" s="104"/>
      <c r="L42" s="104"/>
      <c r="M42" s="104"/>
      <c r="N42" s="104"/>
      <c r="O42" s="104"/>
      <c r="P42" s="104"/>
      <c r="Q42" s="104"/>
      <c r="R42" s="104"/>
      <c r="S42" s="104"/>
      <c r="T42" s="104"/>
      <c r="U42" s="104"/>
      <c r="V42" s="104"/>
      <c r="W42" s="104"/>
      <c r="X42" s="104"/>
      <c r="Y42" s="104"/>
      <c r="Z42" s="116"/>
      <c r="AA42" s="116"/>
      <c r="AB42" s="116"/>
      <c r="AC42" s="116"/>
    </row>
    <row r="43" customFormat="false" ht="15" hidden="false" customHeight="false" outlineLevel="0" collapsed="false">
      <c r="A43" s="132" t="s">
        <v>540</v>
      </c>
      <c r="B43" s="119"/>
      <c r="C43" s="121"/>
      <c r="D43" s="130" t="n">
        <f aca="false">FALSE()</f>
        <v>0</v>
      </c>
      <c r="E43" s="122" t="s">
        <v>941</v>
      </c>
      <c r="F43" s="123"/>
      <c r="G43" s="119" t="s">
        <v>957</v>
      </c>
      <c r="H43" s="104"/>
      <c r="I43" s="104"/>
      <c r="J43" s="104"/>
      <c r="L43" s="104"/>
      <c r="M43" s="104"/>
      <c r="N43" s="104"/>
      <c r="O43" s="104"/>
      <c r="P43" s="104"/>
      <c r="Q43" s="104"/>
      <c r="R43" s="104"/>
      <c r="S43" s="104"/>
      <c r="T43" s="104"/>
      <c r="U43" s="104"/>
      <c r="V43" s="104"/>
      <c r="W43" s="104"/>
      <c r="X43" s="104"/>
      <c r="Y43" s="104"/>
      <c r="Z43" s="116"/>
      <c r="AA43" s="116"/>
      <c r="AB43" s="116"/>
      <c r="AC43" s="116"/>
    </row>
    <row r="44" customFormat="false" ht="15" hidden="false" customHeight="false" outlineLevel="0" collapsed="false">
      <c r="A44" s="119" t="s">
        <v>544</v>
      </c>
      <c r="B44" s="119"/>
      <c r="C44" s="121"/>
      <c r="D44" s="130" t="n">
        <f aca="false">FALSE()</f>
        <v>0</v>
      </c>
      <c r="E44" s="122" t="s">
        <v>960</v>
      </c>
      <c r="F44" s="123"/>
      <c r="G44" s="119" t="s">
        <v>957</v>
      </c>
      <c r="H44" s="104"/>
      <c r="I44" s="104"/>
      <c r="J44" s="104"/>
      <c r="L44" s="104"/>
      <c r="M44" s="104"/>
      <c r="N44" s="104"/>
      <c r="O44" s="104"/>
      <c r="P44" s="104"/>
      <c r="Q44" s="104"/>
      <c r="R44" s="104"/>
      <c r="S44" s="104"/>
      <c r="T44" s="104"/>
      <c r="U44" s="104"/>
      <c r="V44" s="104"/>
      <c r="W44" s="104"/>
      <c r="X44" s="104"/>
      <c r="Y44" s="104"/>
      <c r="Z44" s="104"/>
      <c r="AA44" s="104"/>
      <c r="AB44" s="104"/>
      <c r="AC44" s="104"/>
    </row>
    <row r="45" customFormat="false" ht="15" hidden="false" customHeight="false" outlineLevel="0" collapsed="false">
      <c r="A45" s="133" t="s">
        <v>537</v>
      </c>
      <c r="B45" s="119"/>
      <c r="C45" s="121"/>
      <c r="D45" s="130" t="n">
        <f aca="false">FALSE()</f>
        <v>0</v>
      </c>
      <c r="E45" s="122" t="s">
        <v>941</v>
      </c>
      <c r="F45" s="123"/>
      <c r="G45" s="119" t="s">
        <v>957</v>
      </c>
      <c r="H45" s="104"/>
      <c r="I45" s="104"/>
      <c r="J45" s="104"/>
      <c r="L45" s="104"/>
      <c r="M45" s="104"/>
      <c r="N45" s="104"/>
      <c r="O45" s="104"/>
      <c r="P45" s="104"/>
      <c r="Q45" s="104"/>
      <c r="R45" s="104"/>
      <c r="S45" s="104"/>
      <c r="T45" s="104"/>
      <c r="U45" s="104"/>
      <c r="V45" s="104"/>
      <c r="W45" s="104"/>
      <c r="X45" s="104"/>
      <c r="Y45" s="104"/>
      <c r="Z45" s="116"/>
      <c r="AA45" s="116"/>
      <c r="AB45" s="116"/>
      <c r="AC45" s="116"/>
    </row>
    <row r="46" customFormat="false" ht="14.25" hidden="false" customHeight="true" outlineLevel="0" collapsed="false">
      <c r="A46" s="132" t="s">
        <v>542</v>
      </c>
      <c r="B46" s="119"/>
      <c r="C46" s="121"/>
      <c r="D46" s="130" t="n">
        <f aca="false">FALSE()</f>
        <v>0</v>
      </c>
      <c r="E46" s="122" t="s">
        <v>930</v>
      </c>
      <c r="F46" s="123"/>
      <c r="G46" s="119" t="s">
        <v>957</v>
      </c>
      <c r="H46" s="104"/>
      <c r="I46" s="104"/>
      <c r="J46" s="104"/>
      <c r="L46" s="104"/>
      <c r="M46" s="104"/>
      <c r="N46" s="104"/>
      <c r="O46" s="104"/>
      <c r="P46" s="104"/>
      <c r="Q46" s="104"/>
      <c r="R46" s="104"/>
      <c r="S46" s="104"/>
      <c r="T46" s="104"/>
      <c r="U46" s="104"/>
      <c r="V46" s="104"/>
      <c r="W46" s="104"/>
      <c r="X46" s="104"/>
      <c r="Y46" s="104"/>
      <c r="Z46" s="104"/>
      <c r="AA46" s="104"/>
      <c r="AB46" s="104"/>
      <c r="AC46" s="104"/>
    </row>
    <row r="47" customFormat="false" ht="15" hidden="false" customHeight="false" outlineLevel="0" collapsed="false">
      <c r="A47" s="119" t="s">
        <v>831</v>
      </c>
      <c r="B47" s="119"/>
      <c r="C47" s="121"/>
      <c r="D47" s="130" t="n">
        <f aca="false">FALSE()</f>
        <v>0</v>
      </c>
      <c r="E47" s="122" t="s">
        <v>941</v>
      </c>
      <c r="F47" s="123"/>
      <c r="G47" s="119" t="s">
        <v>957</v>
      </c>
      <c r="H47" s="104"/>
      <c r="I47" s="104"/>
      <c r="J47" s="104"/>
      <c r="L47" s="104"/>
      <c r="M47" s="104"/>
      <c r="N47" s="104"/>
      <c r="O47" s="104"/>
      <c r="P47" s="104"/>
      <c r="Q47" s="104"/>
      <c r="R47" s="104"/>
      <c r="S47" s="104"/>
      <c r="T47" s="104"/>
      <c r="U47" s="104"/>
      <c r="V47" s="104"/>
      <c r="W47" s="104"/>
      <c r="X47" s="104"/>
      <c r="Y47" s="104"/>
      <c r="Z47" s="104"/>
      <c r="AA47" s="104"/>
      <c r="AB47" s="104"/>
      <c r="AC47" s="104"/>
    </row>
    <row r="48" customFormat="false" ht="15" hidden="false" customHeight="false" outlineLevel="0" collapsed="false">
      <c r="A48" s="133" t="s">
        <v>825</v>
      </c>
      <c r="B48" s="119"/>
      <c r="C48" s="121"/>
      <c r="D48" s="130" t="n">
        <f aca="false">FALSE()</f>
        <v>0</v>
      </c>
      <c r="E48" s="122" t="s">
        <v>941</v>
      </c>
      <c r="F48" s="123"/>
      <c r="G48" s="119" t="s">
        <v>957</v>
      </c>
      <c r="H48" s="104"/>
      <c r="I48" s="104"/>
      <c r="J48" s="104"/>
      <c r="L48" s="104"/>
      <c r="M48" s="104"/>
      <c r="N48" s="104"/>
      <c r="O48" s="104"/>
      <c r="P48" s="104"/>
      <c r="Q48" s="104"/>
      <c r="R48" s="104"/>
      <c r="S48" s="104"/>
      <c r="T48" s="104"/>
      <c r="U48" s="104"/>
      <c r="V48" s="104"/>
      <c r="W48" s="104"/>
      <c r="X48" s="104"/>
      <c r="Y48" s="104"/>
      <c r="Z48" s="104"/>
      <c r="AA48" s="104"/>
      <c r="AB48" s="104"/>
      <c r="AC48" s="104"/>
    </row>
    <row r="49" customFormat="false" ht="15" hidden="false" customHeight="false" outlineLevel="0" collapsed="false">
      <c r="A49" s="119" t="s">
        <v>826</v>
      </c>
      <c r="B49" s="119"/>
      <c r="C49" s="121"/>
      <c r="D49" s="130" t="n">
        <f aca="false">FALSE()</f>
        <v>0</v>
      </c>
      <c r="E49" s="122" t="s">
        <v>961</v>
      </c>
      <c r="F49" s="123"/>
      <c r="G49" s="119" t="s">
        <v>957</v>
      </c>
      <c r="H49" s="104"/>
      <c r="I49" s="104"/>
      <c r="J49" s="104"/>
      <c r="L49" s="104"/>
      <c r="M49" s="104"/>
      <c r="N49" s="104"/>
      <c r="O49" s="104"/>
      <c r="P49" s="104"/>
      <c r="Q49" s="104"/>
      <c r="R49" s="104"/>
      <c r="S49" s="104"/>
      <c r="T49" s="104"/>
      <c r="U49" s="104"/>
      <c r="V49" s="104"/>
      <c r="W49" s="104"/>
      <c r="X49" s="104"/>
      <c r="Y49" s="104"/>
      <c r="Z49" s="104"/>
      <c r="AA49" s="104"/>
      <c r="AB49" s="104"/>
      <c r="AC49" s="104"/>
    </row>
    <row r="50" customFormat="false" ht="15" hidden="false" customHeight="false" outlineLevel="0" collapsed="false">
      <c r="A50" s="119" t="s">
        <v>827</v>
      </c>
      <c r="B50" s="119"/>
      <c r="C50" s="121"/>
      <c r="D50" s="130" t="n">
        <f aca="false">FALSE()</f>
        <v>0</v>
      </c>
      <c r="E50" s="122" t="s">
        <v>962</v>
      </c>
      <c r="F50" s="123"/>
      <c r="G50" s="119" t="s">
        <v>957</v>
      </c>
      <c r="H50" s="104"/>
      <c r="I50" s="104"/>
      <c r="J50" s="104"/>
      <c r="L50" s="104"/>
      <c r="M50" s="104"/>
      <c r="N50" s="104"/>
      <c r="O50" s="104"/>
      <c r="P50" s="104"/>
      <c r="Q50" s="104"/>
      <c r="R50" s="104"/>
      <c r="S50" s="104"/>
      <c r="T50" s="104"/>
      <c r="U50" s="104"/>
      <c r="V50" s="104"/>
      <c r="W50" s="104"/>
      <c r="X50" s="104"/>
      <c r="Y50" s="104"/>
      <c r="Z50" s="104"/>
      <c r="AA50" s="104"/>
      <c r="AB50" s="104"/>
      <c r="AC50" s="104"/>
    </row>
    <row r="51" customFormat="false" ht="15" hidden="false" customHeight="false" outlineLevel="0" collapsed="false">
      <c r="A51" s="133" t="s">
        <v>963</v>
      </c>
      <c r="B51" s="119"/>
      <c r="C51" s="121"/>
      <c r="D51" s="130" t="n">
        <f aca="false">FALSE()</f>
        <v>0</v>
      </c>
      <c r="E51" s="122" t="s">
        <v>959</v>
      </c>
      <c r="F51" s="123"/>
      <c r="G51" s="119" t="s">
        <v>957</v>
      </c>
      <c r="H51" s="104"/>
      <c r="I51" s="104"/>
      <c r="J51" s="104"/>
      <c r="L51" s="104"/>
      <c r="M51" s="104"/>
      <c r="N51" s="104"/>
      <c r="O51" s="104"/>
      <c r="P51" s="104"/>
      <c r="Q51" s="104"/>
      <c r="R51" s="104"/>
      <c r="S51" s="104"/>
      <c r="T51" s="104"/>
      <c r="U51" s="104"/>
      <c r="V51" s="104"/>
      <c r="W51" s="104"/>
      <c r="X51" s="104"/>
      <c r="Y51" s="104"/>
      <c r="Z51" s="114"/>
      <c r="AA51" s="114"/>
      <c r="AB51" s="114"/>
      <c r="AC51" s="114"/>
    </row>
    <row r="52" customFormat="false" ht="15" hidden="false" customHeight="false" outlineLevel="0" collapsed="false">
      <c r="A52" s="119" t="s">
        <v>610</v>
      </c>
      <c r="B52" s="119"/>
      <c r="C52" s="121"/>
      <c r="D52" s="130" t="n">
        <f aca="false">FALSE()</f>
        <v>0</v>
      </c>
      <c r="E52" s="122" t="s">
        <v>941</v>
      </c>
      <c r="F52" s="123"/>
      <c r="G52" s="119" t="s">
        <v>957</v>
      </c>
      <c r="H52" s="104"/>
      <c r="I52" s="104"/>
      <c r="J52" s="104"/>
      <c r="L52" s="104"/>
      <c r="M52" s="104"/>
      <c r="N52" s="104"/>
      <c r="O52" s="104"/>
      <c r="P52" s="104"/>
      <c r="Q52" s="104"/>
      <c r="R52" s="104"/>
      <c r="S52" s="104"/>
      <c r="T52" s="104"/>
      <c r="U52" s="104"/>
      <c r="V52" s="104"/>
      <c r="W52" s="104"/>
      <c r="X52" s="104"/>
      <c r="Y52" s="104"/>
      <c r="Z52" s="104"/>
      <c r="AA52" s="104"/>
      <c r="AB52" s="104"/>
      <c r="AC52" s="104"/>
    </row>
    <row r="53" customFormat="false" ht="15" hidden="false" customHeight="false" outlineLevel="0" collapsed="false">
      <c r="A53" s="133" t="s">
        <v>53</v>
      </c>
      <c r="B53" s="119"/>
      <c r="C53" s="121"/>
      <c r="D53" s="130" t="n">
        <f aca="false">FALSE()</f>
        <v>0</v>
      </c>
      <c r="E53" s="122" t="s">
        <v>941</v>
      </c>
      <c r="F53" s="123"/>
      <c r="G53" s="119" t="s">
        <v>957</v>
      </c>
      <c r="H53" s="104"/>
      <c r="I53" s="104"/>
      <c r="J53" s="104"/>
      <c r="L53" s="104"/>
      <c r="M53" s="104"/>
      <c r="N53" s="104"/>
      <c r="O53" s="104"/>
      <c r="P53" s="104"/>
      <c r="Q53" s="104"/>
      <c r="R53" s="104"/>
      <c r="S53" s="104"/>
      <c r="T53" s="104"/>
      <c r="U53" s="104"/>
      <c r="V53" s="104"/>
      <c r="W53" s="104"/>
      <c r="X53" s="104"/>
      <c r="Y53" s="104"/>
      <c r="Z53" s="104"/>
      <c r="AA53" s="104"/>
      <c r="AB53" s="104"/>
      <c r="AC53" s="104"/>
    </row>
    <row r="54" customFormat="false" ht="15" hidden="false" customHeight="false" outlineLevel="0" collapsed="false">
      <c r="A54" s="133" t="s">
        <v>829</v>
      </c>
      <c r="B54" s="119"/>
      <c r="C54" s="121"/>
      <c r="D54" s="130" t="n">
        <f aca="false">FALSE()</f>
        <v>0</v>
      </c>
      <c r="E54" s="122" t="s">
        <v>941</v>
      </c>
      <c r="F54" s="123"/>
      <c r="G54" s="119" t="s">
        <v>957</v>
      </c>
      <c r="H54" s="104"/>
      <c r="I54" s="104"/>
      <c r="J54" s="104"/>
      <c r="L54" s="104"/>
      <c r="M54" s="104"/>
      <c r="N54" s="104"/>
      <c r="O54" s="104"/>
      <c r="P54" s="104"/>
      <c r="Q54" s="104"/>
      <c r="R54" s="104"/>
      <c r="S54" s="104"/>
      <c r="T54" s="104"/>
      <c r="U54" s="104"/>
      <c r="V54" s="104"/>
      <c r="W54" s="104"/>
      <c r="X54" s="104"/>
      <c r="Y54" s="104"/>
      <c r="Z54" s="104"/>
      <c r="AA54" s="104"/>
      <c r="AB54" s="104"/>
      <c r="AC54" s="104"/>
    </row>
    <row r="55" customFormat="false" ht="15" hidden="false" customHeight="false" outlineLevel="0" collapsed="false">
      <c r="A55" s="104" t="s">
        <v>964</v>
      </c>
      <c r="B55" s="119"/>
      <c r="C55" s="121"/>
      <c r="D55" s="130" t="n">
        <f aca="false">FALSE()</f>
        <v>0</v>
      </c>
      <c r="E55" s="122" t="s">
        <v>941</v>
      </c>
      <c r="F55" s="123"/>
      <c r="G55" s="119" t="s">
        <v>957</v>
      </c>
      <c r="H55" s="104"/>
      <c r="I55" s="104"/>
      <c r="J55" s="104"/>
      <c r="L55" s="104"/>
      <c r="M55" s="104"/>
      <c r="N55" s="104"/>
      <c r="O55" s="104"/>
      <c r="P55" s="104"/>
      <c r="Q55" s="104"/>
      <c r="R55" s="104"/>
      <c r="S55" s="104"/>
      <c r="T55" s="104"/>
      <c r="U55" s="104"/>
      <c r="V55" s="104"/>
      <c r="W55" s="104"/>
      <c r="X55" s="104"/>
      <c r="Y55" s="104"/>
      <c r="Z55" s="114"/>
      <c r="AA55" s="114"/>
      <c r="AB55" s="114"/>
      <c r="AC55" s="114"/>
    </row>
    <row r="56" customFormat="false" ht="15" hidden="false" customHeight="false" outlineLevel="0" collapsed="false">
      <c r="A56" s="119" t="s">
        <v>381</v>
      </c>
      <c r="B56" s="119"/>
      <c r="C56" s="121"/>
      <c r="D56" s="130" t="n">
        <f aca="false">FALSE()</f>
        <v>0</v>
      </c>
      <c r="E56" s="122" t="s">
        <v>941</v>
      </c>
      <c r="F56" s="123"/>
      <c r="G56" s="119" t="s">
        <v>957</v>
      </c>
      <c r="H56" s="104"/>
      <c r="I56" s="104"/>
      <c r="J56" s="104"/>
      <c r="L56" s="104"/>
      <c r="M56" s="104"/>
      <c r="N56" s="104"/>
      <c r="O56" s="104"/>
      <c r="P56" s="104"/>
      <c r="Q56" s="104"/>
      <c r="R56" s="104"/>
      <c r="S56" s="104"/>
      <c r="T56" s="104"/>
      <c r="U56" s="104"/>
      <c r="V56" s="104"/>
      <c r="W56" s="104"/>
      <c r="X56" s="104"/>
      <c r="Y56" s="104"/>
      <c r="Z56" s="114"/>
      <c r="AA56" s="114"/>
      <c r="AB56" s="114"/>
      <c r="AC56" s="114"/>
    </row>
    <row r="57" customFormat="false" ht="14.25" hidden="false" customHeight="true" outlineLevel="0" collapsed="false">
      <c r="A57" s="119" t="s">
        <v>835</v>
      </c>
      <c r="B57" s="119"/>
      <c r="C57" s="121"/>
      <c r="D57" s="130" t="n">
        <f aca="false">FALSE()</f>
        <v>0</v>
      </c>
      <c r="E57" s="122" t="s">
        <v>941</v>
      </c>
      <c r="F57" s="123"/>
      <c r="G57" s="119" t="s">
        <v>957</v>
      </c>
      <c r="H57" s="104"/>
      <c r="I57" s="104"/>
      <c r="J57" s="104"/>
      <c r="L57" s="104"/>
      <c r="M57" s="104"/>
      <c r="N57" s="104"/>
      <c r="O57" s="104"/>
      <c r="P57" s="104"/>
      <c r="Q57" s="104"/>
      <c r="R57" s="104"/>
      <c r="S57" s="104"/>
      <c r="T57" s="104"/>
      <c r="U57" s="104"/>
      <c r="V57" s="104"/>
      <c r="W57" s="104"/>
      <c r="X57" s="104"/>
      <c r="Y57" s="104"/>
      <c r="Z57" s="104"/>
      <c r="AA57" s="104"/>
      <c r="AB57" s="104"/>
      <c r="AC57" s="104"/>
    </row>
    <row r="58" customFormat="false" ht="15" hidden="false" customHeight="false" outlineLevel="0" collapsed="false">
      <c r="A58" s="134" t="s">
        <v>963</v>
      </c>
      <c r="B58" s="119"/>
      <c r="C58" s="121"/>
      <c r="D58" s="130" t="n">
        <f aca="false">FALSE()</f>
        <v>0</v>
      </c>
      <c r="E58" s="122" t="s">
        <v>965</v>
      </c>
      <c r="F58" s="123"/>
      <c r="G58" s="119" t="s">
        <v>957</v>
      </c>
      <c r="H58" s="104"/>
      <c r="I58" s="104"/>
      <c r="J58" s="104"/>
      <c r="L58" s="104"/>
      <c r="M58" s="104"/>
      <c r="N58" s="104"/>
      <c r="O58" s="104"/>
      <c r="P58" s="104"/>
      <c r="Q58" s="104"/>
      <c r="R58" s="104"/>
      <c r="S58" s="104"/>
      <c r="T58" s="104"/>
      <c r="U58" s="104"/>
      <c r="V58" s="104"/>
      <c r="W58" s="104"/>
      <c r="X58" s="104"/>
      <c r="Y58" s="104"/>
      <c r="Z58" s="116"/>
      <c r="AA58" s="116"/>
      <c r="AB58" s="116"/>
      <c r="AC58" s="116"/>
    </row>
    <row r="59" customFormat="false" ht="15" hidden="false" customHeight="false" outlineLevel="0" collapsed="false">
      <c r="A59" s="119" t="s">
        <v>120</v>
      </c>
      <c r="B59" s="119"/>
      <c r="C59" s="121"/>
      <c r="D59" s="130" t="n">
        <f aca="false">FALSE()</f>
        <v>0</v>
      </c>
      <c r="E59" s="122" t="s">
        <v>966</v>
      </c>
      <c r="F59" s="123"/>
      <c r="G59" s="119" t="s">
        <v>957</v>
      </c>
      <c r="H59" s="104"/>
      <c r="I59" s="104"/>
      <c r="J59" s="104"/>
      <c r="L59" s="104"/>
      <c r="M59" s="104"/>
      <c r="N59" s="104"/>
      <c r="O59" s="104"/>
      <c r="P59" s="104"/>
      <c r="Q59" s="104"/>
      <c r="R59" s="104"/>
      <c r="S59" s="104"/>
      <c r="T59" s="104"/>
      <c r="U59" s="104"/>
      <c r="V59" s="104"/>
      <c r="W59" s="104"/>
      <c r="X59" s="104"/>
      <c r="Y59" s="104"/>
      <c r="Z59" s="104"/>
      <c r="AA59" s="104"/>
      <c r="AB59" s="104"/>
      <c r="AC59" s="104"/>
    </row>
    <row r="60" customFormat="false" ht="15" hidden="false" customHeight="false" outlineLevel="0" collapsed="false">
      <c r="A60" s="132" t="s">
        <v>832</v>
      </c>
      <c r="B60" s="119"/>
      <c r="C60" s="121"/>
      <c r="D60" s="130" t="n">
        <f aca="false">FALSE()</f>
        <v>0</v>
      </c>
      <c r="E60" s="122" t="s">
        <v>966</v>
      </c>
      <c r="F60" s="123"/>
      <c r="G60" s="119" t="s">
        <v>957</v>
      </c>
      <c r="H60" s="104"/>
      <c r="I60" s="104"/>
      <c r="J60" s="104"/>
      <c r="L60" s="104"/>
      <c r="M60" s="104"/>
      <c r="N60" s="104"/>
      <c r="O60" s="104"/>
      <c r="P60" s="104"/>
      <c r="Q60" s="104"/>
      <c r="R60" s="104"/>
      <c r="S60" s="104"/>
      <c r="T60" s="104"/>
      <c r="U60" s="104"/>
      <c r="V60" s="104"/>
      <c r="W60" s="104"/>
      <c r="X60" s="104"/>
      <c r="Y60" s="104"/>
      <c r="Z60" s="116"/>
      <c r="AA60" s="116"/>
      <c r="AB60" s="116"/>
      <c r="AC60" s="116"/>
    </row>
    <row r="61" customFormat="false" ht="15" hidden="false" customHeight="false" outlineLevel="0" collapsed="false">
      <c r="A61" s="119" t="s">
        <v>833</v>
      </c>
      <c r="B61" s="119"/>
      <c r="C61" s="121"/>
      <c r="D61" s="130" t="n">
        <f aca="false">FALSE()</f>
        <v>0</v>
      </c>
      <c r="E61" s="122" t="s">
        <v>966</v>
      </c>
      <c r="F61" s="123"/>
      <c r="G61" s="119" t="s">
        <v>957</v>
      </c>
      <c r="H61" s="104"/>
      <c r="I61" s="104"/>
      <c r="J61" s="104"/>
      <c r="L61" s="104"/>
      <c r="M61" s="104"/>
      <c r="N61" s="104"/>
      <c r="O61" s="104"/>
      <c r="P61" s="104"/>
      <c r="Q61" s="104"/>
      <c r="R61" s="104"/>
      <c r="S61" s="104"/>
      <c r="T61" s="104"/>
      <c r="U61" s="104"/>
      <c r="V61" s="104"/>
      <c r="W61" s="104"/>
      <c r="X61" s="104"/>
      <c r="Y61" s="104"/>
      <c r="Z61" s="116"/>
      <c r="AA61" s="116"/>
      <c r="AB61" s="116"/>
      <c r="AC61" s="116"/>
    </row>
    <row r="62" customFormat="false" ht="15" hidden="false" customHeight="false" outlineLevel="0" collapsed="false">
      <c r="A62" s="119" t="s">
        <v>834</v>
      </c>
      <c r="B62" s="119"/>
      <c r="C62" s="121"/>
      <c r="D62" s="130" t="n">
        <f aca="false">FALSE()</f>
        <v>0</v>
      </c>
      <c r="E62" s="122" t="s">
        <v>967</v>
      </c>
      <c r="F62" s="123"/>
      <c r="G62" s="119" t="s">
        <v>957</v>
      </c>
      <c r="H62" s="104"/>
      <c r="I62" s="104"/>
      <c r="J62" s="104"/>
      <c r="L62" s="104"/>
      <c r="M62" s="104"/>
      <c r="N62" s="104"/>
      <c r="O62" s="104"/>
      <c r="P62" s="104"/>
      <c r="Q62" s="104"/>
      <c r="R62" s="104"/>
      <c r="S62" s="104"/>
      <c r="T62" s="104"/>
      <c r="U62" s="104"/>
      <c r="V62" s="104"/>
      <c r="W62" s="104"/>
      <c r="X62" s="104"/>
      <c r="Y62" s="104"/>
      <c r="Z62" s="104"/>
      <c r="AA62" s="104"/>
      <c r="AB62" s="104"/>
      <c r="AC62" s="104"/>
    </row>
    <row r="63" customFormat="false" ht="15" hidden="false" customHeight="false" outlineLevel="0" collapsed="false">
      <c r="A63" s="133" t="s">
        <v>616</v>
      </c>
      <c r="B63" s="119"/>
      <c r="C63" s="121"/>
      <c r="D63" s="130" t="n">
        <f aca="false">FALSE()</f>
        <v>0</v>
      </c>
      <c r="E63" s="122" t="s">
        <v>966</v>
      </c>
      <c r="F63" s="123"/>
      <c r="G63" s="119" t="s">
        <v>957</v>
      </c>
      <c r="H63" s="104"/>
      <c r="I63" s="104"/>
      <c r="J63" s="104"/>
      <c r="L63" s="104"/>
      <c r="M63" s="104"/>
      <c r="N63" s="104"/>
      <c r="O63" s="104"/>
      <c r="P63" s="104"/>
      <c r="Q63" s="104"/>
      <c r="R63" s="104"/>
      <c r="S63" s="104"/>
      <c r="T63" s="104"/>
      <c r="U63" s="104"/>
      <c r="V63" s="104"/>
      <c r="W63" s="104"/>
      <c r="X63" s="104"/>
      <c r="Y63" s="104"/>
      <c r="Z63" s="104"/>
      <c r="AA63" s="104"/>
      <c r="AB63" s="104"/>
      <c r="AC63" s="104"/>
    </row>
    <row r="64" customFormat="false" ht="15" hidden="false" customHeight="false" outlineLevel="0" collapsed="false">
      <c r="A64" s="135" t="s">
        <v>817</v>
      </c>
      <c r="B64" s="119"/>
      <c r="C64" s="121"/>
      <c r="D64" s="130" t="n">
        <f aca="false">FALSE()</f>
        <v>0</v>
      </c>
      <c r="E64" s="122" t="s">
        <v>968</v>
      </c>
      <c r="F64" s="123"/>
      <c r="G64" s="119" t="s">
        <v>957</v>
      </c>
      <c r="H64" s="104"/>
      <c r="I64" s="104"/>
      <c r="J64" s="104"/>
      <c r="L64" s="104"/>
      <c r="M64" s="104"/>
      <c r="N64" s="104"/>
      <c r="O64" s="104"/>
      <c r="P64" s="104"/>
      <c r="Q64" s="104"/>
      <c r="R64" s="104"/>
      <c r="S64" s="104"/>
      <c r="T64" s="104"/>
      <c r="U64" s="104"/>
      <c r="V64" s="104"/>
      <c r="W64" s="104"/>
      <c r="X64" s="104"/>
      <c r="Y64" s="104"/>
      <c r="Z64" s="116"/>
      <c r="AA64" s="116"/>
      <c r="AB64" s="116"/>
      <c r="AC64" s="116"/>
    </row>
    <row r="65" customFormat="false" ht="15" hidden="false" customHeight="false" outlineLevel="0" collapsed="false">
      <c r="A65" s="119" t="s">
        <v>194</v>
      </c>
      <c r="B65" s="119"/>
      <c r="C65" s="121"/>
      <c r="D65" s="130" t="n">
        <f aca="false">FALSE()</f>
        <v>0</v>
      </c>
      <c r="E65" s="122" t="s">
        <v>966</v>
      </c>
      <c r="F65" s="123"/>
      <c r="G65" s="119" t="s">
        <v>957</v>
      </c>
      <c r="H65" s="104"/>
      <c r="I65" s="104"/>
      <c r="J65" s="104"/>
      <c r="L65" s="104"/>
      <c r="M65" s="104"/>
      <c r="N65" s="104"/>
      <c r="O65" s="104"/>
      <c r="P65" s="104"/>
      <c r="Q65" s="104"/>
      <c r="R65" s="104"/>
      <c r="S65" s="104"/>
      <c r="T65" s="104"/>
      <c r="U65" s="104"/>
      <c r="V65" s="104"/>
      <c r="W65" s="104"/>
      <c r="X65" s="104"/>
      <c r="Y65" s="104"/>
      <c r="Z65" s="114"/>
      <c r="AA65" s="114"/>
      <c r="AB65" s="114"/>
      <c r="AC65" s="114"/>
    </row>
    <row r="66" customFormat="false" ht="15" hidden="false" customHeight="false" outlineLevel="0" collapsed="false">
      <c r="A66" s="119" t="s">
        <v>253</v>
      </c>
      <c r="B66" s="119"/>
      <c r="C66" s="119"/>
      <c r="D66" s="130" t="n">
        <f aca="false">FALSE()</f>
        <v>0</v>
      </c>
      <c r="E66" s="122" t="s">
        <v>969</v>
      </c>
      <c r="F66" s="123"/>
      <c r="G66" s="119" t="s">
        <v>957</v>
      </c>
      <c r="H66" s="104"/>
      <c r="I66" s="104"/>
      <c r="J66" s="104"/>
      <c r="L66" s="104"/>
      <c r="M66" s="104"/>
      <c r="N66" s="104"/>
      <c r="O66" s="104"/>
      <c r="P66" s="104"/>
      <c r="Q66" s="104"/>
      <c r="R66" s="104"/>
      <c r="S66" s="104"/>
      <c r="T66" s="104"/>
      <c r="U66" s="104"/>
      <c r="V66" s="104"/>
      <c r="W66" s="104"/>
      <c r="X66" s="104"/>
      <c r="Y66" s="104"/>
      <c r="Z66" s="104"/>
      <c r="AA66" s="104"/>
      <c r="AB66" s="104"/>
      <c r="AC66" s="104"/>
    </row>
    <row r="67" customFormat="false" ht="15" hidden="false" customHeight="false" outlineLevel="0" collapsed="false">
      <c r="A67" s="119" t="s">
        <v>742</v>
      </c>
      <c r="B67" s="120" t="str">
        <f aca="false">IFERROR(VLOOKUP(A67,CENTRO!$A$4:$L$548,12,0),"")</f>
        <v>MUITO ATRASADO</v>
      </c>
      <c r="C67" s="121" t="str">
        <f aca="false">IFERROR(VLOOKUP(A67,CENTRO!$A$4:$L$137,11,0),"")</f>
        <v/>
      </c>
      <c r="D67" s="130" t="n">
        <f aca="false">FALSE()</f>
        <v>0</v>
      </c>
      <c r="E67" s="122" t="s">
        <v>970</v>
      </c>
      <c r="F67" s="123"/>
      <c r="G67" s="119" t="s">
        <v>957</v>
      </c>
      <c r="H67" s="104"/>
      <c r="I67" s="104"/>
      <c r="J67" s="104"/>
      <c r="K67" s="104"/>
      <c r="L67" s="104"/>
      <c r="M67" s="104"/>
      <c r="N67" s="104"/>
      <c r="O67" s="104"/>
      <c r="P67" s="104"/>
      <c r="Q67" s="104"/>
      <c r="R67" s="104"/>
      <c r="S67" s="104"/>
      <c r="T67" s="104"/>
      <c r="U67" s="104"/>
      <c r="V67" s="104"/>
      <c r="W67" s="104"/>
      <c r="X67" s="104"/>
      <c r="Y67" s="104"/>
      <c r="Z67" s="104"/>
      <c r="AA67" s="104"/>
      <c r="AB67" s="104"/>
      <c r="AC67" s="104"/>
    </row>
    <row r="68" customFormat="false" ht="15" hidden="false" customHeight="false" outlineLevel="0" collapsed="false">
      <c r="A68" s="119" t="s">
        <v>749</v>
      </c>
      <c r="B68" s="120" t="str">
        <f aca="false">IFERROR(VLOOKUP(A68,CENTRO!$A$4:$L$548,12,0),"")</f>
        <v>MUITO ATRASADO</v>
      </c>
      <c r="C68" s="121" t="str">
        <f aca="false">IFERROR(VLOOKUP(A68,CENTRO!$A$4:$L$137,11,0),"")</f>
        <v/>
      </c>
      <c r="D68" s="130" t="n">
        <f aca="false">FALSE()</f>
        <v>0</v>
      </c>
      <c r="E68" s="122" t="s">
        <v>971</v>
      </c>
      <c r="F68" s="123"/>
      <c r="G68" s="119" t="s">
        <v>957</v>
      </c>
      <c r="H68" s="104"/>
      <c r="I68" s="104"/>
      <c r="J68" s="104"/>
      <c r="K68" s="104"/>
      <c r="L68" s="104"/>
      <c r="M68" s="104"/>
      <c r="N68" s="104"/>
      <c r="O68" s="104"/>
      <c r="P68" s="104"/>
      <c r="Q68" s="104"/>
      <c r="R68" s="104"/>
      <c r="S68" s="104"/>
      <c r="T68" s="104"/>
      <c r="U68" s="104"/>
      <c r="V68" s="104"/>
      <c r="W68" s="104"/>
      <c r="X68" s="104"/>
      <c r="Y68" s="104"/>
      <c r="Z68" s="104"/>
      <c r="AA68" s="104"/>
      <c r="AB68" s="104"/>
      <c r="AC68" s="104"/>
    </row>
    <row r="69" customFormat="false" ht="15" hidden="false" customHeight="false" outlineLevel="0" collapsed="false">
      <c r="A69" s="119" t="s">
        <v>572</v>
      </c>
      <c r="B69" s="120" t="str">
        <f aca="false">IFERROR(VLOOKUP(A69,CENTRO!$A$4:$L$548,12,0),"")</f>
        <v>MUITO ATRASADO</v>
      </c>
      <c r="C69" s="121" t="n">
        <f aca="false">IFERROR(VLOOKUP(A69,CENTRO!$A$4:$L$137,11,0),"")</f>
        <v>188.194994786236</v>
      </c>
      <c r="D69" s="130" t="n">
        <f aca="false">FALSE()</f>
        <v>0</v>
      </c>
      <c r="E69" s="122" t="s">
        <v>918</v>
      </c>
      <c r="F69" s="123"/>
      <c r="G69" s="119" t="s">
        <v>957</v>
      </c>
      <c r="H69" s="104"/>
      <c r="I69" s="104"/>
      <c r="J69" s="104"/>
      <c r="K69" s="104"/>
      <c r="L69" s="104"/>
      <c r="M69" s="104"/>
      <c r="N69" s="104"/>
      <c r="O69" s="104"/>
      <c r="P69" s="104"/>
      <c r="Q69" s="104"/>
      <c r="R69" s="104"/>
      <c r="S69" s="104"/>
      <c r="T69" s="104"/>
      <c r="U69" s="104"/>
      <c r="V69" s="104"/>
      <c r="W69" s="104"/>
      <c r="X69" s="104"/>
      <c r="Y69" s="104"/>
      <c r="Z69" s="114"/>
      <c r="AA69" s="114"/>
      <c r="AB69" s="114"/>
      <c r="AC69" s="114"/>
    </row>
    <row r="70" customFormat="false" ht="15" hidden="false" customHeight="false" outlineLevel="0" collapsed="false">
      <c r="A70" s="119" t="s">
        <v>353</v>
      </c>
      <c r="B70" s="119"/>
      <c r="C70" s="119"/>
      <c r="D70" s="130" t="n">
        <f aca="false">FALSE()</f>
        <v>0</v>
      </c>
      <c r="E70" s="122" t="s">
        <v>970</v>
      </c>
      <c r="F70" s="123"/>
      <c r="G70" s="119" t="s">
        <v>957</v>
      </c>
      <c r="H70" s="104"/>
      <c r="I70" s="104"/>
      <c r="J70" s="104"/>
      <c r="K70" s="104"/>
      <c r="L70" s="104"/>
      <c r="M70" s="104"/>
      <c r="N70" s="104"/>
      <c r="O70" s="104"/>
      <c r="P70" s="104"/>
      <c r="Q70" s="104"/>
      <c r="R70" s="104"/>
      <c r="S70" s="104"/>
      <c r="T70" s="104"/>
      <c r="U70" s="104"/>
      <c r="V70" s="104"/>
      <c r="W70" s="104"/>
      <c r="X70" s="104"/>
      <c r="Y70" s="104"/>
      <c r="Z70" s="104"/>
      <c r="AA70" s="104"/>
      <c r="AB70" s="104"/>
      <c r="AC70" s="104"/>
    </row>
    <row r="71" customFormat="false" ht="15" hidden="false" customHeight="false" outlineLevel="0" collapsed="false">
      <c r="A71" s="119" t="s">
        <v>606</v>
      </c>
      <c r="B71" s="119"/>
      <c r="C71" s="119"/>
      <c r="D71" s="130" t="n">
        <f aca="false">FALSE()</f>
        <v>0</v>
      </c>
      <c r="E71" s="122" t="s">
        <v>970</v>
      </c>
      <c r="F71" s="123"/>
      <c r="G71" s="119" t="s">
        <v>957</v>
      </c>
      <c r="H71" s="104"/>
      <c r="I71" s="104"/>
      <c r="J71" s="104"/>
      <c r="K71" s="104"/>
      <c r="L71" s="104"/>
      <c r="M71" s="104"/>
      <c r="N71" s="104"/>
      <c r="O71" s="104"/>
      <c r="P71" s="104"/>
      <c r="Q71" s="104"/>
      <c r="R71" s="104"/>
      <c r="S71" s="104"/>
      <c r="T71" s="104"/>
      <c r="U71" s="104"/>
      <c r="V71" s="104"/>
      <c r="W71" s="104"/>
      <c r="X71" s="104"/>
      <c r="Y71" s="104"/>
      <c r="Z71" s="114"/>
      <c r="AA71" s="114"/>
      <c r="AB71" s="114"/>
      <c r="AC71" s="114"/>
    </row>
    <row r="72" customFormat="false" ht="15" hidden="false" customHeight="false" outlineLevel="0" collapsed="false">
      <c r="A72" s="119" t="s">
        <v>734</v>
      </c>
      <c r="B72" s="119"/>
      <c r="C72" s="121"/>
      <c r="D72" s="130" t="n">
        <f aca="false">FALSE()</f>
        <v>0</v>
      </c>
      <c r="E72" s="122" t="s">
        <v>970</v>
      </c>
      <c r="F72" s="123"/>
      <c r="G72" s="119" t="s">
        <v>957</v>
      </c>
      <c r="H72" s="104"/>
      <c r="I72" s="104"/>
      <c r="J72" s="104"/>
      <c r="K72" s="104"/>
      <c r="L72" s="104"/>
      <c r="M72" s="104"/>
      <c r="N72" s="104"/>
      <c r="O72" s="104"/>
      <c r="P72" s="104"/>
      <c r="Q72" s="104"/>
      <c r="R72" s="104"/>
      <c r="S72" s="104"/>
      <c r="T72" s="104"/>
      <c r="U72" s="104"/>
      <c r="V72" s="104"/>
      <c r="W72" s="104"/>
      <c r="X72" s="104"/>
      <c r="Y72" s="104"/>
      <c r="Z72" s="114"/>
      <c r="AA72" s="114"/>
      <c r="AB72" s="114"/>
      <c r="AC72" s="114"/>
    </row>
    <row r="73" customFormat="false" ht="15" hidden="false" customHeight="false" outlineLevel="0" collapsed="false">
      <c r="A73" s="104" t="s">
        <v>764</v>
      </c>
      <c r="B73" s="119"/>
      <c r="C73" s="121"/>
      <c r="D73" s="130" t="n">
        <f aca="false">FALSE()</f>
        <v>0</v>
      </c>
      <c r="E73" s="122" t="s">
        <v>970</v>
      </c>
      <c r="F73" s="123"/>
      <c r="G73" s="119" t="s">
        <v>957</v>
      </c>
      <c r="H73" s="104"/>
      <c r="I73" s="104"/>
      <c r="J73" s="104"/>
      <c r="K73" s="104"/>
      <c r="L73" s="104"/>
      <c r="M73" s="104"/>
      <c r="N73" s="104"/>
      <c r="O73" s="104"/>
      <c r="P73" s="104"/>
      <c r="Q73" s="104"/>
      <c r="R73" s="104"/>
      <c r="S73" s="104"/>
      <c r="T73" s="104"/>
      <c r="U73" s="104"/>
      <c r="V73" s="104"/>
      <c r="W73" s="104"/>
      <c r="X73" s="104"/>
      <c r="Y73" s="104"/>
      <c r="Z73" s="104"/>
      <c r="AA73" s="104"/>
      <c r="AB73" s="104"/>
      <c r="AC73" s="104"/>
    </row>
    <row r="74" customFormat="false" ht="15" hidden="false" customHeight="false" outlineLevel="0" collapsed="false">
      <c r="A74" s="119" t="s">
        <v>176</v>
      </c>
      <c r="B74" s="120" t="str">
        <f aca="false">IFERROR(VLOOKUP(A74,CENTRO!$A$4:$L$548,12,0),"")</f>
        <v>MUITO ATRASADO</v>
      </c>
      <c r="C74" s="121" t="str">
        <f aca="false">IFERROR(VLOOKUP(A74,CENTRO!$A$4:$L$137,11,0),"")</f>
        <v/>
      </c>
      <c r="D74" s="130" t="n">
        <f aca="false">FALSE()</f>
        <v>0</v>
      </c>
      <c r="E74" s="122" t="s">
        <v>972</v>
      </c>
      <c r="F74" s="123"/>
      <c r="G74" s="119" t="s">
        <v>957</v>
      </c>
      <c r="H74" s="104"/>
      <c r="I74" s="104"/>
      <c r="J74" s="104"/>
      <c r="K74" s="104"/>
      <c r="L74" s="104"/>
      <c r="M74" s="104"/>
      <c r="N74" s="104"/>
      <c r="O74" s="104"/>
      <c r="P74" s="104"/>
      <c r="Q74" s="104"/>
      <c r="R74" s="104"/>
      <c r="S74" s="104"/>
      <c r="T74" s="104"/>
      <c r="U74" s="104"/>
      <c r="V74" s="104"/>
      <c r="W74" s="104"/>
      <c r="X74" s="104"/>
      <c r="Y74" s="104"/>
      <c r="Z74" s="104"/>
      <c r="AA74" s="104"/>
      <c r="AB74" s="104"/>
      <c r="AC74" s="104"/>
    </row>
    <row r="75" customFormat="false" ht="15" hidden="false" customHeight="false" outlineLevel="0" collapsed="false">
      <c r="A75" s="136" t="s">
        <v>973</v>
      </c>
      <c r="B75" s="136"/>
      <c r="C75" s="137"/>
      <c r="D75" s="130" t="n">
        <f aca="false">FALSE()</f>
        <v>0</v>
      </c>
      <c r="E75" s="122" t="s">
        <v>974</v>
      </c>
      <c r="F75" s="138"/>
      <c r="G75" s="119" t="s">
        <v>957</v>
      </c>
      <c r="H75" s="104"/>
      <c r="I75" s="104"/>
      <c r="J75" s="104"/>
      <c r="K75" s="104"/>
      <c r="L75" s="104"/>
      <c r="M75" s="104"/>
      <c r="N75" s="104"/>
      <c r="O75" s="104"/>
      <c r="P75" s="104"/>
      <c r="Q75" s="104"/>
      <c r="R75" s="104"/>
      <c r="S75" s="104"/>
      <c r="T75" s="104"/>
      <c r="U75" s="104"/>
      <c r="V75" s="104"/>
      <c r="W75" s="104"/>
      <c r="X75" s="104"/>
      <c r="Y75" s="104"/>
      <c r="Z75" s="114"/>
      <c r="AA75" s="114"/>
      <c r="AB75" s="114"/>
      <c r="AC75" s="114"/>
    </row>
    <row r="76" customFormat="false" ht="15" hidden="false" customHeight="false" outlineLevel="0" collapsed="false">
      <c r="A76" s="119" t="s">
        <v>565</v>
      </c>
      <c r="B76" s="120" t="str">
        <f aca="false">IFERROR(VLOOKUP(A76,CENTRO!$A$4:$L$548,12,0),"")</f>
        <v>MUITO ATRASADO</v>
      </c>
      <c r="C76" s="121" t="n">
        <f aca="false">IFERROR(VLOOKUP(A76,CENTRO!$A$4:$L$548,11,0),"")</f>
        <v>110.857819905213</v>
      </c>
      <c r="D76" s="130" t="n">
        <f aca="false">FALSE()</f>
        <v>0</v>
      </c>
      <c r="E76" s="122" t="s">
        <v>970</v>
      </c>
      <c r="F76" s="123"/>
      <c r="G76" s="119" t="s">
        <v>957</v>
      </c>
      <c r="H76" s="104"/>
      <c r="I76" s="104"/>
      <c r="J76" s="104"/>
      <c r="K76" s="104"/>
      <c r="L76" s="104"/>
      <c r="M76" s="104"/>
      <c r="N76" s="104"/>
      <c r="O76" s="104"/>
      <c r="P76" s="104"/>
      <c r="Q76" s="104"/>
      <c r="R76" s="104"/>
      <c r="S76" s="104"/>
      <c r="T76" s="104"/>
      <c r="U76" s="104"/>
      <c r="V76" s="104"/>
      <c r="W76" s="104"/>
      <c r="X76" s="104"/>
      <c r="Y76" s="104"/>
      <c r="Z76" s="104"/>
      <c r="AA76" s="104"/>
      <c r="AB76" s="104"/>
      <c r="AC76" s="104"/>
    </row>
    <row r="77" customFormat="false" ht="15" hidden="false" customHeight="false" outlineLevel="0" collapsed="false">
      <c r="A77" s="119" t="s">
        <v>47</v>
      </c>
      <c r="B77" s="120" t="str">
        <f aca="false">IFERROR(VLOOKUP(A77,CENTRO!$A$4:$L$548,12,0),"")</f>
        <v>MUITO ATRASADO</v>
      </c>
      <c r="C77" s="121" t="n">
        <f aca="false">IFERROR(VLOOKUP(A77,CENTRO!$A$4:$L$548,11,0),"")</f>
        <v>130.56543837357</v>
      </c>
      <c r="D77" s="130" t="n">
        <f aca="false">FALSE()</f>
        <v>0</v>
      </c>
      <c r="E77" s="122" t="s">
        <v>975</v>
      </c>
      <c r="F77" s="123"/>
      <c r="G77" s="119" t="s">
        <v>957</v>
      </c>
      <c r="H77" s="104"/>
      <c r="I77" s="104"/>
      <c r="J77" s="104"/>
      <c r="K77" s="104"/>
      <c r="L77" s="104"/>
      <c r="M77" s="104"/>
      <c r="N77" s="104"/>
      <c r="O77" s="104"/>
      <c r="P77" s="104"/>
      <c r="Q77" s="104"/>
      <c r="R77" s="104"/>
      <c r="S77" s="104"/>
      <c r="T77" s="104"/>
      <c r="U77" s="104"/>
      <c r="V77" s="104"/>
      <c r="W77" s="104"/>
      <c r="X77" s="104"/>
      <c r="Y77" s="104"/>
      <c r="Z77" s="116"/>
      <c r="AA77" s="116"/>
      <c r="AB77" s="116"/>
      <c r="AC77" s="116"/>
    </row>
    <row r="78" customFormat="false" ht="15" hidden="false" customHeight="false" outlineLevel="0" collapsed="false">
      <c r="A78" s="119" t="s">
        <v>603</v>
      </c>
      <c r="B78" s="120" t="str">
        <f aca="false">IFERROR(VLOOKUP(A78,CENTRO!$A$4:$L$548,12,0),"")</f>
        <v>MUITO ATRASADO</v>
      </c>
      <c r="C78" s="121" t="n">
        <f aca="false">IFERROR(VLOOKUP(A78,CENTRO!$A$4:$L$548,11,0),"")</f>
        <v>123.8125</v>
      </c>
      <c r="D78" s="130" t="n">
        <f aca="false">FALSE()</f>
        <v>0</v>
      </c>
      <c r="E78" s="122" t="s">
        <v>970</v>
      </c>
      <c r="F78" s="123"/>
      <c r="G78" s="119" t="s">
        <v>957</v>
      </c>
      <c r="H78" s="104"/>
      <c r="I78" s="104"/>
      <c r="J78" s="104"/>
      <c r="K78" s="104"/>
      <c r="L78" s="104"/>
      <c r="M78" s="104"/>
      <c r="N78" s="104"/>
      <c r="O78" s="104"/>
      <c r="P78" s="104"/>
      <c r="Q78" s="104"/>
      <c r="R78" s="104"/>
      <c r="S78" s="104"/>
      <c r="T78" s="104"/>
      <c r="U78" s="104"/>
      <c r="V78" s="104"/>
      <c r="W78" s="104"/>
      <c r="X78" s="104"/>
      <c r="Y78" s="104"/>
      <c r="Z78" s="114"/>
      <c r="AA78" s="114"/>
      <c r="AB78" s="114"/>
      <c r="AC78" s="114"/>
    </row>
    <row r="79" customFormat="false" ht="18" hidden="false" customHeight="true" outlineLevel="0" collapsed="false">
      <c r="A79" s="139" t="s">
        <v>763</v>
      </c>
      <c r="B79" s="120" t="str">
        <f aca="false">IFERROR(VLOOKUP(A79,CENTRO!$A$4:$L$548,12,0),"")</f>
        <v>MUITO ATRASADO</v>
      </c>
      <c r="C79" s="121" t="n">
        <f aca="false">IFERROR(VLOOKUP(A79,CENTRO!$A$4:$L$548,11,0),"")</f>
        <v>107.43842364532</v>
      </c>
      <c r="D79" s="130" t="n">
        <f aca="false">FALSE()</f>
        <v>0</v>
      </c>
      <c r="E79" s="122" t="s">
        <v>918</v>
      </c>
      <c r="F79" s="123"/>
      <c r="G79" s="119" t="s">
        <v>957</v>
      </c>
      <c r="H79" s="104"/>
      <c r="I79" s="104"/>
      <c r="J79" s="104"/>
      <c r="K79" s="104"/>
      <c r="L79" s="104"/>
      <c r="M79" s="104"/>
      <c r="N79" s="104"/>
      <c r="O79" s="104"/>
      <c r="P79" s="104"/>
      <c r="Q79" s="104"/>
      <c r="R79" s="104"/>
      <c r="S79" s="104"/>
      <c r="T79" s="104"/>
      <c r="U79" s="104"/>
      <c r="V79" s="104"/>
      <c r="W79" s="104"/>
      <c r="X79" s="104"/>
      <c r="Y79" s="104"/>
      <c r="Z79" s="114"/>
      <c r="AA79" s="114"/>
      <c r="AB79" s="114"/>
      <c r="AC79" s="114"/>
    </row>
    <row r="80" customFormat="false" ht="15" hidden="false" customHeight="false" outlineLevel="0" collapsed="false">
      <c r="A80" s="119" t="s">
        <v>569</v>
      </c>
      <c r="B80" s="120" t="str">
        <f aca="false">IFERROR(VLOOKUP(A80,CENTRO!$A$4:$L$548,12,0),"")</f>
        <v>MUITO ATRASADO</v>
      </c>
      <c r="C80" s="121" t="n">
        <f aca="false">IFERROR(VLOOKUP(A80,CENTRO!$A$4:$L$548,11,0),"")</f>
        <v>87.8947368421055</v>
      </c>
      <c r="D80" s="130" t="n">
        <f aca="false">FALSE()</f>
        <v>0</v>
      </c>
      <c r="E80" s="122" t="s">
        <v>976</v>
      </c>
      <c r="F80" s="123"/>
      <c r="G80" s="119" t="s">
        <v>957</v>
      </c>
      <c r="H80" s="104"/>
      <c r="I80" s="104"/>
      <c r="J80" s="104"/>
      <c r="K80" s="104"/>
      <c r="L80" s="104"/>
      <c r="M80" s="104"/>
      <c r="N80" s="104"/>
      <c r="O80" s="104"/>
      <c r="P80" s="104"/>
      <c r="Q80" s="104"/>
      <c r="R80" s="104"/>
      <c r="S80" s="104"/>
      <c r="T80" s="104"/>
      <c r="U80" s="104"/>
      <c r="V80" s="104"/>
      <c r="W80" s="104"/>
      <c r="X80" s="104"/>
      <c r="Y80" s="104"/>
      <c r="Z80" s="116"/>
      <c r="AA80" s="116"/>
      <c r="AB80" s="116"/>
      <c r="AC80" s="116"/>
    </row>
    <row r="81" customFormat="false" ht="15" hidden="false" customHeight="false" outlineLevel="0" collapsed="false">
      <c r="A81" s="119" t="s">
        <v>726</v>
      </c>
      <c r="B81" s="119"/>
      <c r="C81" s="119"/>
      <c r="D81" s="130" t="n">
        <f aca="false">FALSE()</f>
        <v>0</v>
      </c>
      <c r="E81" s="122" t="s">
        <v>922</v>
      </c>
      <c r="F81" s="123"/>
      <c r="G81" s="119" t="s">
        <v>957</v>
      </c>
      <c r="H81" s="104"/>
      <c r="I81" s="104"/>
      <c r="J81" s="104"/>
      <c r="K81" s="104"/>
      <c r="L81" s="104"/>
      <c r="M81" s="104"/>
      <c r="N81" s="104"/>
      <c r="O81" s="104"/>
      <c r="P81" s="104"/>
      <c r="Q81" s="104"/>
      <c r="R81" s="104"/>
      <c r="S81" s="104"/>
      <c r="T81" s="104"/>
      <c r="U81" s="104"/>
      <c r="V81" s="104"/>
      <c r="W81" s="104"/>
      <c r="X81" s="104"/>
      <c r="Y81" s="104"/>
      <c r="Z81" s="116"/>
      <c r="AA81" s="116"/>
      <c r="AB81" s="116"/>
      <c r="AC81" s="116"/>
    </row>
    <row r="82" customFormat="false" ht="15.75" hidden="false" customHeight="true" outlineLevel="0" collapsed="false">
      <c r="A82" s="119" t="s">
        <v>737</v>
      </c>
      <c r="B82" s="119"/>
      <c r="C82" s="119"/>
      <c r="D82" s="130" t="n">
        <f aca="false">FALSE()</f>
        <v>0</v>
      </c>
      <c r="E82" s="140" t="s">
        <v>922</v>
      </c>
      <c r="F82" s="123"/>
      <c r="G82" s="119" t="s">
        <v>957</v>
      </c>
      <c r="H82" s="104"/>
      <c r="I82" s="104"/>
      <c r="J82" s="104"/>
      <c r="K82" s="104"/>
      <c r="L82" s="104"/>
      <c r="M82" s="104"/>
      <c r="N82" s="104"/>
      <c r="O82" s="104"/>
      <c r="P82" s="104"/>
      <c r="Q82" s="104"/>
      <c r="R82" s="104"/>
      <c r="S82" s="104"/>
      <c r="T82" s="104"/>
      <c r="U82" s="104"/>
      <c r="V82" s="104"/>
      <c r="W82" s="104"/>
      <c r="X82" s="104"/>
      <c r="Y82" s="104"/>
      <c r="Z82" s="114"/>
      <c r="AA82" s="114"/>
      <c r="AB82" s="114"/>
      <c r="AC82" s="114"/>
    </row>
    <row r="83" customFormat="false" ht="15" hidden="false" customHeight="false" outlineLevel="0" collapsed="false">
      <c r="A83" s="119" t="s">
        <v>757</v>
      </c>
      <c r="B83" s="119"/>
      <c r="C83" s="119"/>
      <c r="D83" s="130" t="n">
        <f aca="false">FALSE()</f>
        <v>0</v>
      </c>
      <c r="E83" s="122" t="s">
        <v>970</v>
      </c>
      <c r="F83" s="123"/>
      <c r="G83" s="119" t="s">
        <v>957</v>
      </c>
      <c r="H83" s="104"/>
      <c r="I83" s="104"/>
      <c r="J83" s="104"/>
      <c r="K83" s="104"/>
      <c r="L83" s="104"/>
      <c r="M83" s="104"/>
      <c r="N83" s="104"/>
      <c r="O83" s="104"/>
      <c r="P83" s="104"/>
      <c r="Q83" s="104"/>
      <c r="R83" s="104"/>
      <c r="S83" s="104"/>
      <c r="T83" s="104"/>
      <c r="U83" s="104"/>
      <c r="V83" s="104"/>
      <c r="W83" s="104"/>
      <c r="X83" s="104"/>
      <c r="Y83" s="104"/>
      <c r="Z83" s="104"/>
      <c r="AA83" s="104"/>
      <c r="AB83" s="104"/>
      <c r="AC83" s="104"/>
    </row>
    <row r="84" customFormat="false" ht="15" hidden="false" customHeight="false" outlineLevel="0" collapsed="false">
      <c r="A84" s="119" t="s">
        <v>694</v>
      </c>
      <c r="B84" s="119"/>
      <c r="C84" s="119"/>
      <c r="D84" s="130" t="n">
        <f aca="false">FALSE()</f>
        <v>0</v>
      </c>
      <c r="E84" s="122" t="s">
        <v>922</v>
      </c>
      <c r="F84" s="123"/>
      <c r="G84" s="119" t="s">
        <v>957</v>
      </c>
      <c r="H84" s="104"/>
      <c r="I84" s="104"/>
      <c r="J84" s="104"/>
      <c r="K84" s="104"/>
      <c r="L84" s="104"/>
      <c r="M84" s="104"/>
      <c r="N84" s="104"/>
      <c r="O84" s="104"/>
      <c r="P84" s="104"/>
      <c r="Q84" s="104"/>
      <c r="R84" s="104"/>
      <c r="S84" s="104"/>
      <c r="T84" s="104"/>
      <c r="U84" s="104"/>
      <c r="V84" s="104"/>
      <c r="W84" s="104"/>
      <c r="X84" s="104"/>
      <c r="Y84" s="104"/>
      <c r="Z84" s="114"/>
      <c r="AA84" s="114"/>
      <c r="AB84" s="114"/>
      <c r="AC84" s="114"/>
    </row>
    <row r="85" customFormat="false" ht="15" hidden="false" customHeight="false" outlineLevel="0" collapsed="false">
      <c r="A85" s="119" t="s">
        <v>484</v>
      </c>
      <c r="B85" s="119"/>
      <c r="C85" s="119"/>
      <c r="D85" s="130" t="n">
        <f aca="false">FALSE()</f>
        <v>0</v>
      </c>
      <c r="E85" s="122" t="s">
        <v>922</v>
      </c>
      <c r="F85" s="123"/>
      <c r="G85" s="119" t="s">
        <v>957</v>
      </c>
      <c r="H85" s="104"/>
      <c r="I85" s="104"/>
      <c r="J85" s="104"/>
      <c r="K85" s="104"/>
      <c r="L85" s="104"/>
      <c r="M85" s="104"/>
      <c r="N85" s="104"/>
      <c r="O85" s="104"/>
      <c r="P85" s="104"/>
      <c r="Q85" s="104"/>
      <c r="R85" s="104"/>
      <c r="S85" s="104"/>
      <c r="T85" s="104"/>
      <c r="U85" s="104"/>
      <c r="V85" s="104"/>
      <c r="W85" s="104"/>
      <c r="X85" s="104"/>
      <c r="Y85" s="104"/>
      <c r="Z85" s="104"/>
      <c r="AA85" s="104"/>
      <c r="AB85" s="104"/>
      <c r="AC85" s="104"/>
    </row>
    <row r="86" customFormat="false" ht="15" hidden="false" customHeight="false" outlineLevel="0" collapsed="false">
      <c r="A86" s="119" t="s">
        <v>673</v>
      </c>
      <c r="B86" s="119"/>
      <c r="C86" s="119"/>
      <c r="D86" s="130" t="n">
        <f aca="false">FALSE()</f>
        <v>0</v>
      </c>
      <c r="E86" s="122" t="s">
        <v>930</v>
      </c>
      <c r="F86" s="123"/>
      <c r="G86" s="119" t="s">
        <v>957</v>
      </c>
      <c r="H86" s="104"/>
      <c r="I86" s="104"/>
      <c r="J86" s="104"/>
      <c r="K86" s="104"/>
      <c r="L86" s="104"/>
      <c r="M86" s="104"/>
      <c r="N86" s="104"/>
      <c r="O86" s="104"/>
      <c r="P86" s="104"/>
      <c r="Q86" s="104"/>
      <c r="R86" s="104"/>
      <c r="S86" s="104"/>
      <c r="T86" s="104"/>
      <c r="U86" s="104"/>
      <c r="V86" s="104"/>
      <c r="W86" s="104"/>
      <c r="X86" s="104"/>
      <c r="Y86" s="104"/>
      <c r="Z86" s="116"/>
      <c r="AA86" s="116"/>
      <c r="AB86" s="116"/>
      <c r="AC86" s="116"/>
    </row>
    <row r="87" customFormat="false" ht="15" hidden="false" customHeight="false" outlineLevel="0" collapsed="false">
      <c r="A87" s="119" t="s">
        <v>588</v>
      </c>
      <c r="B87" s="119"/>
      <c r="C87" s="119"/>
      <c r="D87" s="130" t="n">
        <f aca="false">FALSE()</f>
        <v>0</v>
      </c>
      <c r="E87" s="122" t="s">
        <v>930</v>
      </c>
      <c r="F87" s="123"/>
      <c r="G87" s="119" t="s">
        <v>957</v>
      </c>
      <c r="H87" s="104"/>
      <c r="I87" s="104"/>
      <c r="J87" s="104"/>
      <c r="K87" s="104"/>
      <c r="L87" s="104"/>
      <c r="M87" s="104"/>
      <c r="N87" s="104"/>
      <c r="O87" s="104"/>
      <c r="P87" s="104"/>
      <c r="Q87" s="104"/>
      <c r="R87" s="104"/>
      <c r="S87" s="104"/>
      <c r="T87" s="104"/>
      <c r="U87" s="104"/>
      <c r="V87" s="104"/>
      <c r="W87" s="104"/>
      <c r="X87" s="104"/>
      <c r="Y87" s="104"/>
      <c r="Z87" s="116"/>
      <c r="AA87" s="116"/>
      <c r="AB87" s="116"/>
      <c r="AC87" s="116"/>
    </row>
    <row r="88" customFormat="false" ht="15" hidden="false" customHeight="false" outlineLevel="0" collapsed="false">
      <c r="A88" s="119" t="s">
        <v>977</v>
      </c>
      <c r="B88" s="119"/>
      <c r="C88" s="119"/>
      <c r="D88" s="130" t="n">
        <f aca="false">FALSE()</f>
        <v>0</v>
      </c>
      <c r="E88" s="122" t="s">
        <v>922</v>
      </c>
      <c r="F88" s="123"/>
      <c r="G88" s="119" t="s">
        <v>957</v>
      </c>
      <c r="H88" s="104"/>
      <c r="I88" s="104"/>
      <c r="J88" s="104"/>
      <c r="K88" s="104"/>
      <c r="L88" s="104"/>
      <c r="M88" s="104"/>
      <c r="N88" s="104"/>
      <c r="O88" s="104"/>
      <c r="P88" s="104"/>
      <c r="Q88" s="104"/>
      <c r="R88" s="104"/>
      <c r="S88" s="104"/>
      <c r="T88" s="104"/>
      <c r="U88" s="104"/>
      <c r="V88" s="104"/>
      <c r="W88" s="104"/>
      <c r="X88" s="104"/>
      <c r="Y88" s="104"/>
      <c r="Z88" s="116"/>
      <c r="AA88" s="116"/>
      <c r="AB88" s="116"/>
      <c r="AC88" s="116"/>
    </row>
    <row r="89" customFormat="false" ht="15" hidden="false" customHeight="false" outlineLevel="0" collapsed="false">
      <c r="A89" s="119" t="s">
        <v>196</v>
      </c>
      <c r="B89" s="119"/>
      <c r="C89" s="119"/>
      <c r="D89" s="130" t="n">
        <f aca="false">FALSE()</f>
        <v>0</v>
      </c>
      <c r="E89" s="122" t="s">
        <v>922</v>
      </c>
      <c r="F89" s="123"/>
      <c r="G89" s="119" t="s">
        <v>957</v>
      </c>
      <c r="H89" s="104"/>
      <c r="I89" s="104"/>
      <c r="J89" s="104"/>
      <c r="K89" s="104"/>
      <c r="L89" s="104"/>
      <c r="M89" s="104"/>
      <c r="N89" s="104"/>
      <c r="O89" s="104"/>
      <c r="P89" s="104"/>
      <c r="Q89" s="104"/>
      <c r="R89" s="104"/>
      <c r="S89" s="104"/>
      <c r="T89" s="104"/>
      <c r="U89" s="104"/>
      <c r="V89" s="104"/>
      <c r="W89" s="104"/>
      <c r="X89" s="104"/>
      <c r="Y89" s="104"/>
      <c r="Z89" s="104"/>
      <c r="AA89" s="104"/>
      <c r="AB89" s="104"/>
      <c r="AC89" s="104"/>
    </row>
    <row r="90" customFormat="false" ht="15" hidden="false" customHeight="false" outlineLevel="0" collapsed="false">
      <c r="A90" s="119" t="s">
        <v>343</v>
      </c>
      <c r="B90" s="120" t="str">
        <f aca="false">IFERROR(VLOOKUP(A90,CENTRO!$A$4:$L$548,12,0),"")</f>
        <v>MUITO ATRASADO</v>
      </c>
      <c r="C90" s="121" t="n">
        <f aca="false">IFERROR(VLOOKUP(A90,CENTRO!$A$4:$L$548,11,0),"")</f>
        <v>104.10828488372</v>
      </c>
      <c r="D90" s="130" t="n">
        <f aca="false">FALSE()</f>
        <v>0</v>
      </c>
      <c r="E90" s="122" t="s">
        <v>978</v>
      </c>
      <c r="F90" s="123"/>
      <c r="G90" s="119" t="s">
        <v>957</v>
      </c>
      <c r="H90" s="104"/>
      <c r="I90" s="104"/>
      <c r="J90" s="104"/>
      <c r="K90" s="104"/>
      <c r="L90" s="104"/>
      <c r="M90" s="104"/>
      <c r="N90" s="104"/>
      <c r="O90" s="104"/>
      <c r="P90" s="104"/>
      <c r="Q90" s="104"/>
      <c r="R90" s="104"/>
      <c r="S90" s="104"/>
      <c r="T90" s="104"/>
      <c r="U90" s="104"/>
      <c r="V90" s="104"/>
      <c r="W90" s="104"/>
      <c r="X90" s="104"/>
      <c r="Y90" s="104"/>
      <c r="Z90" s="104"/>
      <c r="AA90" s="104"/>
      <c r="AB90" s="104"/>
      <c r="AC90" s="104"/>
    </row>
    <row r="91" customFormat="false" ht="15" hidden="false" customHeight="false" outlineLevel="0" collapsed="false">
      <c r="A91" s="119" t="s">
        <v>607</v>
      </c>
      <c r="B91" s="119"/>
      <c r="C91" s="119"/>
      <c r="D91" s="130" t="n">
        <f aca="false">FALSE()</f>
        <v>0</v>
      </c>
      <c r="E91" s="122" t="s">
        <v>922</v>
      </c>
      <c r="F91" s="123"/>
      <c r="G91" s="119" t="s">
        <v>957</v>
      </c>
      <c r="H91" s="104"/>
      <c r="I91" s="104"/>
      <c r="J91" s="104"/>
      <c r="K91" s="104"/>
      <c r="L91" s="104"/>
      <c r="M91" s="104"/>
      <c r="N91" s="104"/>
      <c r="O91" s="104"/>
      <c r="P91" s="104"/>
      <c r="Q91" s="104"/>
      <c r="R91" s="104"/>
      <c r="S91" s="104"/>
      <c r="T91" s="104"/>
      <c r="U91" s="104"/>
      <c r="V91" s="104"/>
      <c r="W91" s="104"/>
      <c r="X91" s="104"/>
      <c r="Y91" s="104"/>
      <c r="Z91" s="116"/>
      <c r="AA91" s="116"/>
      <c r="AB91" s="116"/>
      <c r="AC91" s="116"/>
    </row>
    <row r="92" customFormat="false" ht="15" hidden="false" customHeight="false" outlineLevel="0" collapsed="false">
      <c r="A92" s="119" t="s">
        <v>603</v>
      </c>
      <c r="B92" s="119"/>
      <c r="C92" s="119"/>
      <c r="D92" s="130" t="n">
        <f aca="false">FALSE()</f>
        <v>0</v>
      </c>
      <c r="E92" s="122" t="s">
        <v>970</v>
      </c>
      <c r="F92" s="123"/>
      <c r="G92" s="119" t="s">
        <v>957</v>
      </c>
      <c r="H92" s="104"/>
      <c r="I92" s="104"/>
      <c r="J92" s="104"/>
      <c r="K92" s="104"/>
      <c r="L92" s="104"/>
      <c r="M92" s="104"/>
      <c r="N92" s="104"/>
      <c r="O92" s="104"/>
      <c r="P92" s="104"/>
      <c r="Q92" s="104"/>
      <c r="R92" s="104"/>
      <c r="S92" s="104"/>
      <c r="T92" s="104"/>
      <c r="U92" s="104"/>
      <c r="V92" s="104"/>
      <c r="W92" s="104"/>
      <c r="X92" s="104"/>
      <c r="Y92" s="104"/>
      <c r="Z92" s="114"/>
      <c r="AA92" s="114"/>
      <c r="AB92" s="114"/>
      <c r="AC92" s="114"/>
    </row>
    <row r="93" customFormat="false" ht="15" hidden="false" customHeight="false" outlineLevel="0" collapsed="false">
      <c r="A93" s="119" t="s">
        <v>339</v>
      </c>
      <c r="B93" s="119"/>
      <c r="C93" s="119"/>
      <c r="D93" s="130" t="n">
        <f aca="false">FALSE()</f>
        <v>0</v>
      </c>
      <c r="E93" s="122" t="s">
        <v>922</v>
      </c>
      <c r="F93" s="123"/>
      <c r="G93" s="119" t="s">
        <v>957</v>
      </c>
      <c r="H93" s="104"/>
      <c r="I93" s="104"/>
      <c r="J93" s="104"/>
      <c r="K93" s="104"/>
      <c r="L93" s="104"/>
      <c r="M93" s="104"/>
      <c r="N93" s="104"/>
      <c r="O93" s="104"/>
      <c r="P93" s="104"/>
      <c r="Q93" s="104"/>
      <c r="R93" s="104"/>
      <c r="S93" s="104"/>
      <c r="T93" s="104"/>
      <c r="U93" s="104"/>
      <c r="V93" s="104"/>
      <c r="W93" s="104"/>
      <c r="X93" s="104"/>
      <c r="Y93" s="104"/>
      <c r="Z93" s="104"/>
      <c r="AA93" s="104"/>
      <c r="AB93" s="104"/>
      <c r="AC93" s="104"/>
    </row>
    <row r="94" customFormat="false" ht="15" hidden="false" customHeight="false" outlineLevel="0" collapsed="false">
      <c r="A94" s="119" t="s">
        <v>716</v>
      </c>
      <c r="B94" s="119"/>
      <c r="C94" s="119"/>
      <c r="D94" s="130" t="n">
        <f aca="false">FALSE()</f>
        <v>0</v>
      </c>
      <c r="E94" s="122" t="s">
        <v>922</v>
      </c>
      <c r="F94" s="123"/>
      <c r="G94" s="119" t="s">
        <v>957</v>
      </c>
      <c r="H94" s="104"/>
      <c r="I94" s="104"/>
      <c r="J94" s="104"/>
      <c r="K94" s="104"/>
      <c r="L94" s="104"/>
      <c r="M94" s="104"/>
      <c r="N94" s="104"/>
      <c r="O94" s="104"/>
      <c r="P94" s="104"/>
      <c r="Q94" s="104"/>
      <c r="R94" s="104"/>
      <c r="S94" s="104"/>
      <c r="T94" s="104"/>
      <c r="U94" s="104"/>
      <c r="V94" s="104"/>
      <c r="W94" s="104"/>
      <c r="X94" s="104"/>
      <c r="Y94" s="104"/>
      <c r="Z94" s="104"/>
      <c r="AA94" s="104"/>
      <c r="AB94" s="104"/>
      <c r="AC94" s="104"/>
    </row>
    <row r="95" customFormat="false" ht="15" hidden="false" customHeight="false" outlineLevel="0" collapsed="false">
      <c r="A95" s="119" t="s">
        <v>760</v>
      </c>
      <c r="B95" s="119"/>
      <c r="C95" s="119"/>
      <c r="D95" s="130" t="n">
        <f aca="false">FALSE()</f>
        <v>0</v>
      </c>
      <c r="E95" s="122" t="s">
        <v>970</v>
      </c>
      <c r="F95" s="123"/>
      <c r="G95" s="119" t="s">
        <v>957</v>
      </c>
      <c r="H95" s="104"/>
      <c r="I95" s="104"/>
      <c r="J95" s="104"/>
      <c r="K95" s="104"/>
      <c r="L95" s="104"/>
      <c r="M95" s="104"/>
      <c r="N95" s="104"/>
      <c r="O95" s="104"/>
      <c r="P95" s="104"/>
      <c r="Q95" s="104"/>
      <c r="R95" s="104"/>
      <c r="S95" s="104"/>
      <c r="T95" s="104"/>
      <c r="U95" s="104"/>
      <c r="V95" s="104"/>
      <c r="W95" s="104"/>
      <c r="X95" s="104"/>
      <c r="Y95" s="104"/>
      <c r="Z95" s="114"/>
      <c r="AA95" s="114"/>
      <c r="AB95" s="114"/>
      <c r="AC95" s="114"/>
    </row>
    <row r="96" customFormat="false" ht="15" hidden="false" customHeight="false" outlineLevel="0" collapsed="false">
      <c r="A96" s="119" t="s">
        <v>184</v>
      </c>
      <c r="B96" s="120" t="str">
        <f aca="false">IFERROR(VLOOKUP(A96,CENTRO!$A$4:$L$548,12,0),"")</f>
        <v>MUITO ATRASADO</v>
      </c>
      <c r="C96" s="121" t="n">
        <f aca="false">IFERROR(VLOOKUP(A96,CENTRO!$A$4:$L$137,11,0),"")</f>
        <v>178.598580441641</v>
      </c>
      <c r="D96" s="130" t="n">
        <f aca="false">FALSE()</f>
        <v>0</v>
      </c>
      <c r="E96" s="122" t="s">
        <v>918</v>
      </c>
      <c r="F96" s="123"/>
      <c r="G96" s="119" t="s">
        <v>957</v>
      </c>
      <c r="H96" s="104"/>
      <c r="I96" s="104"/>
      <c r="J96" s="104"/>
      <c r="K96" s="104"/>
      <c r="L96" s="104"/>
      <c r="M96" s="104"/>
      <c r="N96" s="104"/>
      <c r="O96" s="104"/>
      <c r="P96" s="104"/>
      <c r="Q96" s="104"/>
      <c r="R96" s="104"/>
      <c r="S96" s="104"/>
      <c r="T96" s="104"/>
      <c r="U96" s="104"/>
      <c r="V96" s="104"/>
      <c r="W96" s="104"/>
      <c r="X96" s="104"/>
      <c r="Y96" s="104"/>
      <c r="Z96" s="116"/>
      <c r="AA96" s="116"/>
      <c r="AB96" s="116"/>
      <c r="AC96" s="116"/>
    </row>
    <row r="97" customFormat="false" ht="15" hidden="false" customHeight="false" outlineLevel="0" collapsed="false">
      <c r="A97" s="119" t="s">
        <v>564</v>
      </c>
      <c r="B97" s="120" t="str">
        <f aca="false">IFERROR(VLOOKUP(A97,CENTRO!$A$4:$L$548,12,0),"")</f>
        <v>MUITO ATRASADO</v>
      </c>
      <c r="C97" s="121" t="n">
        <f aca="false">IFERROR(VLOOKUP(A97,CENTRO!$A$4:$L$137,11,0),"")</f>
        <v>220.664649956785</v>
      </c>
      <c r="D97" s="130" t="n">
        <f aca="false">FALSE()</f>
        <v>0</v>
      </c>
      <c r="E97" s="122" t="s">
        <v>971</v>
      </c>
      <c r="F97" s="123"/>
      <c r="G97" s="119" t="s">
        <v>957</v>
      </c>
      <c r="H97" s="104"/>
      <c r="I97" s="104"/>
      <c r="J97" s="104"/>
      <c r="K97" s="104"/>
      <c r="L97" s="104"/>
      <c r="M97" s="104"/>
      <c r="N97" s="104"/>
      <c r="O97" s="104"/>
      <c r="P97" s="104"/>
      <c r="Q97" s="104"/>
      <c r="R97" s="104"/>
      <c r="S97" s="104"/>
      <c r="T97" s="104"/>
      <c r="U97" s="104"/>
      <c r="V97" s="104"/>
      <c r="W97" s="104"/>
      <c r="X97" s="104"/>
      <c r="Y97" s="104"/>
      <c r="Z97" s="114"/>
      <c r="AA97" s="114"/>
      <c r="AB97" s="114"/>
      <c r="AC97" s="114"/>
    </row>
    <row r="98" customFormat="false" ht="15" hidden="false" customHeight="false" outlineLevel="0" collapsed="false">
      <c r="A98" s="119" t="s">
        <v>198</v>
      </c>
      <c r="B98" s="119"/>
      <c r="C98" s="119"/>
      <c r="D98" s="130" t="n">
        <f aca="false">FALSE()</f>
        <v>0</v>
      </c>
      <c r="E98" s="122" t="s">
        <v>930</v>
      </c>
      <c r="F98" s="123"/>
      <c r="G98" s="119" t="s">
        <v>957</v>
      </c>
      <c r="H98" s="104"/>
      <c r="I98" s="104"/>
      <c r="J98" s="104"/>
      <c r="K98" s="104"/>
      <c r="L98" s="104"/>
      <c r="M98" s="104"/>
      <c r="N98" s="104"/>
      <c r="O98" s="104"/>
      <c r="P98" s="104"/>
      <c r="Q98" s="104"/>
      <c r="R98" s="104"/>
      <c r="S98" s="104"/>
      <c r="T98" s="104"/>
      <c r="U98" s="104"/>
      <c r="V98" s="104"/>
      <c r="W98" s="104"/>
      <c r="X98" s="104"/>
      <c r="Y98" s="104"/>
      <c r="Z98" s="114"/>
      <c r="AA98" s="114"/>
      <c r="AB98" s="114"/>
      <c r="AC98" s="114"/>
    </row>
    <row r="99" customFormat="false" ht="15" hidden="false" customHeight="false" outlineLevel="0" collapsed="false">
      <c r="A99" s="119" t="s">
        <v>580</v>
      </c>
      <c r="B99" s="119"/>
      <c r="C99" s="119"/>
      <c r="D99" s="130" t="n">
        <f aca="false">FALSE()</f>
        <v>0</v>
      </c>
      <c r="E99" s="122" t="s">
        <v>922</v>
      </c>
      <c r="F99" s="123"/>
      <c r="G99" s="119" t="s">
        <v>957</v>
      </c>
      <c r="H99" s="104"/>
      <c r="I99" s="104"/>
      <c r="J99" s="104"/>
      <c r="K99" s="104"/>
      <c r="L99" s="104"/>
      <c r="M99" s="104"/>
      <c r="N99" s="104"/>
      <c r="O99" s="104"/>
      <c r="P99" s="104"/>
      <c r="Q99" s="104"/>
      <c r="R99" s="104"/>
      <c r="S99" s="104"/>
      <c r="T99" s="104"/>
      <c r="U99" s="104"/>
      <c r="V99" s="104"/>
      <c r="W99" s="104"/>
      <c r="X99" s="104"/>
      <c r="Y99" s="104"/>
      <c r="Z99" s="114"/>
      <c r="AA99" s="114"/>
      <c r="AB99" s="114"/>
      <c r="AC99" s="114"/>
    </row>
    <row r="100" customFormat="false" ht="15" hidden="false" customHeight="false" outlineLevel="0" collapsed="false">
      <c r="A100" s="119" t="s">
        <v>597</v>
      </c>
      <c r="B100" s="119"/>
      <c r="C100" s="119"/>
      <c r="D100" s="130" t="n">
        <f aca="false">FALSE()</f>
        <v>0</v>
      </c>
      <c r="E100" s="122" t="s">
        <v>970</v>
      </c>
      <c r="F100" s="123"/>
      <c r="G100" s="119" t="s">
        <v>957</v>
      </c>
      <c r="H100" s="104"/>
      <c r="I100" s="104"/>
      <c r="J100" s="104"/>
      <c r="K100" s="104"/>
      <c r="L100" s="104"/>
      <c r="M100" s="104"/>
      <c r="N100" s="104"/>
      <c r="O100" s="104"/>
      <c r="P100" s="104"/>
      <c r="Q100" s="104"/>
      <c r="R100" s="104"/>
      <c r="S100" s="104"/>
      <c r="T100" s="104"/>
      <c r="U100" s="104"/>
      <c r="V100" s="104"/>
      <c r="W100" s="104"/>
      <c r="X100" s="104"/>
      <c r="Y100" s="104"/>
      <c r="Z100" s="116"/>
      <c r="AA100" s="116"/>
      <c r="AB100" s="116"/>
      <c r="AC100" s="116"/>
    </row>
    <row r="101" customFormat="false" ht="15" hidden="false" customHeight="false" outlineLevel="0" collapsed="false">
      <c r="A101" s="119" t="s">
        <v>979</v>
      </c>
      <c r="B101" s="119"/>
      <c r="C101" s="119"/>
      <c r="D101" s="130" t="n">
        <f aca="false">FALSE()</f>
        <v>0</v>
      </c>
      <c r="E101" s="122" t="s">
        <v>978</v>
      </c>
      <c r="F101" s="123"/>
      <c r="G101" s="119" t="s">
        <v>957</v>
      </c>
      <c r="H101" s="104"/>
      <c r="I101" s="104"/>
      <c r="J101" s="104"/>
      <c r="K101" s="104"/>
      <c r="L101" s="104"/>
      <c r="M101" s="104"/>
      <c r="N101" s="104"/>
      <c r="O101" s="104"/>
      <c r="P101" s="104"/>
      <c r="Q101" s="104"/>
      <c r="R101" s="104"/>
      <c r="S101" s="104"/>
      <c r="T101" s="104"/>
      <c r="U101" s="104"/>
      <c r="V101" s="104"/>
      <c r="W101" s="104"/>
      <c r="X101" s="104"/>
      <c r="Y101" s="104"/>
      <c r="Z101" s="116"/>
      <c r="AA101" s="116"/>
      <c r="AB101" s="116"/>
      <c r="AC101" s="116"/>
    </row>
    <row r="102" customFormat="false" ht="15" hidden="false" customHeight="false" outlineLevel="0" collapsed="false">
      <c r="A102" s="119" t="s">
        <v>538</v>
      </c>
      <c r="B102" s="119"/>
      <c r="C102" s="119"/>
      <c r="D102" s="130" t="n">
        <f aca="false">FALSE()</f>
        <v>0</v>
      </c>
      <c r="E102" s="122" t="s">
        <v>922</v>
      </c>
      <c r="F102" s="123"/>
      <c r="G102" s="119" t="s">
        <v>957</v>
      </c>
      <c r="H102" s="104"/>
      <c r="I102" s="104"/>
      <c r="J102" s="104"/>
      <c r="K102" s="104"/>
      <c r="L102" s="104"/>
      <c r="M102" s="104"/>
      <c r="N102" s="104"/>
      <c r="O102" s="104"/>
      <c r="P102" s="104"/>
      <c r="Q102" s="104"/>
      <c r="R102" s="104"/>
      <c r="S102" s="104"/>
      <c r="T102" s="104"/>
      <c r="U102" s="104"/>
      <c r="V102" s="104"/>
      <c r="W102" s="104"/>
      <c r="X102" s="104"/>
      <c r="Y102" s="104"/>
      <c r="Z102" s="118"/>
      <c r="AA102" s="118"/>
      <c r="AB102" s="118"/>
      <c r="AC102" s="118"/>
    </row>
    <row r="103" customFormat="false" ht="15" hidden="false" customHeight="false" outlineLevel="0" collapsed="false">
      <c r="A103" s="119" t="s">
        <v>320</v>
      </c>
      <c r="B103" s="119"/>
      <c r="C103" s="119"/>
      <c r="D103" s="130" t="n">
        <f aca="false">FALSE()</f>
        <v>0</v>
      </c>
      <c r="E103" s="122" t="s">
        <v>930</v>
      </c>
      <c r="F103" s="119"/>
      <c r="G103" s="119" t="s">
        <v>957</v>
      </c>
      <c r="H103" s="104"/>
      <c r="I103" s="104"/>
      <c r="J103" s="104"/>
      <c r="K103" s="104"/>
      <c r="L103" s="104"/>
      <c r="M103" s="104"/>
      <c r="N103" s="104"/>
      <c r="O103" s="104"/>
      <c r="P103" s="104"/>
      <c r="Q103" s="104"/>
      <c r="R103" s="104"/>
      <c r="S103" s="104"/>
      <c r="T103" s="104"/>
      <c r="U103" s="104"/>
      <c r="V103" s="104"/>
      <c r="W103" s="104"/>
      <c r="X103" s="104"/>
      <c r="Y103" s="104"/>
      <c r="Z103" s="114"/>
      <c r="AA103" s="114"/>
      <c r="AB103" s="114"/>
      <c r="AC103" s="114"/>
    </row>
    <row r="104" customFormat="false" ht="15" hidden="false" customHeight="false" outlineLevel="0" collapsed="false">
      <c r="A104" s="119" t="s">
        <v>613</v>
      </c>
      <c r="B104" s="119"/>
      <c r="C104" s="119"/>
      <c r="D104" s="130" t="n">
        <f aca="false">FALSE()</f>
        <v>0</v>
      </c>
      <c r="E104" s="122" t="s">
        <v>922</v>
      </c>
      <c r="F104" s="119"/>
      <c r="G104" s="119" t="s">
        <v>957</v>
      </c>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row>
    <row r="105" customFormat="false" ht="15" hidden="false" customHeight="false" outlineLevel="0" collapsed="false">
      <c r="A105" s="119" t="s">
        <v>674</v>
      </c>
      <c r="B105" s="120" t="str">
        <f aca="false">IFERROR(VLOOKUP(A105,CENTRO!$A$4:$L$548,12,0),"")</f>
        <v>MUITO ATRASADO</v>
      </c>
      <c r="C105" s="121" t="str">
        <f aca="false">IFERROR(VLOOKUP(A105,CENTRO!$A$4:$L$137,11,0),"")</f>
        <v/>
      </c>
      <c r="D105" s="130" t="n">
        <f aca="false">FALSE()</f>
        <v>0</v>
      </c>
      <c r="E105" s="122" t="s">
        <v>980</v>
      </c>
      <c r="F105" s="119"/>
      <c r="G105" s="119" t="s">
        <v>957</v>
      </c>
      <c r="H105" s="104"/>
      <c r="I105" s="104"/>
      <c r="J105" s="104"/>
      <c r="K105" s="104"/>
      <c r="L105" s="104"/>
      <c r="M105" s="104"/>
      <c r="N105" s="104"/>
      <c r="O105" s="104"/>
      <c r="P105" s="104"/>
      <c r="Q105" s="104"/>
      <c r="R105" s="104"/>
      <c r="S105" s="104"/>
      <c r="T105" s="104"/>
      <c r="U105" s="104"/>
      <c r="V105" s="104"/>
      <c r="W105" s="104"/>
      <c r="X105" s="104"/>
      <c r="Y105" s="104"/>
      <c r="Z105" s="116"/>
      <c r="AA105" s="116"/>
      <c r="AB105" s="116"/>
      <c r="AC105" s="116"/>
    </row>
    <row r="106" customFormat="false" ht="15" hidden="false" customHeight="false" outlineLevel="0" collapsed="false">
      <c r="A106" s="119" t="s">
        <v>981</v>
      </c>
      <c r="B106" s="120" t="str">
        <f aca="false">IFERROR(VLOOKUP(A106,CENTRO!$A$4:$L$548,12,0),"")</f>
        <v/>
      </c>
      <c r="C106" s="121" t="str">
        <f aca="false">IFERROR(VLOOKUP(A106,CENTRO!$A$4:$L$548,11,0),"")</f>
        <v/>
      </c>
      <c r="D106" s="130" t="n">
        <f aca="false">FALSE()</f>
        <v>0</v>
      </c>
      <c r="E106" s="122" t="s">
        <v>970</v>
      </c>
      <c r="F106" s="123"/>
      <c r="G106" s="119" t="s">
        <v>957</v>
      </c>
      <c r="H106" s="104"/>
      <c r="I106" s="104"/>
      <c r="J106" s="104"/>
      <c r="K106" s="104"/>
      <c r="L106" s="104"/>
      <c r="M106" s="104"/>
      <c r="N106" s="104"/>
      <c r="O106" s="104"/>
      <c r="P106" s="104"/>
      <c r="Q106" s="104"/>
      <c r="R106" s="104"/>
      <c r="S106" s="104"/>
      <c r="T106" s="104"/>
      <c r="U106" s="104"/>
      <c r="V106" s="104"/>
      <c r="W106" s="104"/>
      <c r="X106" s="104"/>
      <c r="Y106" s="104"/>
      <c r="Z106" s="114"/>
      <c r="AA106" s="114"/>
      <c r="AB106" s="114"/>
      <c r="AC106" s="114"/>
    </row>
    <row r="107" customFormat="false" ht="15" hidden="false" customHeight="false" outlineLevel="0" collapsed="false">
      <c r="A107" s="119" t="s">
        <v>807</v>
      </c>
      <c r="B107" s="120" t="str">
        <f aca="false">IFERROR(VLOOKUP(A107,CENTRO!$A$4:$L$548,12,0),"")</f>
        <v>MUITO ATRASADO</v>
      </c>
      <c r="C107" s="121" t="str">
        <f aca="false">IFERROR(VLOOKUP(A107,CENTRO!$A$4:$L$137,11,0),"")</f>
        <v/>
      </c>
      <c r="D107" s="130" t="n">
        <f aca="false">FALSE()</f>
        <v>0</v>
      </c>
      <c r="E107" s="122" t="s">
        <v>918</v>
      </c>
      <c r="F107" s="119" t="s">
        <v>982</v>
      </c>
      <c r="G107" s="119" t="s">
        <v>983</v>
      </c>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row>
    <row r="108" customFormat="false" ht="15" hidden="false" customHeight="false" outlineLevel="0" collapsed="false">
      <c r="A108" s="119" t="s">
        <v>488</v>
      </c>
      <c r="B108" s="120" t="str">
        <f aca="false">IFERROR(VLOOKUP(A108,CENTRO!$A$4:$L$548,12,0),"")</f>
        <v>MUITO ATRASADO</v>
      </c>
      <c r="C108" s="121" t="str">
        <f aca="false">IFERROR(VLOOKUP(A108,CENTRO!$A$4:$L$137,11,0),"")</f>
        <v/>
      </c>
      <c r="D108" s="130" t="n">
        <f aca="false">FALSE()</f>
        <v>0</v>
      </c>
      <c r="E108" s="122" t="s">
        <v>982</v>
      </c>
      <c r="F108" s="123"/>
      <c r="G108" s="119" t="s">
        <v>957</v>
      </c>
      <c r="H108" s="104"/>
      <c r="I108" s="104"/>
      <c r="J108" s="104"/>
      <c r="K108" s="104"/>
      <c r="L108" s="104"/>
      <c r="M108" s="104"/>
      <c r="N108" s="104"/>
      <c r="O108" s="104"/>
      <c r="P108" s="104"/>
      <c r="Q108" s="104"/>
      <c r="R108" s="104"/>
      <c r="S108" s="104"/>
      <c r="T108" s="104"/>
      <c r="U108" s="104"/>
      <c r="V108" s="104"/>
      <c r="W108" s="104"/>
      <c r="X108" s="104"/>
      <c r="Y108" s="104"/>
      <c r="Z108" s="114"/>
      <c r="AA108" s="114"/>
      <c r="AB108" s="114"/>
      <c r="AC108" s="114"/>
    </row>
    <row r="109" customFormat="false" ht="15" hidden="false" customHeight="false" outlineLevel="0" collapsed="false">
      <c r="A109" s="119" t="s">
        <v>984</v>
      </c>
      <c r="B109" s="120" t="str">
        <f aca="false">IFERROR(VLOOKUP(A109,CENTRO!$A$4:$L$548,12,0),"")</f>
        <v/>
      </c>
      <c r="C109" s="121" t="str">
        <f aca="false">IFERROR(VLOOKUP(A109,CENTRO!$A$4:$L$137,11,0),"")</f>
        <v/>
      </c>
      <c r="D109" s="130" t="n">
        <f aca="false">FALSE()</f>
        <v>0</v>
      </c>
      <c r="E109" s="122" t="s">
        <v>985</v>
      </c>
      <c r="F109" s="123"/>
      <c r="G109" s="119" t="s">
        <v>957</v>
      </c>
      <c r="H109" s="104"/>
      <c r="I109" s="104"/>
      <c r="J109" s="104"/>
      <c r="K109" s="104"/>
      <c r="L109" s="104"/>
      <c r="M109" s="104"/>
      <c r="N109" s="104"/>
      <c r="O109" s="104"/>
      <c r="P109" s="104"/>
      <c r="Q109" s="104"/>
      <c r="R109" s="104"/>
      <c r="S109" s="104"/>
      <c r="T109" s="104"/>
      <c r="U109" s="104"/>
      <c r="V109" s="104"/>
      <c r="W109" s="104"/>
      <c r="X109" s="104"/>
      <c r="Y109" s="104"/>
      <c r="Z109" s="114"/>
      <c r="AA109" s="114"/>
      <c r="AB109" s="114"/>
      <c r="AC109" s="114"/>
    </row>
    <row r="110" customFormat="false" ht="15" hidden="false" customHeight="false" outlineLevel="0" collapsed="false">
      <c r="A110" s="119" t="s">
        <v>641</v>
      </c>
      <c r="B110" s="120" t="str">
        <f aca="false">IFERROR(VLOOKUP(A110,CENTRO!$A$4:$L$548,12,0),"")</f>
        <v>MUITO ATRASADO</v>
      </c>
      <c r="C110" s="121" t="str">
        <f aca="false">IFERROR(VLOOKUP(A110,CENTRO!$A$4:$L$137,11,0),"")</f>
        <v/>
      </c>
      <c r="D110" s="130" t="n">
        <f aca="false">FALSE()</f>
        <v>0</v>
      </c>
      <c r="E110" s="122" t="s">
        <v>985</v>
      </c>
      <c r="F110" s="123"/>
      <c r="G110" s="119" t="s">
        <v>957</v>
      </c>
      <c r="H110" s="104"/>
      <c r="I110" s="104"/>
      <c r="J110" s="104"/>
      <c r="K110" s="104"/>
      <c r="L110" s="104"/>
      <c r="M110" s="104"/>
      <c r="N110" s="104"/>
      <c r="O110" s="104"/>
      <c r="P110" s="104"/>
      <c r="Q110" s="104"/>
      <c r="R110" s="104"/>
      <c r="S110" s="104"/>
      <c r="T110" s="104"/>
      <c r="U110" s="104"/>
      <c r="V110" s="104"/>
      <c r="W110" s="104"/>
      <c r="X110" s="104"/>
      <c r="Y110" s="104"/>
      <c r="Z110" s="116"/>
      <c r="AA110" s="116"/>
      <c r="AB110" s="116"/>
      <c r="AC110" s="116"/>
    </row>
    <row r="111" customFormat="false" ht="15" hidden="false" customHeight="false" outlineLevel="0" collapsed="false">
      <c r="A111" s="119" t="s">
        <v>598</v>
      </c>
      <c r="B111" s="120" t="str">
        <f aca="false">IFERROR(VLOOKUP(A111,CENTRO!$A$4:$L$548,12,0),"")</f>
        <v>MUITO ATRASADO</v>
      </c>
      <c r="C111" s="121" t="n">
        <f aca="false">IFERROR(VLOOKUP(A111,CENTRO!$A$4:$L$548,11,0),"")</f>
        <v>106.711433756806</v>
      </c>
      <c r="D111" s="130" t="n">
        <f aca="false">FALSE()</f>
        <v>0</v>
      </c>
      <c r="E111" s="122" t="s">
        <v>970</v>
      </c>
      <c r="F111" s="123"/>
      <c r="G111" s="119" t="s">
        <v>957</v>
      </c>
      <c r="H111" s="104"/>
      <c r="I111" s="104"/>
      <c r="J111" s="104"/>
      <c r="K111" s="104"/>
      <c r="L111" s="104"/>
      <c r="M111" s="104"/>
      <c r="N111" s="104"/>
      <c r="O111" s="104"/>
      <c r="P111" s="104"/>
      <c r="Q111" s="104"/>
      <c r="R111" s="104"/>
      <c r="S111" s="104"/>
      <c r="T111" s="104"/>
      <c r="U111" s="104"/>
      <c r="V111" s="104"/>
      <c r="W111" s="104"/>
      <c r="X111" s="104"/>
      <c r="Y111" s="104"/>
      <c r="Z111" s="116"/>
      <c r="AA111" s="116"/>
      <c r="AB111" s="116"/>
      <c r="AC111" s="116"/>
    </row>
    <row r="112" customFormat="false" ht="15" hidden="false" customHeight="false" outlineLevel="0" collapsed="false">
      <c r="A112" s="119" t="s">
        <v>247</v>
      </c>
      <c r="B112" s="119"/>
      <c r="C112" s="121"/>
      <c r="D112" s="130" t="n">
        <f aca="false">FALSE()</f>
        <v>0</v>
      </c>
      <c r="E112" s="122" t="s">
        <v>922</v>
      </c>
      <c r="F112" s="123"/>
      <c r="G112" s="119" t="s">
        <v>957</v>
      </c>
      <c r="H112" s="104"/>
      <c r="I112" s="104"/>
      <c r="J112" s="104"/>
      <c r="K112" s="104"/>
      <c r="L112" s="104"/>
      <c r="M112" s="104"/>
      <c r="N112" s="104"/>
      <c r="O112" s="104"/>
      <c r="P112" s="104"/>
      <c r="Q112" s="104"/>
      <c r="R112" s="104"/>
      <c r="S112" s="104"/>
      <c r="T112" s="104"/>
      <c r="U112" s="104"/>
      <c r="V112" s="104"/>
      <c r="W112" s="104"/>
      <c r="X112" s="104"/>
      <c r="Y112" s="104"/>
      <c r="Z112" s="116"/>
      <c r="AA112" s="116"/>
      <c r="AB112" s="116"/>
      <c r="AC112" s="116"/>
    </row>
    <row r="113" customFormat="false" ht="15" hidden="false" customHeight="false" outlineLevel="0" collapsed="false">
      <c r="A113" s="119" t="s">
        <v>566</v>
      </c>
      <c r="B113" s="119"/>
      <c r="C113" s="119"/>
      <c r="D113" s="130" t="n">
        <f aca="false">FALSE()</f>
        <v>0</v>
      </c>
      <c r="E113" s="122" t="s">
        <v>922</v>
      </c>
      <c r="F113" s="123"/>
      <c r="G113" s="119" t="s">
        <v>957</v>
      </c>
      <c r="H113" s="104"/>
      <c r="I113" s="104"/>
      <c r="J113" s="104"/>
      <c r="K113" s="104"/>
      <c r="L113" s="104"/>
      <c r="M113" s="104"/>
      <c r="N113" s="104"/>
      <c r="O113" s="104"/>
      <c r="P113" s="104"/>
      <c r="Q113" s="104"/>
      <c r="R113" s="104"/>
      <c r="S113" s="104"/>
      <c r="T113" s="104"/>
      <c r="U113" s="104"/>
      <c r="V113" s="104"/>
      <c r="W113" s="104"/>
      <c r="X113" s="104"/>
      <c r="Y113" s="104"/>
      <c r="Z113" s="118"/>
      <c r="AA113" s="118"/>
      <c r="AB113" s="118"/>
      <c r="AC113" s="118"/>
    </row>
    <row r="114" customFormat="false" ht="15" hidden="false" customHeight="false" outlineLevel="0" collapsed="false">
      <c r="A114" s="119" t="s">
        <v>699</v>
      </c>
      <c r="B114" s="119"/>
      <c r="C114" s="119"/>
      <c r="D114" s="130" t="n">
        <f aca="false">FALSE()</f>
        <v>0</v>
      </c>
      <c r="E114" s="122" t="s">
        <v>986</v>
      </c>
      <c r="F114" s="123"/>
      <c r="G114" s="119" t="s">
        <v>957</v>
      </c>
      <c r="H114" s="104"/>
      <c r="I114" s="104"/>
      <c r="J114" s="104"/>
      <c r="K114" s="104"/>
      <c r="L114" s="104"/>
      <c r="M114" s="104"/>
      <c r="N114" s="104"/>
      <c r="O114" s="104"/>
      <c r="P114" s="104"/>
      <c r="Q114" s="104"/>
      <c r="R114" s="104"/>
      <c r="S114" s="104"/>
      <c r="T114" s="104"/>
      <c r="U114" s="104"/>
      <c r="V114" s="104"/>
      <c r="W114" s="104"/>
      <c r="X114" s="104"/>
      <c r="Y114" s="104"/>
      <c r="Z114" s="114"/>
      <c r="AA114" s="114"/>
      <c r="AB114" s="114"/>
      <c r="AC114" s="114"/>
    </row>
    <row r="115" customFormat="false" ht="15" hidden="false" customHeight="false" outlineLevel="0" collapsed="false">
      <c r="A115" s="119" t="s">
        <v>819</v>
      </c>
      <c r="B115" s="119"/>
      <c r="C115" s="121"/>
      <c r="D115" s="130" t="n">
        <f aca="false">FALSE()</f>
        <v>0</v>
      </c>
      <c r="E115" s="122" t="s">
        <v>930</v>
      </c>
      <c r="F115" s="119"/>
      <c r="G115" s="119" t="s">
        <v>957</v>
      </c>
      <c r="H115" s="141"/>
      <c r="I115" s="141"/>
      <c r="J115" s="141"/>
      <c r="K115" s="141"/>
      <c r="L115" s="141"/>
      <c r="M115" s="141"/>
      <c r="N115" s="141"/>
      <c r="O115" s="141"/>
      <c r="P115" s="141"/>
      <c r="Q115" s="141"/>
      <c r="R115" s="141"/>
      <c r="S115" s="141"/>
      <c r="T115" s="141"/>
      <c r="U115" s="141"/>
      <c r="V115" s="141"/>
      <c r="W115" s="141"/>
      <c r="X115" s="141"/>
      <c r="Y115" s="141"/>
      <c r="Z115" s="142"/>
      <c r="AA115" s="142"/>
      <c r="AB115" s="142"/>
      <c r="AC115" s="142"/>
    </row>
    <row r="116" customFormat="false" ht="15" hidden="false" customHeight="false" outlineLevel="0" collapsed="false">
      <c r="A116" s="119" t="s">
        <v>748</v>
      </c>
      <c r="B116" s="119"/>
      <c r="C116" s="121"/>
      <c r="D116" s="130" t="n">
        <f aca="false">FALSE()</f>
        <v>0</v>
      </c>
      <c r="E116" s="122" t="s">
        <v>930</v>
      </c>
      <c r="F116" s="119"/>
      <c r="G116" s="119" t="s">
        <v>957</v>
      </c>
      <c r="H116" s="104"/>
      <c r="I116" s="104"/>
      <c r="J116" s="104"/>
      <c r="K116" s="104"/>
      <c r="L116" s="104"/>
      <c r="M116" s="104"/>
      <c r="N116" s="104"/>
      <c r="O116" s="104"/>
      <c r="P116" s="104"/>
      <c r="Q116" s="104"/>
      <c r="R116" s="104"/>
      <c r="S116" s="104"/>
      <c r="T116" s="104"/>
      <c r="U116" s="104"/>
      <c r="V116" s="104"/>
      <c r="W116" s="104"/>
      <c r="X116" s="104"/>
      <c r="Y116" s="104"/>
      <c r="Z116" s="143"/>
      <c r="AA116" s="143"/>
      <c r="AB116" s="143"/>
      <c r="AC116" s="143"/>
    </row>
    <row r="117" customFormat="false" ht="15" hidden="false" customHeight="false" outlineLevel="0" collapsed="false">
      <c r="A117" s="119" t="s">
        <v>434</v>
      </c>
      <c r="B117" s="120" t="str">
        <f aca="false">IFERROR(VLOOKUP(A117,CENTRO!$A$4:$L$548,12,0),"")</f>
        <v>MUITO ATRASADO</v>
      </c>
      <c r="C117" s="121" t="n">
        <f aca="false">IFERROR(VLOOKUP(A117,CENTRO!$A$4:$L$548,11,0),"")</f>
        <v>163.254263565892</v>
      </c>
      <c r="D117" s="130" t="n">
        <f aca="false">FALSE()</f>
        <v>0</v>
      </c>
      <c r="E117" s="122" t="s">
        <v>986</v>
      </c>
      <c r="F117" s="119"/>
      <c r="G117" s="119" t="s">
        <v>957</v>
      </c>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row>
    <row r="118" customFormat="false" ht="15" hidden="false" customHeight="false" outlineLevel="0" collapsed="false">
      <c r="A118" s="119" t="s">
        <v>64</v>
      </c>
      <c r="B118" s="120" t="str">
        <f aca="false">IFERROR(VLOOKUP(A118,CENTRO!$A$4:$L$548,12,0),"")</f>
        <v/>
      </c>
      <c r="C118" s="121" t="str">
        <f aca="false">IFERROR(VLOOKUP(A118,CENTRO!$A$4:$L$137,11,0),"")</f>
        <v/>
      </c>
      <c r="D118" s="130" t="n">
        <f aca="false">FALSE()</f>
        <v>0</v>
      </c>
      <c r="E118" s="122" t="s">
        <v>986</v>
      </c>
      <c r="F118" s="119"/>
      <c r="G118" s="119" t="s">
        <v>957</v>
      </c>
      <c r="H118" s="104"/>
      <c r="I118" s="104"/>
      <c r="J118" s="104"/>
      <c r="K118" s="104"/>
      <c r="L118" s="104"/>
      <c r="M118" s="104"/>
      <c r="N118" s="104"/>
      <c r="O118" s="104"/>
      <c r="P118" s="104"/>
      <c r="Q118" s="104"/>
      <c r="R118" s="104"/>
      <c r="S118" s="104"/>
      <c r="T118" s="104"/>
      <c r="U118" s="104"/>
      <c r="V118" s="104"/>
      <c r="W118" s="104"/>
      <c r="X118" s="104"/>
      <c r="Y118" s="104"/>
      <c r="Z118" s="114"/>
      <c r="AA118" s="114"/>
      <c r="AB118" s="114"/>
      <c r="AC118" s="114"/>
    </row>
    <row r="119" customFormat="false" ht="15" hidden="false" customHeight="false" outlineLevel="0" collapsed="false">
      <c r="A119" s="119" t="s">
        <v>710</v>
      </c>
      <c r="B119" s="119"/>
      <c r="C119" s="119"/>
      <c r="D119" s="130" t="n">
        <f aca="false">FALSE()</f>
        <v>0</v>
      </c>
      <c r="E119" s="122" t="s">
        <v>922</v>
      </c>
      <c r="F119" s="119"/>
      <c r="G119" s="119" t="s">
        <v>957</v>
      </c>
      <c r="H119" s="104"/>
      <c r="I119" s="104"/>
      <c r="J119" s="104"/>
      <c r="K119" s="104"/>
      <c r="L119" s="104"/>
      <c r="M119" s="104"/>
      <c r="N119" s="104"/>
      <c r="O119" s="104"/>
      <c r="P119" s="104"/>
      <c r="Q119" s="104"/>
      <c r="R119" s="104"/>
      <c r="S119" s="104"/>
      <c r="T119" s="104"/>
      <c r="U119" s="104"/>
      <c r="V119" s="104"/>
      <c r="W119" s="104"/>
      <c r="X119" s="104"/>
      <c r="Y119" s="104"/>
      <c r="Z119" s="116"/>
      <c r="AA119" s="116"/>
      <c r="AB119" s="116"/>
      <c r="AC119" s="116"/>
    </row>
    <row r="120" customFormat="false" ht="15" hidden="false" customHeight="false" outlineLevel="0" collapsed="false">
      <c r="A120" s="119" t="s">
        <v>634</v>
      </c>
      <c r="B120" s="119"/>
      <c r="C120" s="119"/>
      <c r="D120" s="130" t="n">
        <f aca="false">FALSE()</f>
        <v>0</v>
      </c>
      <c r="E120" s="122" t="s">
        <v>987</v>
      </c>
      <c r="F120" s="119"/>
      <c r="G120" s="119" t="s">
        <v>957</v>
      </c>
      <c r="H120" s="104"/>
      <c r="I120" s="104"/>
      <c r="J120" s="104"/>
      <c r="K120" s="104"/>
      <c r="L120" s="104"/>
      <c r="M120" s="104"/>
      <c r="N120" s="104"/>
      <c r="O120" s="104"/>
      <c r="P120" s="104"/>
      <c r="Q120" s="104"/>
      <c r="R120" s="104"/>
      <c r="S120" s="104"/>
      <c r="T120" s="104"/>
      <c r="U120" s="104"/>
      <c r="V120" s="104"/>
      <c r="W120" s="104"/>
      <c r="X120" s="104"/>
      <c r="Y120" s="104"/>
      <c r="Z120" s="114"/>
      <c r="AA120" s="114"/>
      <c r="AB120" s="114"/>
      <c r="AC120" s="114"/>
    </row>
    <row r="121" customFormat="false" ht="15" hidden="false" customHeight="false" outlineLevel="0" collapsed="false">
      <c r="A121" s="119" t="s">
        <v>818</v>
      </c>
      <c r="B121" s="119"/>
      <c r="C121" s="119"/>
      <c r="D121" s="130" t="n">
        <f aca="false">FALSE()</f>
        <v>0</v>
      </c>
      <c r="E121" s="122" t="s">
        <v>968</v>
      </c>
      <c r="F121" s="119"/>
      <c r="G121" s="119" t="s">
        <v>957</v>
      </c>
      <c r="H121" s="104"/>
      <c r="I121" s="104"/>
      <c r="J121" s="104"/>
      <c r="K121" s="104"/>
      <c r="L121" s="104"/>
      <c r="M121" s="104"/>
      <c r="N121" s="104"/>
      <c r="O121" s="104"/>
      <c r="P121" s="104"/>
      <c r="Q121" s="104"/>
      <c r="R121" s="104"/>
      <c r="S121" s="104"/>
      <c r="T121" s="104"/>
      <c r="U121" s="104"/>
      <c r="V121" s="104"/>
      <c r="W121" s="104"/>
      <c r="X121" s="104"/>
      <c r="Y121" s="104"/>
      <c r="Z121" s="116"/>
      <c r="AA121" s="116"/>
      <c r="AB121" s="116"/>
      <c r="AC121" s="116"/>
    </row>
    <row r="122" customFormat="false" ht="15" hidden="false" customHeight="false" outlineLevel="0" collapsed="false">
      <c r="A122" s="136" t="s">
        <v>769</v>
      </c>
      <c r="B122" s="136"/>
      <c r="C122" s="137"/>
      <c r="D122" s="130" t="n">
        <f aca="false">FALSE()</f>
        <v>0</v>
      </c>
      <c r="E122" s="122" t="s">
        <v>970</v>
      </c>
      <c r="F122" s="136"/>
      <c r="G122" s="119" t="s">
        <v>957</v>
      </c>
      <c r="H122" s="104"/>
      <c r="I122" s="104"/>
      <c r="J122" s="104"/>
      <c r="K122" s="104"/>
      <c r="L122" s="104"/>
      <c r="M122" s="104"/>
      <c r="N122" s="104"/>
      <c r="O122" s="104"/>
      <c r="P122" s="104"/>
      <c r="Q122" s="104"/>
      <c r="R122" s="104"/>
      <c r="S122" s="104"/>
      <c r="T122" s="104"/>
      <c r="U122" s="104"/>
      <c r="V122" s="104"/>
      <c r="W122" s="104"/>
      <c r="X122" s="104"/>
      <c r="Y122" s="104"/>
      <c r="Z122" s="114"/>
      <c r="AA122" s="114"/>
      <c r="AB122" s="114"/>
      <c r="AC122" s="114"/>
    </row>
    <row r="123" customFormat="false" ht="15" hidden="false" customHeight="false" outlineLevel="0" collapsed="false">
      <c r="A123" s="119" t="s">
        <v>498</v>
      </c>
      <c r="B123" s="119"/>
      <c r="C123" s="119"/>
      <c r="D123" s="130" t="n">
        <f aca="false">FALSE()</f>
        <v>0</v>
      </c>
      <c r="E123" s="122" t="s">
        <v>970</v>
      </c>
      <c r="F123" s="119"/>
      <c r="G123" s="119" t="s">
        <v>957</v>
      </c>
      <c r="H123" s="104"/>
      <c r="I123" s="104"/>
      <c r="J123" s="104"/>
      <c r="K123" s="104"/>
      <c r="L123" s="104"/>
      <c r="M123" s="104"/>
      <c r="N123" s="104"/>
      <c r="O123" s="104"/>
      <c r="P123" s="104"/>
      <c r="Q123" s="104"/>
      <c r="R123" s="104"/>
      <c r="S123" s="104"/>
      <c r="T123" s="104"/>
      <c r="U123" s="104"/>
      <c r="V123" s="104"/>
      <c r="W123" s="104"/>
      <c r="X123" s="104"/>
      <c r="Y123" s="104"/>
      <c r="Z123" s="114"/>
      <c r="AA123" s="114"/>
      <c r="AB123" s="114"/>
      <c r="AC123" s="114"/>
    </row>
    <row r="124" customFormat="false" ht="15" hidden="false" customHeight="false" outlineLevel="0" collapsed="false">
      <c r="A124" s="144" t="s">
        <v>647</v>
      </c>
      <c r="B124" s="120" t="str">
        <f aca="false">IFERROR(VLOOKUP(A124,CENTRO!$A$4:$L$548,12,0),"")</f>
        <v>MUITO ATRASADO</v>
      </c>
      <c r="C124" s="121" t="str">
        <f aca="false">IFERROR(VLOOKUP(A124,CENTRO!$A$4:$L$137,11,0),"")</f>
        <v/>
      </c>
      <c r="D124" s="130" t="n">
        <f aca="false">FALSE()</f>
        <v>0</v>
      </c>
      <c r="E124" s="122" t="s">
        <v>988</v>
      </c>
      <c r="F124" s="119"/>
      <c r="G124" s="119" t="s">
        <v>957</v>
      </c>
      <c r="H124" s="104"/>
      <c r="I124" s="104"/>
      <c r="J124" s="104"/>
      <c r="K124" s="104"/>
      <c r="L124" s="104"/>
      <c r="M124" s="104"/>
      <c r="N124" s="104"/>
      <c r="O124" s="104"/>
      <c r="P124" s="104"/>
      <c r="Q124" s="104"/>
      <c r="R124" s="104"/>
      <c r="S124" s="104"/>
      <c r="T124" s="104"/>
      <c r="U124" s="104"/>
      <c r="V124" s="104"/>
      <c r="W124" s="104"/>
      <c r="X124" s="104"/>
      <c r="Y124" s="104"/>
      <c r="Z124" s="114"/>
      <c r="AA124" s="114"/>
      <c r="AB124" s="114"/>
      <c r="AC124" s="114"/>
    </row>
    <row r="125" customFormat="false" ht="16.5" hidden="false" customHeight="true" outlineLevel="0" collapsed="false">
      <c r="A125" s="136" t="s">
        <v>688</v>
      </c>
      <c r="B125" s="136"/>
      <c r="C125" s="137"/>
      <c r="D125" s="130" t="n">
        <f aca="false">FALSE()</f>
        <v>0</v>
      </c>
      <c r="E125" s="122" t="s">
        <v>989</v>
      </c>
      <c r="F125" s="136"/>
      <c r="G125" s="119" t="s">
        <v>957</v>
      </c>
      <c r="H125" s="104"/>
      <c r="I125" s="104"/>
      <c r="J125" s="104"/>
      <c r="K125" s="104"/>
      <c r="L125" s="104"/>
      <c r="M125" s="104"/>
      <c r="N125" s="104"/>
      <c r="O125" s="104"/>
      <c r="P125" s="104"/>
      <c r="Q125" s="104"/>
      <c r="R125" s="104"/>
      <c r="S125" s="104"/>
      <c r="T125" s="104"/>
      <c r="U125" s="104"/>
      <c r="V125" s="104"/>
      <c r="W125" s="104"/>
      <c r="X125" s="104"/>
      <c r="Y125" s="104"/>
      <c r="Z125" s="116"/>
      <c r="AA125" s="116"/>
      <c r="AB125" s="116"/>
      <c r="AC125" s="116"/>
    </row>
    <row r="126" customFormat="false" ht="15" hidden="false" customHeight="false" outlineLevel="0" collapsed="false">
      <c r="A126" s="104" t="s">
        <v>563</v>
      </c>
      <c r="B126" s="119"/>
      <c r="C126" s="119"/>
      <c r="D126" s="130" t="n">
        <f aca="false">FALSE()</f>
        <v>0</v>
      </c>
      <c r="E126" s="122" t="s">
        <v>918</v>
      </c>
      <c r="F126" s="119"/>
      <c r="G126" s="119" t="s">
        <v>957</v>
      </c>
      <c r="H126" s="104"/>
      <c r="I126" s="104"/>
      <c r="J126" s="104"/>
      <c r="K126" s="104"/>
      <c r="L126" s="104"/>
      <c r="M126" s="104"/>
      <c r="N126" s="104"/>
      <c r="O126" s="104"/>
      <c r="P126" s="104"/>
      <c r="Q126" s="104"/>
      <c r="R126" s="104"/>
      <c r="S126" s="104"/>
      <c r="T126" s="104"/>
      <c r="U126" s="104"/>
      <c r="V126" s="104"/>
      <c r="W126" s="104"/>
      <c r="X126" s="104"/>
      <c r="Y126" s="104"/>
      <c r="Z126" s="114"/>
      <c r="AA126" s="114"/>
      <c r="AB126" s="114"/>
      <c r="AC126" s="114"/>
    </row>
    <row r="127" customFormat="false" ht="15" hidden="false" customHeight="false" outlineLevel="0" collapsed="false">
      <c r="A127" s="136" t="s">
        <v>551</v>
      </c>
      <c r="B127" s="136"/>
      <c r="C127" s="137"/>
      <c r="D127" s="130" t="n">
        <f aca="false">FALSE()</f>
        <v>0</v>
      </c>
      <c r="E127" s="122" t="s">
        <v>970</v>
      </c>
      <c r="F127" s="136"/>
      <c r="G127" s="119" t="s">
        <v>957</v>
      </c>
      <c r="H127" s="104"/>
      <c r="I127" s="104"/>
      <c r="J127" s="104"/>
      <c r="K127" s="104"/>
      <c r="L127" s="104"/>
      <c r="M127" s="104"/>
      <c r="N127" s="104"/>
      <c r="O127" s="104"/>
      <c r="P127" s="104"/>
      <c r="Q127" s="104"/>
      <c r="R127" s="104"/>
      <c r="S127" s="104"/>
      <c r="T127" s="104"/>
      <c r="U127" s="104"/>
      <c r="V127" s="104"/>
      <c r="W127" s="104"/>
      <c r="X127" s="104"/>
      <c r="Y127" s="104"/>
      <c r="Z127" s="114"/>
      <c r="AA127" s="114"/>
      <c r="AB127" s="114"/>
      <c r="AC127" s="114"/>
    </row>
    <row r="128" customFormat="false" ht="15" hidden="false" customHeight="false" outlineLevel="0" collapsed="false">
      <c r="A128" s="119" t="s">
        <v>107</v>
      </c>
      <c r="B128" s="120" t="str">
        <f aca="false">IFERROR(VLOOKUP(A128,CENTRO!$A$4:$L$548,12,0),"")</f>
        <v>MUITO ATRASADO</v>
      </c>
      <c r="C128" s="121" t="n">
        <f aca="false">IFERROR(VLOOKUP(A128,CENTRO!$A$4:$L$137,11,0),"")</f>
        <v>159.764291307753</v>
      </c>
      <c r="D128" s="130" t="n">
        <f aca="false">FALSE()</f>
        <v>0</v>
      </c>
      <c r="E128" s="122" t="s">
        <v>986</v>
      </c>
      <c r="F128" s="119"/>
      <c r="G128" s="119" t="s">
        <v>957</v>
      </c>
      <c r="H128" s="104"/>
      <c r="I128" s="104"/>
      <c r="J128" s="104"/>
      <c r="K128" s="104"/>
      <c r="L128" s="104"/>
      <c r="M128" s="104"/>
      <c r="N128" s="104"/>
      <c r="O128" s="104"/>
      <c r="P128" s="104"/>
      <c r="Q128" s="104"/>
      <c r="R128" s="104"/>
      <c r="S128" s="104"/>
      <c r="T128" s="104"/>
      <c r="U128" s="104"/>
      <c r="V128" s="104"/>
      <c r="W128" s="104"/>
      <c r="X128" s="104"/>
      <c r="Y128" s="104"/>
      <c r="Z128" s="114"/>
      <c r="AA128" s="114"/>
      <c r="AB128" s="114"/>
      <c r="AC128" s="114"/>
    </row>
    <row r="129" customFormat="false" ht="19.5" hidden="false" customHeight="true" outlineLevel="0" collapsed="false">
      <c r="A129" s="119" t="s">
        <v>990</v>
      </c>
      <c r="B129" s="119"/>
      <c r="C129" s="119"/>
      <c r="D129" s="130" t="n">
        <f aca="false">FALSE()</f>
        <v>0</v>
      </c>
      <c r="E129" s="122" t="s">
        <v>970</v>
      </c>
      <c r="F129" s="119"/>
      <c r="G129" s="119" t="s">
        <v>957</v>
      </c>
      <c r="H129" s="104"/>
      <c r="I129" s="104"/>
      <c r="J129" s="104"/>
      <c r="K129" s="104"/>
      <c r="L129" s="104"/>
      <c r="M129" s="104"/>
      <c r="N129" s="104"/>
      <c r="O129" s="104"/>
      <c r="P129" s="104"/>
      <c r="Q129" s="104"/>
      <c r="R129" s="104"/>
      <c r="S129" s="104"/>
      <c r="T129" s="104"/>
      <c r="U129" s="104"/>
      <c r="V129" s="104"/>
      <c r="W129" s="104"/>
      <c r="X129" s="104"/>
      <c r="Y129" s="104"/>
      <c r="Z129" s="114"/>
      <c r="AA129" s="114"/>
      <c r="AB129" s="114"/>
      <c r="AC129" s="114"/>
    </row>
    <row r="130" customFormat="false" ht="19.5" hidden="false" customHeight="true" outlineLevel="0" collapsed="false">
      <c r="A130" s="119" t="s">
        <v>788</v>
      </c>
      <c r="B130" s="119"/>
      <c r="C130" s="119"/>
      <c r="D130" s="130" t="n">
        <f aca="false">FALSE()</f>
        <v>0</v>
      </c>
      <c r="E130" s="122" t="s">
        <v>970</v>
      </c>
      <c r="F130" s="119"/>
      <c r="G130" s="119" t="s">
        <v>957</v>
      </c>
      <c r="H130" s="104"/>
      <c r="I130" s="104"/>
      <c r="J130" s="104"/>
      <c r="K130" s="104"/>
      <c r="L130" s="104"/>
      <c r="M130" s="104"/>
      <c r="N130" s="104"/>
      <c r="O130" s="104"/>
      <c r="P130" s="104"/>
      <c r="Q130" s="104"/>
      <c r="R130" s="104"/>
      <c r="S130" s="104"/>
      <c r="T130" s="104"/>
      <c r="U130" s="104"/>
      <c r="V130" s="104"/>
      <c r="W130" s="104"/>
      <c r="X130" s="104"/>
      <c r="Y130" s="104"/>
      <c r="Z130" s="116"/>
      <c r="AA130" s="116"/>
      <c r="AB130" s="116"/>
      <c r="AC130" s="116"/>
    </row>
    <row r="131" customFormat="false" ht="19.5" hidden="false" customHeight="true" outlineLevel="0" collapsed="false">
      <c r="A131" s="136" t="s">
        <v>620</v>
      </c>
      <c r="B131" s="136"/>
      <c r="C131" s="137"/>
      <c r="D131" s="130" t="n">
        <f aca="false">FALSE()</f>
        <v>0</v>
      </c>
      <c r="E131" s="122" t="s">
        <v>970</v>
      </c>
      <c r="F131" s="136"/>
      <c r="G131" s="119" t="s">
        <v>957</v>
      </c>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row>
    <row r="132" customFormat="false" ht="19.5" hidden="false" customHeight="true" outlineLevel="0" collapsed="false">
      <c r="A132" s="119" t="s">
        <v>166</v>
      </c>
      <c r="B132" s="120" t="str">
        <f aca="false">IFERROR(VLOOKUP(A132,CENTRO!$A$4:$L$548,12,0),"")</f>
        <v>MUITO ATRASADO</v>
      </c>
      <c r="C132" s="121" t="n">
        <f aca="false">IFERROR(VLOOKUP(A132,CENTRO!$A$4:$L$548,11,0),"")</f>
        <v>96.6303501945526</v>
      </c>
      <c r="D132" s="130" t="n">
        <f aca="false">FALSE()</f>
        <v>0</v>
      </c>
      <c r="E132" s="122" t="s">
        <v>918</v>
      </c>
      <c r="F132" s="119"/>
      <c r="G132" s="119" t="s">
        <v>957</v>
      </c>
      <c r="H132" s="104"/>
      <c r="I132" s="104"/>
      <c r="J132" s="104"/>
      <c r="K132" s="104"/>
      <c r="L132" s="104"/>
      <c r="M132" s="104"/>
      <c r="N132" s="104"/>
      <c r="O132" s="104"/>
      <c r="P132" s="104"/>
      <c r="Q132" s="104"/>
      <c r="R132" s="104"/>
      <c r="S132" s="104"/>
      <c r="T132" s="104"/>
      <c r="U132" s="104"/>
      <c r="V132" s="104"/>
      <c r="W132" s="104"/>
      <c r="X132" s="104"/>
      <c r="Y132" s="104"/>
      <c r="Z132" s="116"/>
      <c r="AA132" s="116"/>
      <c r="AB132" s="116"/>
      <c r="AC132" s="116"/>
    </row>
    <row r="133" customFormat="false" ht="19.5" hidden="false" customHeight="true" outlineLevel="0" collapsed="false">
      <c r="A133" s="144" t="s">
        <v>765</v>
      </c>
      <c r="B133" s="120" t="str">
        <f aca="false">IFERROR(VLOOKUP(A133,CENTRO!$A$4:$L$548,12,0),"")</f>
        <v>MUITO ATRASADO</v>
      </c>
      <c r="C133" s="121" t="str">
        <f aca="false">IFERROR(VLOOKUP(A133,CENTRO!$A$4:$L$137,11,0),"")</f>
        <v/>
      </c>
      <c r="D133" s="130" t="n">
        <f aca="false">FALSE()</f>
        <v>0</v>
      </c>
      <c r="E133" s="122" t="s">
        <v>991</v>
      </c>
      <c r="F133" s="119"/>
      <c r="G133" s="119" t="s">
        <v>957</v>
      </c>
      <c r="H133" s="145"/>
      <c r="I133" s="145"/>
      <c r="J133" s="145"/>
      <c r="K133" s="145"/>
      <c r="L133" s="145"/>
      <c r="M133" s="145"/>
      <c r="N133" s="145"/>
      <c r="O133" s="145"/>
      <c r="P133" s="145"/>
      <c r="Q133" s="145"/>
      <c r="R133" s="145"/>
      <c r="S133" s="145"/>
      <c r="T133" s="145"/>
      <c r="U133" s="145"/>
      <c r="V133" s="145"/>
      <c r="W133" s="145"/>
      <c r="X133" s="145"/>
      <c r="Y133" s="145"/>
      <c r="Z133" s="146"/>
      <c r="AA133" s="146"/>
      <c r="AB133" s="146"/>
      <c r="AC133" s="146"/>
    </row>
    <row r="134" customFormat="false" ht="19.5" hidden="false" customHeight="true" outlineLevel="0" collapsed="false">
      <c r="A134" s="119" t="s">
        <v>660</v>
      </c>
      <c r="B134" s="120" t="str">
        <f aca="false">IFERROR(VLOOKUP(A134,CENTRO!$A$4:$L$548,12,0),"")</f>
        <v>MUITO ATRASADO</v>
      </c>
      <c r="C134" s="121" t="str">
        <f aca="false">IFERROR(VLOOKUP(A134,CENTRO!$A$4:$L$137,11,0),"")</f>
        <v/>
      </c>
      <c r="D134" s="130" t="n">
        <f aca="false">FALSE()</f>
        <v>0</v>
      </c>
      <c r="E134" s="122" t="s">
        <v>980</v>
      </c>
      <c r="F134" s="119"/>
      <c r="G134" s="119" t="s">
        <v>957</v>
      </c>
      <c r="H134" s="104"/>
      <c r="I134" s="104"/>
      <c r="J134" s="104"/>
      <c r="K134" s="104"/>
      <c r="L134" s="104"/>
      <c r="M134" s="104"/>
      <c r="N134" s="104"/>
      <c r="O134" s="104"/>
      <c r="P134" s="104"/>
      <c r="Q134" s="104"/>
      <c r="R134" s="104"/>
      <c r="S134" s="104"/>
      <c r="T134" s="104"/>
      <c r="U134" s="104"/>
      <c r="V134" s="104"/>
      <c r="W134" s="104"/>
      <c r="X134" s="104"/>
      <c r="Y134" s="104"/>
      <c r="Z134" s="116"/>
      <c r="AA134" s="116"/>
      <c r="AB134" s="116"/>
      <c r="AC134" s="116"/>
    </row>
    <row r="135" customFormat="false" ht="19.5" hidden="false" customHeight="true" outlineLevel="0" collapsed="false">
      <c r="A135" s="119" t="s">
        <v>559</v>
      </c>
      <c r="B135" s="119"/>
      <c r="C135" s="119"/>
      <c r="D135" s="130" t="n">
        <f aca="false">FALSE()</f>
        <v>0</v>
      </c>
      <c r="E135" s="122" t="s">
        <v>918</v>
      </c>
      <c r="F135" s="119"/>
      <c r="G135" s="119" t="s">
        <v>957</v>
      </c>
      <c r="H135" s="104"/>
      <c r="I135" s="104"/>
      <c r="J135" s="104"/>
      <c r="K135" s="104"/>
      <c r="L135" s="104"/>
      <c r="M135" s="104"/>
      <c r="N135" s="104"/>
      <c r="O135" s="104"/>
      <c r="P135" s="104"/>
      <c r="Q135" s="104"/>
      <c r="R135" s="104"/>
      <c r="S135" s="104"/>
      <c r="T135" s="104"/>
      <c r="U135" s="104"/>
      <c r="V135" s="104"/>
      <c r="W135" s="104"/>
      <c r="X135" s="104"/>
      <c r="Y135" s="104"/>
      <c r="Z135" s="116"/>
      <c r="AA135" s="116"/>
      <c r="AB135" s="116"/>
      <c r="AC135" s="116"/>
    </row>
    <row r="136" customFormat="false" ht="19.5" hidden="false" customHeight="true" outlineLevel="0" collapsed="false">
      <c r="A136" s="119" t="s">
        <v>701</v>
      </c>
      <c r="B136" s="120" t="str">
        <f aca="false">IFERROR(VLOOKUP(A136,CENTRO!$A$4:$L$548,12,0),"")</f>
        <v>MUITO ATRASADO</v>
      </c>
      <c r="C136" s="121" t="str">
        <f aca="false">IFERROR(VLOOKUP(A136,CENTRO!$A$4:$L$137,11,0),"")</f>
        <v/>
      </c>
      <c r="D136" s="130" t="n">
        <f aca="false">FALSE()</f>
        <v>0</v>
      </c>
      <c r="E136" s="122" t="s">
        <v>986</v>
      </c>
      <c r="F136" s="119"/>
      <c r="G136" s="119" t="s">
        <v>957</v>
      </c>
      <c r="H136" s="104"/>
      <c r="I136" s="104"/>
      <c r="J136" s="104"/>
      <c r="K136" s="104"/>
      <c r="L136" s="104"/>
      <c r="M136" s="104"/>
      <c r="N136" s="104"/>
      <c r="O136" s="104"/>
      <c r="P136" s="104"/>
      <c r="Q136" s="104"/>
      <c r="R136" s="104"/>
      <c r="S136" s="104"/>
      <c r="T136" s="104"/>
      <c r="U136" s="104"/>
      <c r="V136" s="104"/>
      <c r="W136" s="104"/>
      <c r="X136" s="104"/>
      <c r="Y136" s="104"/>
      <c r="Z136" s="116"/>
      <c r="AA136" s="116"/>
      <c r="AB136" s="116"/>
      <c r="AC136" s="116"/>
    </row>
    <row r="137" customFormat="false" ht="19.5" hidden="false" customHeight="true" outlineLevel="0" collapsed="false">
      <c r="A137" s="119" t="s">
        <v>562</v>
      </c>
      <c r="B137" s="119"/>
      <c r="C137" s="119"/>
      <c r="D137" s="130" t="n">
        <f aca="false">FALSE()</f>
        <v>0</v>
      </c>
      <c r="E137" s="122" t="s">
        <v>970</v>
      </c>
      <c r="F137" s="119"/>
      <c r="G137" s="119" t="s">
        <v>957</v>
      </c>
      <c r="H137" s="104"/>
      <c r="I137" s="104"/>
      <c r="J137" s="104"/>
      <c r="K137" s="104"/>
      <c r="L137" s="104"/>
      <c r="M137" s="104"/>
      <c r="N137" s="104"/>
      <c r="O137" s="104"/>
      <c r="P137" s="104"/>
      <c r="Q137" s="104"/>
      <c r="R137" s="104"/>
      <c r="S137" s="104"/>
      <c r="T137" s="104"/>
      <c r="U137" s="104"/>
      <c r="V137" s="104"/>
      <c r="W137" s="104"/>
      <c r="X137" s="104"/>
      <c r="Y137" s="104"/>
      <c r="Z137" s="116"/>
      <c r="AA137" s="116"/>
      <c r="AB137" s="116"/>
      <c r="AC137" s="116"/>
    </row>
    <row r="138" customFormat="false" ht="19.5" hidden="false" customHeight="true" outlineLevel="0" collapsed="false">
      <c r="A138" s="119" t="s">
        <v>382</v>
      </c>
      <c r="B138" s="119"/>
      <c r="C138" s="119"/>
      <c r="D138" s="130" t="n">
        <f aca="false">FALSE()</f>
        <v>0</v>
      </c>
      <c r="E138" s="122" t="s">
        <v>970</v>
      </c>
      <c r="F138" s="119"/>
      <c r="G138" s="119" t="s">
        <v>957</v>
      </c>
      <c r="H138" s="104"/>
      <c r="I138" s="104"/>
      <c r="J138" s="104"/>
      <c r="K138" s="104"/>
      <c r="L138" s="104"/>
      <c r="M138" s="104"/>
      <c r="N138" s="104"/>
      <c r="O138" s="104"/>
      <c r="P138" s="104"/>
      <c r="Q138" s="104"/>
      <c r="R138" s="104"/>
      <c r="S138" s="104"/>
      <c r="T138" s="104"/>
      <c r="U138" s="104"/>
      <c r="V138" s="104"/>
      <c r="W138" s="104"/>
      <c r="X138" s="104"/>
      <c r="Y138" s="104"/>
      <c r="Z138" s="116"/>
      <c r="AA138" s="116"/>
      <c r="AB138" s="116"/>
      <c r="AC138" s="116"/>
    </row>
    <row r="139" customFormat="false" ht="15" hidden="false" customHeight="false" outlineLevel="0" collapsed="false">
      <c r="A139" s="119" t="s">
        <v>615</v>
      </c>
      <c r="B139" s="119"/>
      <c r="C139" s="121"/>
      <c r="D139" s="130" t="n">
        <f aca="false">FALSE()</f>
        <v>0</v>
      </c>
      <c r="E139" s="122" t="s">
        <v>992</v>
      </c>
      <c r="F139" s="104"/>
      <c r="G139" s="119" t="s">
        <v>957</v>
      </c>
      <c r="H139" s="104"/>
      <c r="I139" s="104"/>
      <c r="J139" s="104"/>
      <c r="K139" s="104"/>
      <c r="L139" s="104"/>
      <c r="M139" s="104"/>
      <c r="N139" s="104"/>
      <c r="O139" s="104"/>
      <c r="P139" s="104"/>
      <c r="Q139" s="104"/>
      <c r="R139" s="104"/>
      <c r="S139" s="104"/>
      <c r="T139" s="104"/>
      <c r="U139" s="104"/>
      <c r="V139" s="104"/>
      <c r="W139" s="104"/>
      <c r="X139" s="104"/>
      <c r="Y139" s="104"/>
      <c r="Z139" s="114"/>
      <c r="AA139" s="114"/>
      <c r="AB139" s="114"/>
      <c r="AC139" s="114"/>
    </row>
    <row r="140" customFormat="false" ht="15" hidden="false" customHeight="false" outlineLevel="0" collapsed="false">
      <c r="A140" s="119" t="s">
        <v>633</v>
      </c>
      <c r="B140" s="119"/>
      <c r="C140" s="121"/>
      <c r="D140" s="130" t="n">
        <f aca="false">FALSE()</f>
        <v>0</v>
      </c>
      <c r="E140" s="122" t="s">
        <v>930</v>
      </c>
      <c r="F140" s="104"/>
      <c r="G140" s="119" t="s">
        <v>957</v>
      </c>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row>
    <row r="141" customFormat="false" ht="15" hidden="false" customHeight="false" outlineLevel="0" collapsed="false">
      <c r="A141" s="119" t="s">
        <v>626</v>
      </c>
      <c r="B141" s="119"/>
      <c r="C141" s="121"/>
      <c r="D141" s="130" t="n">
        <f aca="false">FALSE()</f>
        <v>0</v>
      </c>
      <c r="E141" s="122" t="s">
        <v>930</v>
      </c>
      <c r="F141" s="104"/>
      <c r="G141" s="119" t="s">
        <v>957</v>
      </c>
      <c r="H141" s="104"/>
      <c r="I141" s="104"/>
      <c r="J141" s="147"/>
      <c r="K141" s="104"/>
      <c r="L141" s="104"/>
      <c r="M141" s="104"/>
      <c r="N141" s="93"/>
      <c r="O141" s="104"/>
      <c r="P141" s="104"/>
      <c r="Q141" s="147"/>
      <c r="R141" s="104"/>
      <c r="S141" s="104"/>
      <c r="T141" s="104"/>
      <c r="U141" s="93"/>
      <c r="V141" s="104"/>
      <c r="W141" s="104"/>
      <c r="X141" s="147"/>
      <c r="Y141" s="104"/>
      <c r="Z141" s="116"/>
      <c r="AA141" s="116"/>
      <c r="AB141" s="148"/>
      <c r="AC141" s="116"/>
    </row>
    <row r="142" customFormat="false" ht="15" hidden="false" customHeight="false" outlineLevel="0" collapsed="false">
      <c r="A142" s="119" t="s">
        <v>601</v>
      </c>
      <c r="B142" s="119"/>
      <c r="C142" s="121"/>
      <c r="D142" s="130" t="n">
        <f aca="false">FALSE()</f>
        <v>0</v>
      </c>
      <c r="E142" s="122" t="s">
        <v>930</v>
      </c>
      <c r="F142" s="104"/>
      <c r="G142" s="119" t="s">
        <v>957</v>
      </c>
      <c r="H142" s="104"/>
      <c r="I142" s="104"/>
      <c r="J142" s="147"/>
      <c r="K142" s="104"/>
      <c r="L142" s="104"/>
      <c r="M142" s="104"/>
      <c r="N142" s="86"/>
      <c r="O142" s="104"/>
      <c r="P142" s="104"/>
      <c r="Q142" s="147"/>
      <c r="R142" s="104"/>
      <c r="S142" s="104"/>
      <c r="T142" s="104"/>
      <c r="U142" s="86"/>
      <c r="V142" s="104"/>
      <c r="W142" s="104"/>
      <c r="X142" s="147"/>
      <c r="Y142" s="104"/>
      <c r="Z142" s="114"/>
      <c r="AA142" s="114"/>
      <c r="AB142" s="149"/>
      <c r="AC142" s="114"/>
    </row>
    <row r="143" customFormat="false" ht="15" hidden="false" customHeight="false" outlineLevel="0" collapsed="false">
      <c r="A143" s="119" t="s">
        <v>118</v>
      </c>
      <c r="B143" s="119"/>
      <c r="C143" s="121"/>
      <c r="D143" s="130" t="n">
        <f aca="false">FALSE()</f>
        <v>0</v>
      </c>
      <c r="E143" s="122" t="s">
        <v>930</v>
      </c>
      <c r="F143" s="104"/>
      <c r="G143" s="119" t="s">
        <v>957</v>
      </c>
      <c r="H143" s="104"/>
      <c r="I143" s="104"/>
      <c r="J143" s="147"/>
      <c r="K143" s="104"/>
      <c r="L143" s="104"/>
      <c r="M143" s="104"/>
      <c r="N143" s="93"/>
      <c r="O143" s="104"/>
      <c r="P143" s="104"/>
      <c r="Q143" s="147"/>
      <c r="R143" s="104"/>
      <c r="S143" s="104"/>
      <c r="T143" s="104"/>
      <c r="U143" s="93"/>
      <c r="V143" s="104"/>
      <c r="W143" s="104"/>
      <c r="X143" s="147"/>
      <c r="Y143" s="104"/>
      <c r="Z143" s="114"/>
      <c r="AA143" s="114"/>
      <c r="AB143" s="150"/>
      <c r="AC143" s="114"/>
    </row>
    <row r="144" customFormat="false" ht="15" hidden="false" customHeight="false" outlineLevel="0" collapsed="false">
      <c r="A144" s="119" t="s">
        <v>993</v>
      </c>
      <c r="B144" s="119"/>
      <c r="C144" s="121"/>
      <c r="D144" s="130" t="n">
        <f aca="false">FALSE()</f>
        <v>0</v>
      </c>
      <c r="E144" s="122" t="s">
        <v>941</v>
      </c>
      <c r="F144" s="104"/>
      <c r="G144" s="119" t="s">
        <v>957</v>
      </c>
      <c r="H144" s="104"/>
      <c r="I144" s="104"/>
      <c r="J144" s="104"/>
      <c r="K144" s="104"/>
      <c r="L144" s="104"/>
      <c r="M144" s="104"/>
      <c r="N144" s="104"/>
      <c r="O144" s="104"/>
      <c r="P144" s="104"/>
      <c r="Q144" s="104"/>
      <c r="R144" s="104"/>
      <c r="S144" s="104"/>
      <c r="T144" s="104"/>
      <c r="U144" s="104"/>
      <c r="V144" s="104"/>
      <c r="W144" s="104"/>
      <c r="X144" s="104"/>
      <c r="Y144" s="104"/>
      <c r="Z144" s="116"/>
      <c r="AA144" s="116"/>
      <c r="AB144" s="116"/>
      <c r="AC144" s="116"/>
    </row>
    <row r="145" customFormat="false" ht="15" hidden="false" customHeight="false" outlineLevel="0" collapsed="false">
      <c r="A145" s="108" t="s">
        <v>557</v>
      </c>
      <c r="B145" s="108"/>
      <c r="C145" s="110"/>
      <c r="D145" s="111" t="n">
        <f aca="false">TRUE()</f>
        <v>1</v>
      </c>
      <c r="E145" s="115" t="s">
        <v>932</v>
      </c>
      <c r="F145" s="108"/>
      <c r="G145" s="108" t="s">
        <v>957</v>
      </c>
      <c r="H145" s="141"/>
      <c r="I145" s="141"/>
      <c r="J145" s="141"/>
      <c r="K145" s="141"/>
      <c r="L145" s="141"/>
      <c r="M145" s="141"/>
      <c r="N145" s="141"/>
      <c r="O145" s="141"/>
      <c r="P145" s="141"/>
      <c r="Q145" s="141"/>
      <c r="R145" s="141"/>
      <c r="S145" s="141"/>
      <c r="T145" s="141"/>
      <c r="U145" s="141"/>
      <c r="V145" s="141"/>
      <c r="W145" s="141"/>
      <c r="X145" s="141"/>
      <c r="Y145" s="141"/>
      <c r="Z145" s="151"/>
      <c r="AA145" s="151"/>
      <c r="AB145" s="151"/>
      <c r="AC145" s="151"/>
    </row>
    <row r="146" customFormat="false" ht="15" hidden="false" customHeight="false" outlineLevel="0" collapsed="false">
      <c r="A146" s="119"/>
      <c r="B146" s="119"/>
      <c r="C146" s="121"/>
      <c r="D146" s="130" t="n">
        <f aca="false">FALSE()</f>
        <v>0</v>
      </c>
      <c r="E146" s="122" t="s">
        <v>930</v>
      </c>
      <c r="F146" s="119"/>
      <c r="G146" s="119" t="s">
        <v>957</v>
      </c>
      <c r="H146" s="104"/>
      <c r="I146" s="104"/>
      <c r="J146" s="104"/>
      <c r="K146" s="104"/>
      <c r="L146" s="104"/>
      <c r="M146" s="104"/>
      <c r="N146" s="104"/>
      <c r="O146" s="104"/>
      <c r="P146" s="104"/>
      <c r="Q146" s="104"/>
      <c r="R146" s="104"/>
      <c r="S146" s="104"/>
      <c r="T146" s="104"/>
      <c r="U146" s="104"/>
      <c r="V146" s="104"/>
      <c r="W146" s="104"/>
      <c r="X146" s="104"/>
      <c r="Y146" s="104"/>
      <c r="Z146" s="114"/>
      <c r="AA146" s="114"/>
      <c r="AB146" s="114"/>
      <c r="AC146" s="114"/>
    </row>
    <row r="147" customFormat="false" ht="15" hidden="false" customHeight="false" outlineLevel="0" collapsed="false">
      <c r="A147" s="119" t="s">
        <v>669</v>
      </c>
      <c r="B147" s="119"/>
      <c r="C147" s="121"/>
      <c r="D147" s="130" t="n">
        <f aca="false">FALSE()</f>
        <v>0</v>
      </c>
      <c r="E147" s="122" t="s">
        <v>930</v>
      </c>
      <c r="F147" s="119"/>
      <c r="G147" s="119" t="s">
        <v>957</v>
      </c>
      <c r="H147" s="104"/>
      <c r="I147" s="104"/>
      <c r="J147" s="104"/>
      <c r="K147" s="104"/>
      <c r="L147" s="104"/>
      <c r="M147" s="104"/>
      <c r="N147" s="104"/>
      <c r="O147" s="104"/>
      <c r="P147" s="104"/>
      <c r="Q147" s="104"/>
      <c r="R147" s="104"/>
      <c r="S147" s="104"/>
      <c r="T147" s="104"/>
      <c r="U147" s="104"/>
      <c r="V147" s="104"/>
      <c r="W147" s="104"/>
      <c r="X147" s="104"/>
      <c r="Y147" s="104"/>
      <c r="Z147" s="116"/>
      <c r="AA147" s="116"/>
      <c r="AB147" s="116"/>
      <c r="AC147" s="116"/>
    </row>
    <row r="148" customFormat="false" ht="15" hidden="false" customHeight="false" outlineLevel="0" collapsed="false">
      <c r="A148" s="119" t="s">
        <v>714</v>
      </c>
      <c r="B148" s="119"/>
      <c r="C148" s="121"/>
      <c r="D148" s="130" t="n">
        <f aca="false">FALSE()</f>
        <v>0</v>
      </c>
      <c r="E148" s="122" t="s">
        <v>930</v>
      </c>
      <c r="F148" s="152"/>
      <c r="G148" s="119" t="s">
        <v>957</v>
      </c>
      <c r="H148" s="104"/>
      <c r="I148" s="104"/>
      <c r="J148" s="104"/>
      <c r="K148" s="104"/>
      <c r="L148" s="104"/>
      <c r="M148" s="104"/>
      <c r="N148" s="104"/>
      <c r="O148" s="104"/>
      <c r="P148" s="104"/>
      <c r="Q148" s="104"/>
      <c r="R148" s="104"/>
      <c r="S148" s="104"/>
      <c r="T148" s="104"/>
      <c r="U148" s="104"/>
      <c r="V148" s="104"/>
      <c r="W148" s="104"/>
      <c r="X148" s="104"/>
      <c r="Y148" s="104"/>
      <c r="Z148" s="116"/>
      <c r="AA148" s="116"/>
      <c r="AB148" s="116"/>
      <c r="AC148" s="116"/>
    </row>
    <row r="149" customFormat="false" ht="15" hidden="false" customHeight="false" outlineLevel="0" collapsed="false">
      <c r="A149" s="119" t="s">
        <v>736</v>
      </c>
      <c r="B149" s="120" t="str">
        <f aca="false">IFERROR(VLOOKUP(A149,CENTRO!$A$4:$L$548,12,0),"")</f>
        <v>MUITO ATRASADO</v>
      </c>
      <c r="C149" s="121" t="n">
        <f aca="false">IFERROR(VLOOKUP(A149,CENTRO!$A$4:$L$548,11,0),"")</f>
        <v>104.617977528089</v>
      </c>
      <c r="D149" s="130" t="n">
        <f aca="false">FALSE()</f>
        <v>0</v>
      </c>
      <c r="E149" s="122" t="s">
        <v>994</v>
      </c>
      <c r="F149" s="152"/>
      <c r="G149" s="119" t="s">
        <v>957</v>
      </c>
      <c r="H149" s="153"/>
      <c r="I149" s="153"/>
      <c r="J149" s="153"/>
      <c r="K149" s="153"/>
      <c r="L149" s="153"/>
      <c r="M149" s="153"/>
      <c r="N149" s="153"/>
      <c r="O149" s="153"/>
      <c r="P149" s="153"/>
      <c r="Q149" s="153"/>
      <c r="R149" s="153"/>
      <c r="S149" s="153"/>
      <c r="T149" s="153"/>
      <c r="U149" s="153"/>
      <c r="V149" s="153"/>
      <c r="W149" s="153"/>
      <c r="X149" s="153"/>
      <c r="Y149" s="153"/>
      <c r="Z149" s="154"/>
      <c r="AA149" s="154"/>
      <c r="AB149" s="154"/>
      <c r="AC149" s="154"/>
    </row>
    <row r="150" customFormat="false" ht="15" hidden="false" customHeight="false" outlineLevel="0" collapsed="false">
      <c r="A150" s="119" t="s">
        <v>589</v>
      </c>
      <c r="B150" s="119"/>
      <c r="C150" s="121"/>
      <c r="D150" s="130" t="n">
        <f aca="false">FALSE()</f>
        <v>0</v>
      </c>
      <c r="E150" s="122" t="s">
        <v>922</v>
      </c>
      <c r="F150" s="152"/>
      <c r="G150" s="119" t="s">
        <v>957</v>
      </c>
      <c r="H150" s="153"/>
      <c r="I150" s="153"/>
      <c r="J150" s="153"/>
      <c r="K150" s="153"/>
      <c r="L150" s="153"/>
      <c r="M150" s="153"/>
      <c r="N150" s="153"/>
      <c r="O150" s="153"/>
      <c r="P150" s="153"/>
      <c r="Q150" s="153"/>
      <c r="R150" s="153"/>
      <c r="S150" s="153"/>
      <c r="T150" s="153"/>
      <c r="U150" s="153"/>
      <c r="V150" s="153"/>
      <c r="W150" s="153"/>
      <c r="X150" s="153"/>
      <c r="Y150" s="153"/>
      <c r="Z150" s="155"/>
      <c r="AA150" s="155"/>
      <c r="AB150" s="155"/>
      <c r="AC150" s="155"/>
    </row>
    <row r="151" customFormat="false" ht="15" hidden="false" customHeight="false" outlineLevel="0" collapsed="false">
      <c r="A151" s="119" t="s">
        <v>481</v>
      </c>
      <c r="B151" s="120" t="str">
        <f aca="false">IFERROR(VLOOKUP(A151,CENTRO!$A$4:$L$548,12,0),"")</f>
        <v>MUITO ATRASADO</v>
      </c>
      <c r="C151" s="121" t="n">
        <f aca="false">IFERROR(VLOOKUP(A151,CENTRO!$A$4:$L$548,11,0),"")</f>
        <v>151.833584337349</v>
      </c>
      <c r="D151" s="130" t="n">
        <f aca="false">FALSE()</f>
        <v>0</v>
      </c>
      <c r="E151" s="122" t="s">
        <v>995</v>
      </c>
      <c r="F151" s="119"/>
      <c r="G151" s="119" t="s">
        <v>957</v>
      </c>
      <c r="H151" s="104"/>
      <c r="I151" s="104"/>
      <c r="J151" s="104"/>
      <c r="K151" s="104"/>
      <c r="L151" s="104"/>
      <c r="M151" s="104"/>
      <c r="N151" s="104"/>
      <c r="O151" s="104"/>
      <c r="P151" s="104"/>
      <c r="Q151" s="104"/>
      <c r="R151" s="104"/>
      <c r="S151" s="104"/>
      <c r="T151" s="104"/>
      <c r="U151" s="104"/>
      <c r="V151" s="104"/>
      <c r="W151" s="104"/>
      <c r="X151" s="104"/>
      <c r="Y151" s="104"/>
      <c r="Z151" s="114"/>
      <c r="AA151" s="114"/>
      <c r="AB151" s="114"/>
      <c r="AC151" s="114"/>
    </row>
    <row r="152" customFormat="false" ht="15" hidden="false" customHeight="false" outlineLevel="0" collapsed="false">
      <c r="A152" s="119" t="s">
        <v>806</v>
      </c>
      <c r="B152" s="120" t="str">
        <f aca="false">IFERROR(VLOOKUP(A152,CENTRO!$A$4:$L$548,12,0),"")</f>
        <v>MUITO ATRASADO</v>
      </c>
      <c r="C152" s="121" t="n">
        <f aca="false">IFERROR(VLOOKUP(A152,CENTRO!$A$4:$L$548,11,0),"")</f>
        <v>132.274509803921</v>
      </c>
      <c r="D152" s="130" t="n">
        <f aca="false">FALSE()</f>
        <v>0</v>
      </c>
      <c r="E152" s="122" t="s">
        <v>923</v>
      </c>
      <c r="F152" s="119"/>
      <c r="G152" s="119" t="s">
        <v>957</v>
      </c>
      <c r="H152" s="104"/>
      <c r="I152" s="104"/>
      <c r="J152" s="104"/>
      <c r="K152" s="104"/>
      <c r="L152" s="104"/>
      <c r="M152" s="104"/>
      <c r="N152" s="104"/>
      <c r="O152" s="104"/>
      <c r="P152" s="104"/>
      <c r="Q152" s="104"/>
      <c r="R152" s="104"/>
      <c r="S152" s="104"/>
      <c r="T152" s="104"/>
      <c r="U152" s="104"/>
      <c r="V152" s="104"/>
      <c r="W152" s="104"/>
      <c r="X152" s="104"/>
      <c r="Y152" s="104"/>
      <c r="Z152" s="114"/>
      <c r="AA152" s="114"/>
      <c r="AB152" s="114"/>
      <c r="AC152" s="114"/>
    </row>
    <row r="153" customFormat="false" ht="15" hidden="false" customHeight="false" outlineLevel="0" collapsed="false">
      <c r="A153" s="119" t="s">
        <v>996</v>
      </c>
      <c r="B153" s="120" t="str">
        <f aca="false">IFERROR(VLOOKUP(A153,CENTRO!$A$4:$L$548,12,0),"")</f>
        <v/>
      </c>
      <c r="C153" s="121" t="str">
        <f aca="false">IFERROR(VLOOKUP(A153,CENTRO!$A$4:$L$548,11,0),"")</f>
        <v/>
      </c>
      <c r="D153" s="130" t="n">
        <f aca="false">FALSE()</f>
        <v>0</v>
      </c>
      <c r="E153" s="122" t="s">
        <v>970</v>
      </c>
      <c r="F153" s="119"/>
      <c r="G153" s="119" t="s">
        <v>957</v>
      </c>
      <c r="H153" s="104"/>
      <c r="I153" s="104"/>
      <c r="J153" s="104"/>
      <c r="K153" s="104"/>
      <c r="L153" s="104"/>
      <c r="M153" s="104"/>
      <c r="N153" s="104"/>
      <c r="O153" s="104"/>
      <c r="P153" s="104"/>
      <c r="Q153" s="104"/>
      <c r="R153" s="104"/>
      <c r="S153" s="104"/>
      <c r="T153" s="104"/>
      <c r="U153" s="104"/>
      <c r="V153" s="104"/>
      <c r="W153" s="104"/>
      <c r="X153" s="104"/>
      <c r="Y153" s="104"/>
      <c r="Z153" s="114"/>
      <c r="AA153" s="114"/>
      <c r="AB153" s="114"/>
      <c r="AC153" s="114"/>
    </row>
    <row r="154" customFormat="false" ht="15" hidden="false" customHeight="false" outlineLevel="0" collapsed="false">
      <c r="A154" s="119" t="s">
        <v>732</v>
      </c>
      <c r="B154" s="119"/>
      <c r="C154" s="121"/>
      <c r="D154" s="130" t="n">
        <f aca="false">FALSE()</f>
        <v>0</v>
      </c>
      <c r="E154" s="122" t="s">
        <v>997</v>
      </c>
      <c r="F154" s="119"/>
      <c r="G154" s="119" t="s">
        <v>957</v>
      </c>
      <c r="H154" s="145"/>
      <c r="I154" s="145"/>
      <c r="J154" s="145"/>
      <c r="K154" s="145"/>
      <c r="L154" s="145"/>
      <c r="M154" s="145"/>
      <c r="N154" s="145"/>
      <c r="O154" s="145"/>
      <c r="P154" s="145"/>
      <c r="Q154" s="145"/>
      <c r="R154" s="145"/>
      <c r="S154" s="145"/>
      <c r="T154" s="145"/>
      <c r="U154" s="145"/>
      <c r="V154" s="145"/>
      <c r="W154" s="145"/>
      <c r="X154" s="145"/>
      <c r="Y154" s="145"/>
      <c r="Z154" s="156"/>
      <c r="AA154" s="156"/>
      <c r="AB154" s="156"/>
      <c r="AC154" s="156"/>
    </row>
    <row r="155" customFormat="false" ht="15" hidden="false" customHeight="false" outlineLevel="0" collapsed="false">
      <c r="A155" s="119" t="s">
        <v>614</v>
      </c>
      <c r="B155" s="119"/>
      <c r="C155" s="119"/>
      <c r="D155" s="130" t="n">
        <f aca="false">FALSE()</f>
        <v>0</v>
      </c>
      <c r="E155" s="122" t="s">
        <v>998</v>
      </c>
      <c r="F155" s="119"/>
      <c r="G155" s="119" t="s">
        <v>957</v>
      </c>
      <c r="H155" s="104"/>
      <c r="I155" s="104"/>
      <c r="J155" s="104"/>
      <c r="K155" s="104"/>
      <c r="L155" s="104"/>
      <c r="M155" s="104"/>
      <c r="N155" s="104"/>
      <c r="O155" s="104"/>
      <c r="P155" s="104"/>
      <c r="Q155" s="104"/>
      <c r="R155" s="104"/>
      <c r="S155" s="104"/>
      <c r="T155" s="104"/>
      <c r="U155" s="104"/>
      <c r="V155" s="104"/>
      <c r="W155" s="104"/>
      <c r="X155" s="104"/>
      <c r="Y155" s="104"/>
      <c r="Z155" s="114"/>
      <c r="AA155" s="114"/>
      <c r="AB155" s="114"/>
      <c r="AC155" s="114"/>
    </row>
    <row r="156" customFormat="false" ht="15" hidden="false" customHeight="false" outlineLevel="0" collapsed="false">
      <c r="A156" s="119" t="s">
        <v>659</v>
      </c>
      <c r="B156" s="120" t="str">
        <f aca="false">IFERROR(VLOOKUP(A156,CENTRO!$A$4:$L$548,12,0),"")</f>
        <v>MUITO ATRASADO</v>
      </c>
      <c r="C156" s="121" t="n">
        <f aca="false">IFERROR(VLOOKUP(A156,CENTRO!$A$4:$L$548,11,0),"")</f>
        <v>108.23339658444</v>
      </c>
      <c r="D156" s="130" t="n">
        <f aca="false">FALSE()</f>
        <v>0</v>
      </c>
      <c r="E156" s="122" t="s">
        <v>918</v>
      </c>
      <c r="F156" s="119"/>
      <c r="G156" s="119" t="s">
        <v>957</v>
      </c>
      <c r="H156" s="104"/>
      <c r="I156" s="104"/>
      <c r="J156" s="104"/>
      <c r="K156" s="104"/>
      <c r="L156" s="104"/>
      <c r="M156" s="104"/>
      <c r="N156" s="104"/>
      <c r="O156" s="104"/>
      <c r="P156" s="104"/>
      <c r="Q156" s="104"/>
      <c r="R156" s="104"/>
      <c r="S156" s="104"/>
      <c r="T156" s="104"/>
      <c r="U156" s="104"/>
      <c r="V156" s="104"/>
      <c r="W156" s="104"/>
      <c r="X156" s="104"/>
      <c r="Y156" s="104"/>
      <c r="Z156" s="118"/>
      <c r="AA156" s="118"/>
      <c r="AB156" s="118"/>
      <c r="AC156" s="118"/>
    </row>
    <row r="157" customFormat="false" ht="15" hidden="false" customHeight="false" outlineLevel="0" collapsed="false">
      <c r="A157" s="119" t="s">
        <v>46</v>
      </c>
      <c r="B157" s="120" t="str">
        <f aca="false">IFERROR(VLOOKUP(A157,CENTRO!$A$4:$L$548,12,0),"")</f>
        <v>MUITO ATRASADO</v>
      </c>
      <c r="C157" s="121" t="str">
        <f aca="false">IFERROR(VLOOKUP(A157,CENTRO!$A$4:$L$137,11,0),"")</f>
        <v/>
      </c>
      <c r="D157" s="130" t="n">
        <f aca="false">FALSE()</f>
        <v>0</v>
      </c>
      <c r="E157" s="122" t="s">
        <v>999</v>
      </c>
      <c r="F157" s="119"/>
      <c r="G157" s="119" t="s">
        <v>957</v>
      </c>
      <c r="H157" s="104"/>
      <c r="I157" s="104"/>
      <c r="J157" s="104"/>
      <c r="K157" s="104"/>
      <c r="L157" s="104"/>
      <c r="M157" s="104"/>
      <c r="N157" s="104"/>
      <c r="O157" s="104"/>
      <c r="P157" s="104"/>
      <c r="Q157" s="104"/>
      <c r="R157" s="104"/>
      <c r="S157" s="104"/>
      <c r="T157" s="104"/>
      <c r="U157" s="104"/>
      <c r="V157" s="104"/>
      <c r="W157" s="104"/>
      <c r="X157" s="104"/>
      <c r="Y157" s="104"/>
      <c r="Z157" s="116"/>
      <c r="AA157" s="116"/>
      <c r="AB157" s="116"/>
      <c r="AC157" s="116"/>
    </row>
    <row r="158" customFormat="false" ht="15" hidden="false" customHeight="false" outlineLevel="0" collapsed="false">
      <c r="A158" s="119" t="s">
        <v>657</v>
      </c>
      <c r="B158" s="120" t="str">
        <f aca="false">IFERROR(VLOOKUP(A158,CENTRO!$A$4:$L$548,12,0),"")</f>
        <v>MUITO ATRASADO</v>
      </c>
      <c r="C158" s="121" t="n">
        <f aca="false">IFERROR(VLOOKUP(A158,CENTRO!$A$4:$L$548,11,0),"")</f>
        <v>192.549132947977</v>
      </c>
      <c r="D158" s="130" t="n">
        <f aca="false">FALSE()</f>
        <v>0</v>
      </c>
      <c r="E158" s="122" t="s">
        <v>932</v>
      </c>
      <c r="F158" s="119"/>
      <c r="G158" s="119" t="s">
        <v>957</v>
      </c>
      <c r="H158" s="104"/>
      <c r="I158" s="104"/>
      <c r="J158" s="104"/>
      <c r="K158" s="104"/>
      <c r="L158" s="104"/>
      <c r="M158" s="104"/>
      <c r="N158" s="104"/>
      <c r="O158" s="104"/>
      <c r="P158" s="104"/>
      <c r="Q158" s="104"/>
      <c r="R158" s="104"/>
      <c r="S158" s="104"/>
      <c r="T158" s="104"/>
      <c r="U158" s="104"/>
      <c r="V158" s="104"/>
      <c r="W158" s="104"/>
      <c r="X158" s="104"/>
      <c r="Y158" s="104"/>
      <c r="Z158" s="114"/>
      <c r="AA158" s="114"/>
      <c r="AB158" s="114"/>
      <c r="AC158" s="114"/>
    </row>
    <row r="159" customFormat="false" ht="15" hidden="false" customHeight="false" outlineLevel="0" collapsed="false">
      <c r="A159" s="119" t="s">
        <v>246</v>
      </c>
      <c r="B159" s="119"/>
      <c r="C159" s="121"/>
      <c r="D159" s="130" t="n">
        <f aca="false">FALSE()</f>
        <v>0</v>
      </c>
      <c r="E159" s="122" t="s">
        <v>930</v>
      </c>
      <c r="F159" s="119"/>
      <c r="G159" s="119" t="s">
        <v>957</v>
      </c>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row>
    <row r="160" customFormat="false" ht="15" hidden="false" customHeight="false" outlineLevel="0" collapsed="false">
      <c r="A160" s="119" t="s">
        <v>574</v>
      </c>
      <c r="B160" s="120" t="str">
        <f aca="false">IFERROR(VLOOKUP(A160,CENTRO!$A$4:$L$548,12,0),"")</f>
        <v>MUITO ATRASADO</v>
      </c>
      <c r="C160" s="121" t="n">
        <f aca="false">IFERROR(VLOOKUP(A160,CENTRO!$A$4:$L$548,11,0),"")</f>
        <v>102.286987522282</v>
      </c>
      <c r="D160" s="130" t="n">
        <f aca="false">FALSE()</f>
        <v>0</v>
      </c>
      <c r="E160" s="122" t="s">
        <v>970</v>
      </c>
      <c r="F160" s="119"/>
      <c r="G160" s="119" t="s">
        <v>957</v>
      </c>
      <c r="H160" s="104"/>
      <c r="I160" s="104"/>
      <c r="J160" s="104"/>
      <c r="K160" s="104"/>
      <c r="L160" s="104"/>
      <c r="M160" s="104"/>
      <c r="N160" s="104"/>
      <c r="O160" s="104"/>
      <c r="P160" s="104"/>
      <c r="Q160" s="104"/>
      <c r="R160" s="104"/>
      <c r="S160" s="104"/>
      <c r="T160" s="104"/>
      <c r="U160" s="104"/>
      <c r="V160" s="104"/>
      <c r="W160" s="104"/>
      <c r="X160" s="104"/>
      <c r="Y160" s="104"/>
      <c r="Z160" s="114"/>
      <c r="AA160" s="114"/>
      <c r="AB160" s="114"/>
      <c r="AC160" s="114"/>
    </row>
    <row r="161" customFormat="false" ht="15" hidden="false" customHeight="false" outlineLevel="0" collapsed="false">
      <c r="A161" s="119" t="s">
        <v>672</v>
      </c>
      <c r="B161" s="119"/>
      <c r="C161" s="119"/>
      <c r="D161" s="130" t="n">
        <f aca="false">FALSE()</f>
        <v>0</v>
      </c>
      <c r="E161" s="122" t="s">
        <v>930</v>
      </c>
      <c r="F161" s="119"/>
      <c r="G161" s="119" t="s">
        <v>957</v>
      </c>
      <c r="H161" s="104"/>
      <c r="I161" s="104"/>
      <c r="J161" s="104"/>
      <c r="K161" s="104"/>
      <c r="L161" s="104"/>
      <c r="M161" s="104"/>
      <c r="N161" s="104"/>
      <c r="O161" s="104"/>
      <c r="P161" s="104"/>
      <c r="Q161" s="104"/>
      <c r="R161" s="104"/>
      <c r="S161" s="104"/>
      <c r="T161" s="104"/>
      <c r="U161" s="104"/>
      <c r="V161" s="104"/>
      <c r="W161" s="104"/>
      <c r="X161" s="104"/>
      <c r="Y161" s="104"/>
      <c r="Z161" s="114"/>
      <c r="AA161" s="114"/>
      <c r="AB161" s="114"/>
      <c r="AC161" s="114"/>
    </row>
    <row r="162" customFormat="false" ht="15" hidden="false" customHeight="false" outlineLevel="0" collapsed="false">
      <c r="A162" s="119" t="s">
        <v>708</v>
      </c>
      <c r="B162" s="120" t="str">
        <f aca="false">IFERROR(VLOOKUP(A162,CENTRO!$A$4:$L$548,12,0),"")</f>
        <v>MUITO ATRASADO</v>
      </c>
      <c r="C162" s="121" t="n">
        <f aca="false">IFERROR(VLOOKUP(A162,CENTRO!$A$4:$L$548,11,0),"")</f>
        <v>91.6976320582878</v>
      </c>
      <c r="D162" s="130" t="n">
        <f aca="false">FALSE()</f>
        <v>0</v>
      </c>
      <c r="E162" s="122" t="s">
        <v>970</v>
      </c>
      <c r="F162" s="119"/>
      <c r="G162" s="119" t="s">
        <v>957</v>
      </c>
      <c r="H162" s="104"/>
      <c r="I162" s="104"/>
      <c r="J162" s="104"/>
      <c r="K162" s="104"/>
      <c r="L162" s="104"/>
      <c r="M162" s="104"/>
      <c r="N162" s="104"/>
      <c r="O162" s="104"/>
      <c r="P162" s="104"/>
      <c r="Q162" s="104"/>
      <c r="R162" s="104"/>
      <c r="S162" s="104"/>
      <c r="T162" s="104"/>
      <c r="U162" s="104"/>
      <c r="V162" s="104"/>
      <c r="W162" s="104"/>
      <c r="X162" s="104"/>
      <c r="Y162" s="104"/>
      <c r="Z162" s="114"/>
      <c r="AA162" s="114"/>
      <c r="AB162" s="114"/>
      <c r="AC162" s="114"/>
    </row>
    <row r="163" customFormat="false" ht="15" hidden="false" customHeight="false" outlineLevel="0" collapsed="false">
      <c r="A163" s="119" t="s">
        <v>309</v>
      </c>
      <c r="B163" s="120" t="str">
        <f aca="false">IFERROR(VLOOKUP(A163,CENTRO!$A$4:$L$548,12,0),"")</f>
        <v>MUITO ATRASADO</v>
      </c>
      <c r="C163" s="121" t="n">
        <f aca="false">IFERROR(VLOOKUP(A163,CENTRO!$A$4:$L$548,11,0),"")</f>
        <v>128.46875</v>
      </c>
      <c r="D163" s="130" t="n">
        <f aca="false">FALSE()</f>
        <v>0</v>
      </c>
      <c r="E163" s="122" t="s">
        <v>970</v>
      </c>
      <c r="F163" s="119"/>
      <c r="G163" s="119" t="s">
        <v>957</v>
      </c>
      <c r="H163" s="104"/>
      <c r="I163" s="104"/>
      <c r="J163" s="104"/>
      <c r="K163" s="104"/>
      <c r="L163" s="104"/>
      <c r="M163" s="104"/>
      <c r="N163" s="104"/>
      <c r="O163" s="104"/>
      <c r="P163" s="104"/>
      <c r="Q163" s="104"/>
      <c r="R163" s="104"/>
      <c r="S163" s="104"/>
      <c r="T163" s="104"/>
      <c r="U163" s="104"/>
      <c r="V163" s="104"/>
      <c r="W163" s="104"/>
      <c r="X163" s="104"/>
      <c r="Y163" s="104"/>
      <c r="Z163" s="114"/>
      <c r="AA163" s="114"/>
      <c r="AB163" s="114"/>
      <c r="AC163" s="114"/>
    </row>
    <row r="164" customFormat="false" ht="15.75" hidden="false" customHeight="true" outlineLevel="0" collapsed="false">
      <c r="A164" s="119" t="s">
        <v>812</v>
      </c>
      <c r="B164" s="120" t="str">
        <f aca="false">IFERROR(VLOOKUP(A164,CENTRO!$A$4:$L$548,12,0),"")</f>
        <v>MUITO ATRASADO</v>
      </c>
      <c r="C164" s="121" t="n">
        <f aca="false">IFERROR(VLOOKUP(A164,CENTRO!$A$4:$L$548,11,0),"")</f>
        <v>98.0318257956448</v>
      </c>
      <c r="D164" s="130" t="n">
        <f aca="false">FALSE()</f>
        <v>0</v>
      </c>
      <c r="E164" s="122" t="s">
        <v>970</v>
      </c>
      <c r="F164" s="119"/>
      <c r="G164" s="119" t="s">
        <v>957</v>
      </c>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row>
    <row r="165" customFormat="false" ht="15" hidden="false" customHeight="false" outlineLevel="0" collapsed="false">
      <c r="A165" s="119" t="s">
        <v>369</v>
      </c>
      <c r="B165" s="120" t="str">
        <f aca="false">IFERROR(VLOOKUP(A165,CENTRO!$A$4:$L$548,12,0),"")</f>
        <v>MUITO ATRASADO</v>
      </c>
      <c r="C165" s="121" t="n">
        <f aca="false">IFERROR(VLOOKUP(A165,CENTRO!$A$4:$L$548,11,0),"")</f>
        <v>160.731878409977</v>
      </c>
      <c r="D165" s="130" t="n">
        <f aca="false">FALSE()</f>
        <v>0</v>
      </c>
      <c r="E165" s="122" t="s">
        <v>918</v>
      </c>
      <c r="F165" s="119"/>
      <c r="G165" s="119" t="s">
        <v>957</v>
      </c>
      <c r="H165" s="104"/>
      <c r="I165" s="104"/>
      <c r="J165" s="104"/>
      <c r="K165" s="104"/>
      <c r="L165" s="104"/>
      <c r="M165" s="104"/>
      <c r="N165" s="104"/>
      <c r="O165" s="104"/>
      <c r="P165" s="104"/>
      <c r="Q165" s="104"/>
      <c r="R165" s="104"/>
      <c r="S165" s="104"/>
      <c r="T165" s="104"/>
      <c r="U165" s="104"/>
      <c r="V165" s="104"/>
      <c r="W165" s="104"/>
      <c r="X165" s="104"/>
      <c r="Y165" s="104"/>
      <c r="Z165" s="116"/>
      <c r="AA165" s="116"/>
      <c r="AB165" s="116"/>
      <c r="AC165" s="116"/>
    </row>
    <row r="166" customFormat="false" ht="17.25" hidden="false" customHeight="true" outlineLevel="0" collapsed="false">
      <c r="A166" s="119" t="s">
        <v>344</v>
      </c>
      <c r="B166" s="120" t="str">
        <f aca="false">IFERROR(VLOOKUP(A166,CENTRO!$A$4:$L$548,12,0),"")</f>
        <v>MUITO ATRASADO</v>
      </c>
      <c r="C166" s="121" t="n">
        <f aca="false">IFERROR(VLOOKUP(A166,CENTRO!$A$4:$L$548,11,0),"")</f>
        <v>162.80346175321</v>
      </c>
      <c r="D166" s="130" t="n">
        <f aca="false">FALSE()</f>
        <v>0</v>
      </c>
      <c r="E166" s="122" t="s">
        <v>970</v>
      </c>
      <c r="F166" s="119"/>
      <c r="G166" s="119" t="s">
        <v>957</v>
      </c>
      <c r="H166" s="104"/>
      <c r="I166" s="104"/>
      <c r="J166" s="104"/>
      <c r="K166" s="104"/>
      <c r="L166" s="104"/>
      <c r="M166" s="104"/>
      <c r="N166" s="104"/>
      <c r="O166" s="104"/>
      <c r="P166" s="104"/>
      <c r="Q166" s="104"/>
      <c r="R166" s="104"/>
      <c r="S166" s="104"/>
      <c r="T166" s="104"/>
      <c r="U166" s="104"/>
      <c r="V166" s="104"/>
      <c r="W166" s="104"/>
      <c r="X166" s="104"/>
      <c r="Y166" s="104"/>
      <c r="Z166" s="114"/>
      <c r="AA166" s="114"/>
      <c r="AB166" s="114"/>
      <c r="AC166" s="114"/>
    </row>
    <row r="167" customFormat="false" ht="15" hidden="false" customHeight="false" outlineLevel="0" collapsed="false">
      <c r="A167" s="119" t="s">
        <v>799</v>
      </c>
      <c r="B167" s="120" t="str">
        <f aca="false">IFERROR(VLOOKUP(A167,CENTRO!$A$4:$L$548,12,0),"")</f>
        <v>MUITO ATRASADO</v>
      </c>
      <c r="C167" s="121" t="str">
        <f aca="false">IFERROR(VLOOKUP(A167,CENTRO!$A$4:$L$137,11,0),"")</f>
        <v/>
      </c>
      <c r="D167" s="130" t="n">
        <f aca="false">FALSE()</f>
        <v>0</v>
      </c>
      <c r="E167" s="122" t="s">
        <v>918</v>
      </c>
      <c r="F167" s="119"/>
      <c r="G167" s="119" t="s">
        <v>957</v>
      </c>
      <c r="H167" s="104"/>
      <c r="I167" s="104"/>
      <c r="J167" s="104"/>
      <c r="K167" s="104"/>
      <c r="L167" s="104"/>
      <c r="M167" s="104"/>
      <c r="N167" s="104"/>
      <c r="O167" s="104"/>
      <c r="P167" s="104"/>
      <c r="Q167" s="104"/>
      <c r="R167" s="104"/>
      <c r="S167" s="104"/>
      <c r="T167" s="104"/>
      <c r="U167" s="104"/>
      <c r="V167" s="104"/>
      <c r="W167" s="104"/>
      <c r="X167" s="104"/>
      <c r="Y167" s="104"/>
      <c r="Z167" s="116"/>
      <c r="AA167" s="116"/>
      <c r="AB167" s="116"/>
      <c r="AC167" s="116"/>
    </row>
    <row r="168" customFormat="false" ht="15" hidden="false" customHeight="false" outlineLevel="0" collapsed="false">
      <c r="A168" s="119" t="s">
        <v>394</v>
      </c>
      <c r="B168" s="120" t="str">
        <f aca="false">IFERROR(VLOOKUP(A168,CENTRO!$A$4:$L$548,12,0),"")</f>
        <v>MUITO ATRASADO</v>
      </c>
      <c r="C168" s="121" t="str">
        <f aca="false">IFERROR(VLOOKUP(A168,CENTRO!$A$4:$L$137,11,0),"")</f>
        <v/>
      </c>
      <c r="D168" s="130" t="n">
        <f aca="false">FALSE()</f>
        <v>0</v>
      </c>
      <c r="E168" s="122" t="s">
        <v>918</v>
      </c>
      <c r="F168" s="119"/>
      <c r="G168" s="119" t="s">
        <v>957</v>
      </c>
      <c r="H168" s="104"/>
      <c r="I168" s="104"/>
      <c r="J168" s="104"/>
      <c r="K168" s="104"/>
      <c r="L168" s="104"/>
      <c r="M168" s="104"/>
      <c r="N168" s="104"/>
      <c r="O168" s="104"/>
      <c r="P168" s="104"/>
      <c r="Q168" s="104"/>
      <c r="R168" s="104"/>
      <c r="S168" s="104"/>
      <c r="T168" s="104"/>
      <c r="U168" s="104"/>
      <c r="V168" s="104"/>
      <c r="W168" s="104"/>
      <c r="X168" s="104"/>
      <c r="Y168" s="104"/>
      <c r="Z168" s="116"/>
      <c r="AA168" s="116"/>
      <c r="AB168" s="116"/>
      <c r="AC168" s="116"/>
    </row>
    <row r="169" customFormat="false" ht="15" hidden="false" customHeight="false" outlineLevel="0" collapsed="false">
      <c r="A169" s="119" t="s">
        <v>1000</v>
      </c>
      <c r="B169" s="119"/>
      <c r="C169" s="121"/>
      <c r="D169" s="130" t="n">
        <f aca="false">FALSE()</f>
        <v>0</v>
      </c>
      <c r="E169" s="122" t="s">
        <v>922</v>
      </c>
      <c r="F169" s="119"/>
      <c r="G169" s="119" t="s">
        <v>957</v>
      </c>
      <c r="H169" s="104"/>
      <c r="I169" s="104"/>
      <c r="J169" s="104"/>
      <c r="K169" s="104"/>
      <c r="L169" s="104"/>
      <c r="M169" s="104"/>
      <c r="N169" s="104"/>
      <c r="O169" s="104"/>
      <c r="P169" s="104"/>
      <c r="Q169" s="104"/>
      <c r="R169" s="104"/>
      <c r="S169" s="104"/>
      <c r="T169" s="104"/>
      <c r="U169" s="104"/>
      <c r="V169" s="104"/>
      <c r="W169" s="104"/>
      <c r="X169" s="104"/>
      <c r="Y169" s="104"/>
      <c r="Z169" s="114"/>
      <c r="AA169" s="114"/>
      <c r="AB169" s="114"/>
      <c r="AC169" s="114"/>
    </row>
    <row r="170" customFormat="false" ht="15" hidden="false" customHeight="false" outlineLevel="0" collapsed="false">
      <c r="A170" s="119" t="s">
        <v>803</v>
      </c>
      <c r="B170" s="119"/>
      <c r="C170" s="121"/>
      <c r="D170" s="130" t="n">
        <f aca="false">FALSE()</f>
        <v>0</v>
      </c>
      <c r="E170" s="122" t="s">
        <v>1001</v>
      </c>
      <c r="F170" s="119"/>
      <c r="G170" s="119" t="s">
        <v>957</v>
      </c>
      <c r="H170" s="104"/>
      <c r="I170" s="104"/>
      <c r="J170" s="104"/>
      <c r="K170" s="104"/>
      <c r="L170" s="104"/>
      <c r="M170" s="104"/>
      <c r="N170" s="104"/>
      <c r="O170" s="104"/>
      <c r="P170" s="104"/>
      <c r="Q170" s="104"/>
      <c r="R170" s="104"/>
      <c r="S170" s="104"/>
      <c r="T170" s="104"/>
      <c r="U170" s="104"/>
      <c r="V170" s="104"/>
      <c r="W170" s="104"/>
      <c r="X170" s="104"/>
      <c r="Y170" s="104"/>
      <c r="Z170" s="114"/>
      <c r="AA170" s="114"/>
      <c r="AB170" s="114"/>
      <c r="AC170" s="114"/>
    </row>
    <row r="171" customFormat="false" ht="15" hidden="false" customHeight="false" outlineLevel="0" collapsed="false">
      <c r="A171" s="119" t="s">
        <v>709</v>
      </c>
      <c r="B171" s="120" t="str">
        <f aca="false">IFERROR(VLOOKUP(A171,CENTRO!$A$4:$L$548,12,0),"")</f>
        <v>MUITO ATRASADO</v>
      </c>
      <c r="C171" s="121" t="str">
        <f aca="false">IFERROR(VLOOKUP(A171,CENTRO!$A$4:$L$137,11,0),"")</f>
        <v/>
      </c>
      <c r="D171" s="130" t="n">
        <f aca="false">FALSE()</f>
        <v>0</v>
      </c>
      <c r="E171" s="122" t="s">
        <v>1002</v>
      </c>
      <c r="F171" s="119"/>
      <c r="G171" s="119" t="s">
        <v>957</v>
      </c>
      <c r="H171" s="104"/>
      <c r="I171" s="104"/>
      <c r="J171" s="104"/>
      <c r="K171" s="104"/>
      <c r="L171" s="104"/>
      <c r="M171" s="104"/>
      <c r="N171" s="104"/>
      <c r="O171" s="104"/>
      <c r="P171" s="104"/>
      <c r="Q171" s="104"/>
      <c r="R171" s="104"/>
      <c r="S171" s="104"/>
      <c r="T171" s="104"/>
      <c r="U171" s="104"/>
      <c r="V171" s="104"/>
      <c r="W171" s="104"/>
      <c r="X171" s="104"/>
      <c r="Y171" s="104"/>
      <c r="Z171" s="116"/>
      <c r="AA171" s="104" t="s">
        <v>941</v>
      </c>
      <c r="AB171" s="116"/>
      <c r="AC171" s="116"/>
    </row>
    <row r="172" customFormat="false" ht="17.25" hidden="false" customHeight="true" outlineLevel="0" collapsed="false">
      <c r="A172" s="119" t="s">
        <v>656</v>
      </c>
      <c r="B172" s="120" t="str">
        <f aca="false">IFERROR(VLOOKUP(A172,CENTRO!$A$4:$L$548,12,0),"")</f>
        <v>MUITO ATRASADO</v>
      </c>
      <c r="C172" s="121" t="n">
        <f aca="false">IFERROR(VLOOKUP(A172,CENTRO!$A$4:$L$548,11,0),"")</f>
        <v>128.874613003096</v>
      </c>
      <c r="D172" s="130" t="n">
        <f aca="false">FALSE()</f>
        <v>0</v>
      </c>
      <c r="E172" s="122" t="s">
        <v>970</v>
      </c>
      <c r="F172" s="119"/>
      <c r="G172" s="119" t="s">
        <v>957</v>
      </c>
      <c r="H172" s="104"/>
      <c r="I172" s="104"/>
      <c r="J172" s="104"/>
      <c r="K172" s="104"/>
      <c r="L172" s="104"/>
      <c r="M172" s="104"/>
      <c r="N172" s="104"/>
      <c r="O172" s="104"/>
      <c r="P172" s="104"/>
      <c r="Q172" s="104"/>
      <c r="R172" s="104"/>
      <c r="S172" s="104"/>
      <c r="T172" s="104"/>
      <c r="U172" s="104"/>
      <c r="V172" s="104"/>
      <c r="W172" s="104"/>
      <c r="X172" s="104"/>
      <c r="Y172" s="104"/>
      <c r="Z172" s="116"/>
      <c r="AA172" s="104" t="s">
        <v>992</v>
      </c>
      <c r="AB172" s="116"/>
      <c r="AC172" s="116"/>
    </row>
    <row r="173" customFormat="false" ht="15" hidden="false" customHeight="false" outlineLevel="0" collapsed="false">
      <c r="A173" s="119" t="s">
        <v>256</v>
      </c>
      <c r="B173" s="120" t="str">
        <f aca="false">IFERROR(VLOOKUP(A173,CENTRO!$A$4:$L$548,12,0),"")</f>
        <v>MUITO ATRASADO</v>
      </c>
      <c r="C173" s="121" t="n">
        <f aca="false">IFERROR(VLOOKUP(A173,CENTRO!$A$4:$L$137,11,0),"")</f>
        <v>199.546574287913</v>
      </c>
      <c r="D173" s="130" t="n">
        <f aca="false">FALSE()</f>
        <v>0</v>
      </c>
      <c r="E173" s="122" t="s">
        <v>970</v>
      </c>
      <c r="F173" s="119"/>
      <c r="G173" s="119" t="s">
        <v>957</v>
      </c>
      <c r="H173" s="104"/>
      <c r="I173" s="104"/>
      <c r="J173" s="104"/>
      <c r="K173" s="104"/>
      <c r="L173" s="104"/>
      <c r="M173" s="104"/>
      <c r="N173" s="104"/>
      <c r="O173" s="104"/>
      <c r="P173" s="104"/>
      <c r="Q173" s="104"/>
      <c r="R173" s="104"/>
      <c r="S173" s="104"/>
      <c r="T173" s="104"/>
      <c r="U173" s="104"/>
      <c r="V173" s="104"/>
      <c r="W173" s="104"/>
      <c r="X173" s="104"/>
      <c r="Y173" s="104"/>
      <c r="Z173" s="114"/>
      <c r="AA173" s="104" t="s">
        <v>921</v>
      </c>
      <c r="AB173" s="114"/>
      <c r="AC173" s="114"/>
    </row>
    <row r="174" customFormat="false" ht="15" hidden="false" customHeight="false" outlineLevel="0" collapsed="false">
      <c r="A174" s="119" t="s">
        <v>822</v>
      </c>
      <c r="B174" s="119"/>
      <c r="C174" s="121"/>
      <c r="D174" s="130" t="n">
        <f aca="false">FALSE()</f>
        <v>0</v>
      </c>
      <c r="E174" s="122" t="s">
        <v>930</v>
      </c>
      <c r="F174" s="119"/>
      <c r="G174" s="119" t="s">
        <v>957</v>
      </c>
      <c r="H174" s="104"/>
      <c r="I174" s="104"/>
      <c r="J174" s="104"/>
      <c r="K174" s="104"/>
      <c r="L174" s="104"/>
      <c r="M174" s="104"/>
      <c r="N174" s="104"/>
      <c r="O174" s="104"/>
      <c r="P174" s="104"/>
      <c r="Q174" s="104"/>
      <c r="R174" s="104"/>
      <c r="S174" s="104"/>
      <c r="T174" s="104"/>
      <c r="U174" s="104"/>
      <c r="V174" s="104"/>
      <c r="W174" s="104"/>
      <c r="X174" s="104"/>
      <c r="Y174" s="104"/>
      <c r="Z174" s="114"/>
      <c r="AA174" s="104" t="s">
        <v>1003</v>
      </c>
      <c r="AB174" s="114"/>
      <c r="AC174" s="114"/>
    </row>
    <row r="175" customFormat="false" ht="15" hidden="false" customHeight="false" outlineLevel="0" collapsed="false">
      <c r="A175" s="119" t="s">
        <v>841</v>
      </c>
      <c r="B175" s="119"/>
      <c r="C175" s="121"/>
      <c r="D175" s="130" t="n">
        <f aca="false">FALSE()</f>
        <v>0</v>
      </c>
      <c r="E175" s="122" t="s">
        <v>1004</v>
      </c>
      <c r="F175" s="119"/>
      <c r="G175" s="119" t="s">
        <v>957</v>
      </c>
      <c r="H175" s="104"/>
      <c r="I175" s="104"/>
      <c r="J175" s="104"/>
      <c r="K175" s="104"/>
      <c r="L175" s="104"/>
      <c r="M175" s="104"/>
      <c r="N175" s="104"/>
      <c r="O175" s="104"/>
      <c r="P175" s="104"/>
      <c r="Q175" s="104"/>
      <c r="R175" s="104"/>
      <c r="S175" s="104"/>
      <c r="T175" s="104"/>
      <c r="U175" s="104"/>
      <c r="V175" s="104"/>
      <c r="W175" s="104"/>
      <c r="X175" s="104"/>
      <c r="Y175" s="104"/>
      <c r="Z175" s="104"/>
      <c r="AA175" s="104" t="s">
        <v>1005</v>
      </c>
      <c r="AB175" s="104"/>
      <c r="AC175" s="104"/>
    </row>
    <row r="176" customFormat="false" ht="15" hidden="false" customHeight="false" outlineLevel="0" collapsed="false">
      <c r="A176" s="119" t="s">
        <v>842</v>
      </c>
      <c r="B176" s="119"/>
      <c r="C176" s="121"/>
      <c r="D176" s="130" t="n">
        <f aca="false">FALSE()</f>
        <v>0</v>
      </c>
      <c r="E176" s="122" t="s">
        <v>1006</v>
      </c>
      <c r="F176" s="119"/>
      <c r="G176" s="119" t="s">
        <v>957</v>
      </c>
      <c r="H176" s="104"/>
      <c r="I176" s="104"/>
      <c r="J176" s="104"/>
      <c r="K176" s="104"/>
      <c r="L176" s="104"/>
      <c r="M176" s="104"/>
      <c r="N176" s="104"/>
      <c r="O176" s="104"/>
      <c r="P176" s="104"/>
      <c r="Q176" s="104"/>
      <c r="R176" s="104"/>
      <c r="S176" s="104"/>
      <c r="T176" s="104"/>
      <c r="U176" s="104"/>
      <c r="V176" s="104"/>
      <c r="W176" s="104"/>
      <c r="X176" s="104"/>
      <c r="Y176" s="104"/>
      <c r="Z176" s="104"/>
      <c r="AA176" s="104" t="s">
        <v>1007</v>
      </c>
      <c r="AB176" s="104"/>
      <c r="AC176" s="104"/>
    </row>
    <row r="177" customFormat="false" ht="15" hidden="false" customHeight="false" outlineLevel="0" collapsed="false">
      <c r="A177" s="119" t="s">
        <v>838</v>
      </c>
      <c r="B177" s="104"/>
      <c r="C177" s="147"/>
      <c r="D177" s="130" t="n">
        <f aca="false">FALSE()</f>
        <v>0</v>
      </c>
      <c r="E177" s="122" t="s">
        <v>1008</v>
      </c>
      <c r="F177" s="104"/>
      <c r="G177" s="119" t="s">
        <v>957</v>
      </c>
      <c r="H177" s="104"/>
      <c r="I177" s="104"/>
      <c r="J177" s="104"/>
      <c r="K177" s="104"/>
      <c r="L177" s="104"/>
      <c r="M177" s="104"/>
      <c r="N177" s="104"/>
      <c r="O177" s="104"/>
      <c r="P177" s="104"/>
      <c r="Q177" s="104"/>
      <c r="R177" s="104"/>
      <c r="S177" s="104"/>
      <c r="T177" s="104"/>
      <c r="U177" s="104"/>
      <c r="V177" s="104"/>
      <c r="W177" s="104"/>
      <c r="X177" s="104"/>
      <c r="Y177" s="104"/>
      <c r="Z177" s="114"/>
      <c r="AA177" s="104" t="s">
        <v>1009</v>
      </c>
      <c r="AB177" s="114"/>
      <c r="AC177" s="114"/>
    </row>
    <row r="178" customFormat="false" ht="15" hidden="false" customHeight="false" outlineLevel="0" collapsed="false">
      <c r="A178" s="119" t="s">
        <v>844</v>
      </c>
      <c r="B178" s="104"/>
      <c r="C178" s="147"/>
      <c r="D178" s="130" t="n">
        <f aca="false">FALSE()</f>
        <v>0</v>
      </c>
      <c r="E178" s="122" t="s">
        <v>1010</v>
      </c>
      <c r="F178" s="104"/>
      <c r="G178" s="119" t="s">
        <v>957</v>
      </c>
      <c r="H178" s="104"/>
      <c r="I178" s="104"/>
      <c r="J178" s="104"/>
      <c r="K178" s="104"/>
      <c r="L178" s="104"/>
      <c r="M178" s="104"/>
      <c r="N178" s="104"/>
      <c r="O178" s="104"/>
      <c r="P178" s="104"/>
      <c r="Q178" s="104"/>
      <c r="R178" s="104"/>
      <c r="S178" s="104"/>
      <c r="T178" s="104"/>
      <c r="U178" s="104"/>
      <c r="V178" s="104"/>
      <c r="W178" s="104"/>
      <c r="X178" s="104"/>
      <c r="Y178" s="104"/>
      <c r="Z178" s="104"/>
      <c r="AA178" s="104" t="s">
        <v>1011</v>
      </c>
      <c r="AB178" s="104"/>
      <c r="AC178" s="104"/>
    </row>
    <row r="179" customFormat="false" ht="15" hidden="false" customHeight="false" outlineLevel="0" collapsed="false">
      <c r="A179" s="133" t="s">
        <v>843</v>
      </c>
      <c r="B179" s="104"/>
      <c r="C179" s="104"/>
      <c r="D179" s="130" t="n">
        <f aca="false">FALSE()</f>
        <v>0</v>
      </c>
      <c r="E179" s="122" t="s">
        <v>941</v>
      </c>
      <c r="F179" s="104"/>
      <c r="G179" s="119" t="s">
        <v>957</v>
      </c>
      <c r="H179" s="104"/>
      <c r="I179" s="104"/>
      <c r="J179" s="104"/>
      <c r="K179" s="104"/>
      <c r="L179" s="104"/>
      <c r="M179" s="104"/>
      <c r="N179" s="104"/>
      <c r="O179" s="104"/>
      <c r="P179" s="104"/>
      <c r="Q179" s="104"/>
      <c r="R179" s="104"/>
      <c r="S179" s="104"/>
      <c r="T179" s="104"/>
      <c r="U179" s="104"/>
      <c r="V179" s="104"/>
      <c r="W179" s="104"/>
      <c r="X179" s="104"/>
      <c r="Y179" s="104"/>
      <c r="Z179" s="104"/>
      <c r="AA179" s="104" t="s">
        <v>1012</v>
      </c>
      <c r="AB179" s="104"/>
      <c r="AC179" s="104"/>
    </row>
    <row r="180" customFormat="false" ht="15" hidden="false" customHeight="false" outlineLevel="0" collapsed="false">
      <c r="A180" s="119" t="s">
        <v>103</v>
      </c>
      <c r="B180" s="104"/>
      <c r="C180" s="147"/>
      <c r="D180" s="130" t="n">
        <f aca="false">FALSE()</f>
        <v>0</v>
      </c>
      <c r="E180" s="122" t="s">
        <v>1013</v>
      </c>
      <c r="F180" s="104"/>
      <c r="G180" s="119" t="s">
        <v>957</v>
      </c>
      <c r="H180" s="104"/>
      <c r="I180" s="104"/>
      <c r="J180" s="104"/>
      <c r="K180" s="104"/>
      <c r="L180" s="104"/>
      <c r="M180" s="104"/>
      <c r="N180" s="104"/>
      <c r="O180" s="104"/>
      <c r="P180" s="104"/>
      <c r="Q180" s="104"/>
      <c r="R180" s="104"/>
      <c r="S180" s="104"/>
      <c r="T180" s="104"/>
      <c r="U180" s="104"/>
      <c r="V180" s="104"/>
      <c r="W180" s="104"/>
      <c r="X180" s="104"/>
      <c r="Y180" s="104"/>
      <c r="Z180" s="114"/>
      <c r="AA180" s="104" t="s">
        <v>1014</v>
      </c>
      <c r="AB180" s="114"/>
      <c r="AC180" s="114"/>
    </row>
    <row r="181" customFormat="false" ht="15" hidden="false" customHeight="false" outlineLevel="0" collapsed="false">
      <c r="A181" s="119" t="s">
        <v>1015</v>
      </c>
      <c r="B181" s="104"/>
      <c r="C181" s="147"/>
      <c r="D181" s="130" t="n">
        <f aca="false">FALSE()</f>
        <v>0</v>
      </c>
      <c r="E181" s="122" t="s">
        <v>1016</v>
      </c>
      <c r="F181" s="104"/>
      <c r="G181" s="119" t="s">
        <v>957</v>
      </c>
      <c r="H181" s="104"/>
      <c r="I181" s="104"/>
      <c r="J181" s="104"/>
      <c r="K181" s="104"/>
      <c r="L181" s="104"/>
      <c r="M181" s="104"/>
      <c r="N181" s="104"/>
      <c r="O181" s="104"/>
      <c r="P181" s="104"/>
      <c r="Q181" s="104"/>
      <c r="R181" s="104"/>
      <c r="S181" s="104"/>
      <c r="T181" s="104"/>
      <c r="U181" s="104"/>
      <c r="V181" s="104"/>
      <c r="W181" s="104"/>
      <c r="X181" s="104"/>
      <c r="Y181" s="104"/>
      <c r="Z181" s="114"/>
      <c r="AA181" s="104" t="s">
        <v>1017</v>
      </c>
      <c r="AB181" s="114"/>
      <c r="AC181" s="114"/>
    </row>
    <row r="182" customFormat="false" ht="15" hidden="false" customHeight="false" outlineLevel="0" collapsed="false">
      <c r="A182" s="119" t="s">
        <v>446</v>
      </c>
      <c r="B182" s="104"/>
      <c r="C182" s="147"/>
      <c r="D182" s="119" t="b">
        <f aca="false">FALSE()</f>
        <v>0</v>
      </c>
      <c r="E182" s="122" t="s">
        <v>930</v>
      </c>
      <c r="F182" s="104"/>
      <c r="G182" s="119" t="s">
        <v>1018</v>
      </c>
      <c r="H182" s="104"/>
      <c r="I182" s="104"/>
      <c r="J182" s="104"/>
      <c r="K182" s="104"/>
      <c r="L182" s="104"/>
      <c r="M182" s="104"/>
      <c r="N182" s="104"/>
      <c r="O182" s="104"/>
      <c r="P182" s="104"/>
      <c r="Q182" s="104"/>
      <c r="R182" s="104"/>
      <c r="S182" s="104"/>
      <c r="T182" s="104"/>
      <c r="U182" s="104"/>
      <c r="V182" s="104"/>
      <c r="W182" s="104"/>
      <c r="X182" s="104"/>
      <c r="Y182" s="104"/>
      <c r="Z182" s="114"/>
      <c r="AA182" s="157" t="s">
        <v>1019</v>
      </c>
      <c r="AB182" s="114"/>
      <c r="AC182" s="114"/>
    </row>
    <row r="183" customFormat="false" ht="15" hidden="false" customHeight="false" outlineLevel="0" collapsed="false">
      <c r="A183" s="119" t="s">
        <v>617</v>
      </c>
      <c r="B183" s="104"/>
      <c r="C183" s="147"/>
      <c r="D183" s="119" t="b">
        <f aca="false">FALSE()</f>
        <v>0</v>
      </c>
      <c r="E183" s="122" t="s">
        <v>1020</v>
      </c>
      <c r="F183" s="104"/>
      <c r="G183" s="119" t="s">
        <v>1021</v>
      </c>
      <c r="H183" s="104"/>
      <c r="I183" s="104"/>
      <c r="J183" s="104"/>
      <c r="K183" s="104"/>
      <c r="L183" s="104"/>
      <c r="M183" s="104"/>
      <c r="N183" s="104"/>
      <c r="O183" s="104"/>
      <c r="P183" s="104"/>
      <c r="Q183" s="104"/>
      <c r="R183" s="104"/>
      <c r="S183" s="104"/>
      <c r="T183" s="104"/>
      <c r="U183" s="104"/>
      <c r="V183" s="104"/>
      <c r="W183" s="104"/>
      <c r="X183" s="104"/>
      <c r="Y183" s="104"/>
      <c r="Z183" s="104"/>
      <c r="AA183" s="157" t="s">
        <v>1022</v>
      </c>
      <c r="AB183" s="104"/>
      <c r="AC183" s="104"/>
    </row>
    <row r="184" customFormat="false" ht="15" hidden="false" customHeight="false" outlineLevel="0" collapsed="false">
      <c r="A184" s="119" t="s">
        <v>821</v>
      </c>
      <c r="B184" s="104"/>
      <c r="C184" s="147"/>
      <c r="D184" s="119" t="b">
        <f aca="false">FALSE()</f>
        <v>0</v>
      </c>
      <c r="E184" s="122" t="s">
        <v>1020</v>
      </c>
      <c r="F184" s="104"/>
      <c r="G184" s="119" t="s">
        <v>1021</v>
      </c>
      <c r="H184" s="104"/>
      <c r="I184" s="104"/>
      <c r="J184" s="104"/>
      <c r="K184" s="104"/>
      <c r="L184" s="104"/>
      <c r="M184" s="104"/>
      <c r="N184" s="104"/>
      <c r="O184" s="104"/>
      <c r="P184" s="104"/>
      <c r="Q184" s="104"/>
      <c r="R184" s="104"/>
      <c r="S184" s="104"/>
      <c r="T184" s="104"/>
      <c r="U184" s="104"/>
      <c r="V184" s="104"/>
      <c r="W184" s="104"/>
      <c r="X184" s="104"/>
      <c r="Y184" s="104"/>
      <c r="Z184" s="114"/>
      <c r="AA184" s="157" t="s">
        <v>1023</v>
      </c>
      <c r="AB184" s="114"/>
      <c r="AC184" s="114"/>
    </row>
    <row r="185" customFormat="false" ht="15" hidden="false" customHeight="false" outlineLevel="0" collapsed="false">
      <c r="A185" s="131" t="s">
        <v>401</v>
      </c>
      <c r="B185" s="158"/>
      <c r="C185" s="159"/>
      <c r="D185" s="119" t="b">
        <f aca="false">TRUE()</f>
        <v>1</v>
      </c>
      <c r="E185" s="122" t="s">
        <v>1024</v>
      </c>
      <c r="F185" s="158"/>
      <c r="G185" s="119" t="s">
        <v>924</v>
      </c>
      <c r="H185" s="104"/>
      <c r="I185" s="104"/>
      <c r="J185" s="104"/>
      <c r="K185" s="104"/>
      <c r="L185" s="104"/>
      <c r="M185" s="104"/>
      <c r="N185" s="104"/>
      <c r="O185" s="104"/>
      <c r="P185" s="104"/>
      <c r="Q185" s="104"/>
      <c r="R185" s="104"/>
      <c r="S185" s="104"/>
      <c r="T185" s="104"/>
      <c r="U185" s="104"/>
      <c r="V185" s="104"/>
      <c r="W185" s="104"/>
      <c r="X185" s="104"/>
      <c r="Y185" s="104"/>
      <c r="Z185" s="114"/>
      <c r="AA185" s="104" t="s">
        <v>932</v>
      </c>
      <c r="AB185" s="114"/>
      <c r="AC185" s="114"/>
    </row>
    <row r="186" customFormat="false" ht="15" hidden="false" customHeight="false" outlineLevel="0" collapsed="false">
      <c r="A186" s="131" t="s">
        <v>618</v>
      </c>
      <c r="B186" s="158"/>
      <c r="C186" s="159"/>
      <c r="D186" s="119" t="b">
        <f aca="false">FALSE()</f>
        <v>0</v>
      </c>
      <c r="E186" s="122" t="s">
        <v>1025</v>
      </c>
      <c r="F186" s="158"/>
      <c r="G186" s="119" t="s">
        <v>924</v>
      </c>
      <c r="H186" s="104"/>
      <c r="I186" s="104"/>
      <c r="J186" s="104"/>
      <c r="K186" s="104"/>
      <c r="L186" s="104"/>
      <c r="M186" s="104"/>
      <c r="N186" s="104"/>
      <c r="O186" s="104"/>
      <c r="P186" s="104"/>
      <c r="Q186" s="104"/>
      <c r="R186" s="104"/>
      <c r="S186" s="104"/>
      <c r="T186" s="104"/>
      <c r="U186" s="104"/>
      <c r="V186" s="104"/>
      <c r="W186" s="104"/>
      <c r="X186" s="104"/>
      <c r="Y186" s="104"/>
      <c r="Z186" s="114"/>
      <c r="AA186" s="104" t="s">
        <v>923</v>
      </c>
      <c r="AB186" s="114"/>
      <c r="AC186" s="114"/>
    </row>
    <row r="187" customFormat="false" ht="15" hidden="false" customHeight="false" outlineLevel="0" collapsed="false">
      <c r="A187" s="131" t="s">
        <v>766</v>
      </c>
      <c r="B187" s="160" t="str">
        <f aca="false">IFERROR(VLOOKUP(A187,CENTRO!$A$4:$L$548,12,0),"")</f>
        <v>MUITO ATRASADO</v>
      </c>
      <c r="C187" s="159" t="str">
        <f aca="false">IFERROR(VLOOKUP(A187,CENTRO!$A$4:$L$137,11,0),"")</f>
        <v/>
      </c>
      <c r="D187" s="119" t="b">
        <f aca="false">FALSE()</f>
        <v>0</v>
      </c>
      <c r="E187" s="122" t="s">
        <v>1026</v>
      </c>
      <c r="F187" s="158"/>
      <c r="G187" s="119" t="s">
        <v>924</v>
      </c>
      <c r="H187" s="104"/>
      <c r="I187" s="104"/>
      <c r="J187" s="104"/>
      <c r="K187" s="104"/>
      <c r="L187" s="104"/>
      <c r="M187" s="104"/>
      <c r="N187" s="104"/>
      <c r="O187" s="104"/>
      <c r="P187" s="104"/>
      <c r="Q187" s="104"/>
      <c r="R187" s="104"/>
      <c r="S187" s="104"/>
      <c r="T187" s="104"/>
      <c r="U187" s="104"/>
      <c r="V187" s="104"/>
      <c r="W187" s="104"/>
      <c r="X187" s="104"/>
      <c r="Y187" s="104"/>
      <c r="Z187" s="114"/>
      <c r="AA187" s="104" t="s">
        <v>1027</v>
      </c>
      <c r="AB187" s="114"/>
      <c r="AC187" s="114"/>
    </row>
    <row r="188" customFormat="false" ht="15" hidden="false" customHeight="false" outlineLevel="0" collapsed="false">
      <c r="A188" s="161" t="s">
        <v>719</v>
      </c>
      <c r="B188" s="162"/>
      <c r="C188" s="162"/>
      <c r="D188" s="119" t="b">
        <f aca="false">FALSE()</f>
        <v>0</v>
      </c>
      <c r="E188" s="163" t="s">
        <v>1025</v>
      </c>
      <c r="F188" s="162"/>
      <c r="G188" s="119" t="s">
        <v>924</v>
      </c>
      <c r="H188" s="104"/>
      <c r="I188" s="104"/>
      <c r="J188" s="104"/>
      <c r="K188" s="104"/>
      <c r="L188" s="104"/>
      <c r="M188" s="104"/>
      <c r="N188" s="104"/>
      <c r="O188" s="104"/>
      <c r="P188" s="104"/>
      <c r="Q188" s="104"/>
      <c r="R188" s="104"/>
      <c r="S188" s="104"/>
      <c r="T188" s="104"/>
      <c r="U188" s="104"/>
      <c r="V188" s="104"/>
      <c r="W188" s="104"/>
      <c r="X188" s="104"/>
      <c r="Y188" s="104"/>
      <c r="Z188" s="114"/>
      <c r="AA188" s="104" t="s">
        <v>1028</v>
      </c>
      <c r="AB188" s="114"/>
      <c r="AC188" s="114"/>
    </row>
    <row r="189" customFormat="false" ht="15" hidden="false" customHeight="false" outlineLevel="0" collapsed="false">
      <c r="A189" s="131" t="s">
        <v>1029</v>
      </c>
      <c r="B189" s="158"/>
      <c r="C189" s="159"/>
      <c r="D189" s="119" t="b">
        <f aca="false">FALSE()</f>
        <v>0</v>
      </c>
      <c r="E189" s="122" t="s">
        <v>930</v>
      </c>
      <c r="F189" s="158"/>
      <c r="G189" s="119" t="s">
        <v>924</v>
      </c>
      <c r="H189" s="104"/>
      <c r="I189" s="104"/>
      <c r="J189" s="104"/>
      <c r="K189" s="104"/>
      <c r="L189" s="104"/>
      <c r="M189" s="104"/>
      <c r="N189" s="104"/>
      <c r="O189" s="104"/>
      <c r="P189" s="104"/>
      <c r="Q189" s="104"/>
      <c r="R189" s="104"/>
      <c r="S189" s="104"/>
      <c r="T189" s="104"/>
      <c r="U189" s="104"/>
      <c r="V189" s="104"/>
      <c r="W189" s="104"/>
      <c r="X189" s="104"/>
      <c r="Y189" s="104"/>
      <c r="Z189" s="114"/>
      <c r="AA189" s="104" t="s">
        <v>1030</v>
      </c>
      <c r="AB189" s="114"/>
      <c r="AC189" s="114"/>
    </row>
    <row r="190" customFormat="false" ht="17.25" hidden="false" customHeight="true" outlineLevel="0" collapsed="false">
      <c r="A190" s="136" t="s">
        <v>692</v>
      </c>
      <c r="B190" s="136"/>
      <c r="C190" s="137"/>
      <c r="D190" s="119" t="b">
        <f aca="false">FALSE()</f>
        <v>0</v>
      </c>
      <c r="E190" s="122" t="s">
        <v>980</v>
      </c>
      <c r="F190" s="136"/>
      <c r="G190" s="119" t="s">
        <v>924</v>
      </c>
      <c r="H190" s="104"/>
      <c r="I190" s="104"/>
      <c r="J190" s="104"/>
      <c r="K190" s="104"/>
      <c r="L190" s="104"/>
      <c r="M190" s="104"/>
      <c r="N190" s="104"/>
      <c r="O190" s="104"/>
      <c r="P190" s="104"/>
      <c r="Q190" s="104"/>
      <c r="R190" s="104"/>
      <c r="S190" s="104"/>
      <c r="T190" s="104"/>
      <c r="U190" s="104"/>
      <c r="V190" s="104"/>
      <c r="W190" s="104"/>
      <c r="X190" s="104"/>
      <c r="Y190" s="104"/>
      <c r="Z190" s="116"/>
      <c r="AA190" s="104" t="s">
        <v>971</v>
      </c>
      <c r="AB190" s="116"/>
      <c r="AC190" s="116"/>
    </row>
    <row r="191" customFormat="false" ht="15.75" hidden="false" customHeight="true" outlineLevel="0" collapsed="false">
      <c r="A191" s="119" t="s">
        <v>605</v>
      </c>
      <c r="B191" s="119"/>
      <c r="C191" s="121"/>
      <c r="D191" s="119" t="b">
        <f aca="false">FALSE()</f>
        <v>0</v>
      </c>
      <c r="E191" s="122" t="s">
        <v>930</v>
      </c>
      <c r="F191" s="119"/>
      <c r="G191" s="119" t="s">
        <v>924</v>
      </c>
      <c r="H191" s="104"/>
      <c r="I191" s="104"/>
      <c r="J191" s="104"/>
      <c r="K191" s="104"/>
      <c r="L191" s="104"/>
      <c r="M191" s="104"/>
      <c r="N191" s="104"/>
      <c r="O191" s="104"/>
      <c r="P191" s="104"/>
      <c r="Q191" s="104"/>
      <c r="R191" s="104"/>
      <c r="S191" s="104"/>
      <c r="T191" s="104"/>
      <c r="U191" s="104"/>
      <c r="V191" s="104"/>
      <c r="W191" s="104"/>
      <c r="X191" s="104"/>
      <c r="Y191" s="104"/>
      <c r="Z191" s="114"/>
      <c r="AA191" s="104" t="s">
        <v>1031</v>
      </c>
      <c r="AB191" s="114"/>
      <c r="AC191" s="114"/>
    </row>
    <row r="192" customFormat="false" ht="15" hidden="false" customHeight="false" outlineLevel="0" collapsed="false">
      <c r="A192" s="119" t="s">
        <v>1032</v>
      </c>
      <c r="B192" s="119"/>
      <c r="C192" s="119"/>
      <c r="D192" s="119" t="b">
        <f aca="false">FALSE()</f>
        <v>0</v>
      </c>
      <c r="E192" s="122" t="s">
        <v>1033</v>
      </c>
      <c r="F192" s="119"/>
      <c r="G192" s="119" t="s">
        <v>924</v>
      </c>
      <c r="H192" s="104"/>
      <c r="I192" s="104"/>
      <c r="J192" s="104"/>
      <c r="K192" s="104"/>
      <c r="L192" s="104"/>
      <c r="M192" s="104"/>
      <c r="N192" s="104"/>
      <c r="O192" s="104"/>
      <c r="P192" s="104"/>
      <c r="Q192" s="104"/>
      <c r="R192" s="104"/>
      <c r="S192" s="104"/>
      <c r="T192" s="104"/>
      <c r="U192" s="104"/>
      <c r="V192" s="104"/>
      <c r="W192" s="104"/>
      <c r="X192" s="104"/>
      <c r="Y192" s="104"/>
      <c r="Z192" s="114"/>
      <c r="AA192" s="124" t="s">
        <v>1034</v>
      </c>
      <c r="AB192" s="114"/>
      <c r="AC192" s="114"/>
    </row>
    <row r="193" customFormat="false" ht="15" hidden="false" customHeight="false" outlineLevel="0" collapsed="false">
      <c r="A193" s="119" t="s">
        <v>723</v>
      </c>
      <c r="B193" s="120" t="str">
        <f aca="false">IFERROR(VLOOKUP(A193,CENTRO!$A$4:$L$548,12,0),"")</f>
        <v>MUITO ATRASADO</v>
      </c>
      <c r="C193" s="121" t="str">
        <f aca="false">IFERROR(VLOOKUP(A193,CENTRO!$A$4:$L$137,11,0),"")</f>
        <v/>
      </c>
      <c r="D193" s="119" t="b">
        <f aca="false">FALSE()</f>
        <v>0</v>
      </c>
      <c r="E193" s="122" t="s">
        <v>918</v>
      </c>
      <c r="F193" s="119"/>
      <c r="G193" s="119" t="s">
        <v>924</v>
      </c>
      <c r="H193" s="104"/>
      <c r="I193" s="104"/>
      <c r="J193" s="104"/>
      <c r="K193" s="104"/>
      <c r="L193" s="104"/>
      <c r="M193" s="104"/>
      <c r="N193" s="104"/>
      <c r="O193" s="104"/>
      <c r="P193" s="104"/>
      <c r="Q193" s="104"/>
      <c r="R193" s="104"/>
      <c r="S193" s="104"/>
      <c r="T193" s="104"/>
      <c r="U193" s="104"/>
      <c r="V193" s="104"/>
      <c r="W193" s="104"/>
      <c r="X193" s="104"/>
      <c r="Y193" s="104"/>
      <c r="Z193" s="114"/>
      <c r="AA193" s="104" t="s">
        <v>1035</v>
      </c>
      <c r="AB193" s="114"/>
      <c r="AC193" s="114"/>
    </row>
    <row r="194" customFormat="false" ht="15" hidden="false" customHeight="false" outlineLevel="0" collapsed="false">
      <c r="A194" s="119" t="s">
        <v>721</v>
      </c>
      <c r="B194" s="119"/>
      <c r="C194" s="121"/>
      <c r="D194" s="119" t="b">
        <f aca="false">FALSE()</f>
        <v>0</v>
      </c>
      <c r="E194" s="122" t="s">
        <v>994</v>
      </c>
      <c r="F194" s="119"/>
      <c r="G194" s="119" t="s">
        <v>924</v>
      </c>
      <c r="H194" s="104"/>
      <c r="I194" s="104"/>
      <c r="J194" s="104"/>
      <c r="K194" s="104"/>
      <c r="L194" s="104"/>
      <c r="M194" s="104"/>
      <c r="N194" s="104"/>
      <c r="O194" s="104"/>
      <c r="P194" s="104"/>
      <c r="Q194" s="104"/>
      <c r="R194" s="104"/>
      <c r="S194" s="104"/>
      <c r="T194" s="104"/>
      <c r="U194" s="104"/>
      <c r="V194" s="104"/>
      <c r="W194" s="104"/>
      <c r="X194" s="104"/>
      <c r="Y194" s="104"/>
      <c r="Z194" s="104"/>
      <c r="AA194" s="104" t="s">
        <v>1036</v>
      </c>
      <c r="AB194" s="104"/>
      <c r="AC194" s="104"/>
    </row>
    <row r="195" customFormat="false" ht="15" hidden="false" customHeight="false" outlineLevel="0" collapsed="false">
      <c r="A195" s="119" t="s">
        <v>801</v>
      </c>
      <c r="B195" s="120" t="str">
        <f aca="false">IFERROR(VLOOKUP(A195,CENTRO!$A$4:$L$548,12,0),"")</f>
        <v>MUITO ATRASADO</v>
      </c>
      <c r="C195" s="121" t="str">
        <f aca="false">IFERROR(VLOOKUP(A195,CENTRO!$A$4:$L$137,11,0),"")</f>
        <v/>
      </c>
      <c r="D195" s="119" t="b">
        <f aca="false">FALSE()</f>
        <v>0</v>
      </c>
      <c r="E195" s="122" t="s">
        <v>918</v>
      </c>
      <c r="F195" s="119"/>
      <c r="G195" s="119" t="s">
        <v>924</v>
      </c>
      <c r="H195" s="104"/>
      <c r="I195" s="104"/>
      <c r="J195" s="104"/>
      <c r="K195" s="104"/>
      <c r="L195" s="104"/>
      <c r="M195" s="104"/>
      <c r="N195" s="104"/>
      <c r="O195" s="104"/>
      <c r="P195" s="104"/>
      <c r="Q195" s="104"/>
      <c r="R195" s="104"/>
      <c r="S195" s="104"/>
      <c r="T195" s="104"/>
      <c r="U195" s="104"/>
      <c r="V195" s="104"/>
      <c r="W195" s="104"/>
      <c r="X195" s="104"/>
      <c r="Y195" s="104"/>
      <c r="Z195" s="114"/>
      <c r="AA195" s="157" t="s">
        <v>1037</v>
      </c>
      <c r="AB195" s="114"/>
      <c r="AC195" s="114"/>
    </row>
    <row r="196" customFormat="false" ht="15" hidden="false" customHeight="false" outlineLevel="0" collapsed="false">
      <c r="A196" s="119" t="s">
        <v>1038</v>
      </c>
      <c r="B196" s="120" t="str">
        <f aca="false">IFERROR(VLOOKUP(A196,CENTRO!$A$4:$L$548,12,0),"")</f>
        <v/>
      </c>
      <c r="C196" s="121" t="str">
        <f aca="false">IFERROR(VLOOKUP(A196,CENTRO!$A$4:$L$137,11,0),"")</f>
        <v/>
      </c>
      <c r="D196" s="119" t="b">
        <f aca="false">FALSE()</f>
        <v>0</v>
      </c>
      <c r="E196" s="122" t="s">
        <v>985</v>
      </c>
      <c r="F196" s="119"/>
      <c r="G196" s="119" t="s">
        <v>924</v>
      </c>
      <c r="H196" s="104"/>
      <c r="I196" s="104"/>
      <c r="J196" s="104"/>
      <c r="K196" s="104"/>
      <c r="L196" s="104"/>
      <c r="M196" s="104"/>
      <c r="N196" s="104"/>
      <c r="O196" s="104"/>
      <c r="P196" s="104"/>
      <c r="Q196" s="104"/>
      <c r="R196" s="104"/>
      <c r="S196" s="104"/>
      <c r="T196" s="104"/>
      <c r="U196" s="104"/>
      <c r="V196" s="104"/>
      <c r="W196" s="104"/>
      <c r="X196" s="104"/>
      <c r="Y196" s="104"/>
      <c r="Z196" s="114"/>
      <c r="AA196" s="104" t="s">
        <v>1039</v>
      </c>
      <c r="AB196" s="114"/>
      <c r="AC196" s="114"/>
    </row>
    <row r="197" customFormat="false" ht="15" hidden="false" customHeight="false" outlineLevel="0" collapsed="false">
      <c r="A197" s="164" t="s">
        <v>1040</v>
      </c>
      <c r="B197" s="120" t="str">
        <f aca="false">IFERROR(VLOOKUP(A197,CENTRO!$A$4:$L$548,12,0),"")</f>
        <v/>
      </c>
      <c r="C197" s="121" t="str">
        <f aca="false">IFERROR(VLOOKUP(A197,CENTRO!$A$4:$L$137,11,0),"")</f>
        <v/>
      </c>
      <c r="D197" s="119" t="b">
        <f aca="false">FALSE()</f>
        <v>0</v>
      </c>
      <c r="E197" s="122" t="s">
        <v>988</v>
      </c>
      <c r="F197" s="164"/>
      <c r="G197" s="119" t="s">
        <v>924</v>
      </c>
      <c r="H197" s="104"/>
      <c r="I197" s="104"/>
      <c r="J197" s="104"/>
      <c r="K197" s="104"/>
      <c r="L197" s="104"/>
      <c r="M197" s="104"/>
      <c r="N197" s="104"/>
      <c r="O197" s="104"/>
      <c r="P197" s="104"/>
      <c r="Q197" s="104"/>
      <c r="R197" s="104"/>
      <c r="S197" s="104"/>
      <c r="T197" s="104"/>
      <c r="U197" s="104"/>
      <c r="V197" s="104"/>
      <c r="W197" s="104"/>
      <c r="X197" s="104"/>
      <c r="Y197" s="104"/>
      <c r="Z197" s="114"/>
      <c r="AA197" s="104" t="s">
        <v>1041</v>
      </c>
      <c r="AB197" s="114"/>
      <c r="AC197" s="114"/>
    </row>
    <row r="198" customFormat="false" ht="15" hidden="false" customHeight="false" outlineLevel="0" collapsed="false">
      <c r="A198" s="119" t="s">
        <v>753</v>
      </c>
      <c r="B198" s="120" t="str">
        <f aca="false">IFERROR(VLOOKUP(A198,CENTRO!$A$4:$L$548,12,0),"")</f>
        <v>MUITO ATRASADO</v>
      </c>
      <c r="C198" s="121" t="n">
        <f aca="false">IFERROR(VLOOKUP(A198,CENTRO!$A$4:$L$548,11,0),"")</f>
        <v>146.040080160321</v>
      </c>
      <c r="D198" s="119" t="b">
        <f aca="false">FALSE()</f>
        <v>0</v>
      </c>
      <c r="E198" s="122" t="s">
        <v>922</v>
      </c>
      <c r="F198" s="119"/>
      <c r="G198" s="119" t="s">
        <v>924</v>
      </c>
      <c r="H198" s="104"/>
      <c r="I198" s="104"/>
      <c r="J198" s="104"/>
      <c r="K198" s="104"/>
      <c r="L198" s="104"/>
      <c r="M198" s="104"/>
      <c r="N198" s="104"/>
      <c r="O198" s="104"/>
      <c r="P198" s="104"/>
      <c r="Q198" s="104"/>
      <c r="R198" s="104"/>
      <c r="S198" s="104"/>
      <c r="T198" s="104"/>
      <c r="U198" s="104"/>
      <c r="V198" s="104"/>
      <c r="W198" s="104"/>
      <c r="X198" s="104"/>
      <c r="Y198" s="104"/>
      <c r="Z198" s="116"/>
      <c r="AA198" s="104" t="s">
        <v>1042</v>
      </c>
      <c r="AB198" s="116"/>
      <c r="AC198" s="116"/>
    </row>
    <row r="199" customFormat="false" ht="13.5" hidden="false" customHeight="true" outlineLevel="0" collapsed="false">
      <c r="A199" s="119" t="s">
        <v>638</v>
      </c>
      <c r="B199" s="120" t="str">
        <f aca="false">IFERROR(VLOOKUP(A199,CENTRO!$A$4:$L$548,12,0),"")</f>
        <v>MUITO ATRASADO</v>
      </c>
      <c r="C199" s="121" t="n">
        <f aca="false">IFERROR(VLOOKUP(A199,CENTRO!$A$4:$L$548,11,0),"")</f>
        <v>117.788758492897</v>
      </c>
      <c r="D199" s="119" t="b">
        <f aca="false">FALSE()</f>
        <v>0</v>
      </c>
      <c r="E199" s="122" t="s">
        <v>970</v>
      </c>
      <c r="F199" s="119"/>
      <c r="G199" s="119" t="s">
        <v>924</v>
      </c>
      <c r="H199" s="104"/>
      <c r="I199" s="104"/>
      <c r="J199" s="104"/>
      <c r="K199" s="104"/>
      <c r="L199" s="104"/>
      <c r="M199" s="104"/>
      <c r="N199" s="104"/>
      <c r="O199" s="104"/>
      <c r="P199" s="104"/>
      <c r="Q199" s="104"/>
      <c r="R199" s="104"/>
      <c r="S199" s="104"/>
      <c r="T199" s="104"/>
      <c r="U199" s="104"/>
      <c r="V199" s="104"/>
      <c r="W199" s="104"/>
      <c r="X199" s="104"/>
      <c r="Y199" s="104"/>
      <c r="Z199" s="116"/>
      <c r="AA199" s="104" t="s">
        <v>1043</v>
      </c>
      <c r="AB199" s="116"/>
      <c r="AC199" s="116"/>
    </row>
    <row r="200" customFormat="false" ht="15" hidden="false" customHeight="false" outlineLevel="0" collapsed="false">
      <c r="A200" s="119" t="s">
        <v>693</v>
      </c>
      <c r="B200" s="119"/>
      <c r="C200" s="119"/>
      <c r="D200" s="119" t="b">
        <f aca="false">FALSE()</f>
        <v>0</v>
      </c>
      <c r="E200" s="122" t="s">
        <v>930</v>
      </c>
      <c r="F200" s="119"/>
      <c r="G200" s="119" t="s">
        <v>924</v>
      </c>
      <c r="H200" s="104"/>
      <c r="I200" s="104"/>
      <c r="J200" s="104"/>
      <c r="K200" s="104"/>
      <c r="L200" s="104"/>
      <c r="M200" s="104"/>
      <c r="N200" s="104"/>
      <c r="O200" s="104"/>
      <c r="P200" s="104"/>
      <c r="Q200" s="104"/>
      <c r="R200" s="104"/>
      <c r="S200" s="104"/>
      <c r="T200" s="104"/>
      <c r="U200" s="104"/>
      <c r="V200" s="104"/>
      <c r="W200" s="104"/>
      <c r="X200" s="104"/>
      <c r="Y200" s="104"/>
      <c r="Z200" s="116"/>
      <c r="AA200" s="157" t="s">
        <v>1044</v>
      </c>
      <c r="AB200" s="116"/>
      <c r="AC200" s="116"/>
    </row>
    <row r="201" customFormat="false" ht="15" hidden="false" customHeight="false" outlineLevel="0" collapsed="false">
      <c r="A201" s="165" t="s">
        <v>1045</v>
      </c>
      <c r="B201" s="119"/>
      <c r="C201" s="119"/>
      <c r="D201" s="119" t="b">
        <f aca="false">FALSE()</f>
        <v>0</v>
      </c>
      <c r="E201" s="122" t="s">
        <v>930</v>
      </c>
      <c r="F201" s="119"/>
      <c r="G201" s="119" t="s">
        <v>924</v>
      </c>
      <c r="H201" s="104"/>
      <c r="I201" s="104"/>
      <c r="J201" s="104"/>
      <c r="K201" s="104"/>
      <c r="L201" s="104"/>
      <c r="M201" s="104"/>
      <c r="N201" s="104"/>
      <c r="O201" s="104"/>
      <c r="P201" s="104"/>
      <c r="Q201" s="104"/>
      <c r="R201" s="104"/>
      <c r="S201" s="104"/>
      <c r="T201" s="104"/>
      <c r="U201" s="104"/>
      <c r="V201" s="104"/>
      <c r="W201" s="104"/>
      <c r="X201" s="104"/>
      <c r="Y201" s="104"/>
      <c r="Z201" s="114"/>
      <c r="AA201" s="104" t="s">
        <v>1046</v>
      </c>
      <c r="AB201" s="114"/>
      <c r="AC201" s="114"/>
    </row>
    <row r="202" customFormat="false" ht="15" hidden="false" customHeight="false" outlineLevel="0" collapsed="false">
      <c r="A202" s="119" t="s">
        <v>1047</v>
      </c>
      <c r="B202" s="120" t="str">
        <f aca="false">IFERROR(VLOOKUP(A202,CENTRO!$A$4:$L$548,12,0),"")</f>
        <v/>
      </c>
      <c r="C202" s="121" t="str">
        <f aca="false">IFERROR(VLOOKUP(A202,CENTRO!$A$4:$L$548,11,0),"")</f>
        <v/>
      </c>
      <c r="D202" s="119" t="b">
        <f aca="false">FALSE()</f>
        <v>0</v>
      </c>
      <c r="E202" s="122" t="s">
        <v>1048</v>
      </c>
      <c r="F202" s="119"/>
      <c r="G202" s="119" t="s">
        <v>924</v>
      </c>
      <c r="H202" s="104"/>
      <c r="I202" s="104"/>
      <c r="J202" s="104"/>
      <c r="K202" s="104"/>
      <c r="L202" s="104"/>
      <c r="M202" s="104"/>
      <c r="N202" s="104"/>
      <c r="O202" s="104"/>
      <c r="P202" s="104"/>
      <c r="Q202" s="104"/>
      <c r="R202" s="104"/>
      <c r="S202" s="104"/>
      <c r="T202" s="104"/>
      <c r="U202" s="104"/>
      <c r="V202" s="104"/>
      <c r="W202" s="104"/>
      <c r="X202" s="104"/>
      <c r="Y202" s="104"/>
      <c r="Z202" s="116"/>
      <c r="AA202" s="104" t="s">
        <v>1049</v>
      </c>
      <c r="AB202" s="116"/>
      <c r="AC202" s="116"/>
    </row>
    <row r="203" customFormat="false" ht="15" hidden="false" customHeight="false" outlineLevel="0" collapsed="false">
      <c r="A203" s="119" t="s">
        <v>713</v>
      </c>
      <c r="B203" s="120" t="str">
        <f aca="false">IFERROR(VLOOKUP(A203,CENTRO!$A$4:$L$548,12,0),"")</f>
        <v>MUITO ATRASADO</v>
      </c>
      <c r="C203" s="121" t="str">
        <f aca="false">IFERROR(VLOOKUP(A203,CENTRO!$A$4:$L$137,11,0),"")</f>
        <v/>
      </c>
      <c r="D203" s="119" t="b">
        <f aca="false">FALSE()</f>
        <v>0</v>
      </c>
      <c r="E203" s="122" t="s">
        <v>918</v>
      </c>
      <c r="F203" s="119"/>
      <c r="G203" s="119" t="s">
        <v>924</v>
      </c>
      <c r="H203" s="104"/>
      <c r="I203" s="104"/>
      <c r="J203" s="104"/>
      <c r="K203" s="104"/>
      <c r="L203" s="104"/>
      <c r="M203" s="104"/>
      <c r="N203" s="104"/>
      <c r="O203" s="104"/>
      <c r="P203" s="104"/>
      <c r="Q203" s="104"/>
      <c r="R203" s="104"/>
      <c r="S203" s="104"/>
      <c r="T203" s="104"/>
      <c r="U203" s="104"/>
      <c r="V203" s="104"/>
      <c r="W203" s="104"/>
      <c r="X203" s="104"/>
      <c r="Y203" s="104"/>
      <c r="Z203" s="114"/>
      <c r="AA203" s="104" t="s">
        <v>1050</v>
      </c>
      <c r="AB203" s="114"/>
      <c r="AC203" s="114"/>
    </row>
    <row r="204" customFormat="false" ht="15" hidden="false" customHeight="false" outlineLevel="0" collapsed="false">
      <c r="A204" s="119" t="s">
        <v>632</v>
      </c>
      <c r="B204" s="119"/>
      <c r="C204" s="119"/>
      <c r="D204" s="119" t="b">
        <f aca="false">FALSE()</f>
        <v>0</v>
      </c>
      <c r="E204" s="122" t="s">
        <v>922</v>
      </c>
      <c r="F204" s="119"/>
      <c r="G204" s="119" t="s">
        <v>924</v>
      </c>
      <c r="H204" s="104"/>
      <c r="I204" s="104"/>
      <c r="J204" s="104"/>
      <c r="K204" s="104"/>
      <c r="L204" s="104"/>
      <c r="M204" s="104"/>
      <c r="N204" s="104"/>
      <c r="O204" s="104"/>
      <c r="P204" s="104"/>
      <c r="Q204" s="104"/>
      <c r="R204" s="104"/>
      <c r="S204" s="104"/>
      <c r="T204" s="104"/>
      <c r="U204" s="104"/>
      <c r="V204" s="104"/>
      <c r="W204" s="104"/>
      <c r="X204" s="104"/>
      <c r="Y204" s="104"/>
      <c r="Z204" s="116"/>
      <c r="AA204" s="104" t="s">
        <v>1051</v>
      </c>
      <c r="AB204" s="116"/>
      <c r="AC204" s="116"/>
    </row>
    <row r="205" customFormat="false" ht="15" hidden="false" customHeight="false" outlineLevel="0" collapsed="false">
      <c r="A205" s="119" t="s">
        <v>1052</v>
      </c>
      <c r="B205" s="119"/>
      <c r="C205" s="119"/>
      <c r="D205" s="119" t="b">
        <f aca="false">FALSE()</f>
        <v>0</v>
      </c>
      <c r="E205" s="122" t="s">
        <v>930</v>
      </c>
      <c r="F205" s="119"/>
      <c r="G205" s="119" t="s">
        <v>924</v>
      </c>
      <c r="H205" s="104"/>
      <c r="I205" s="104"/>
      <c r="J205" s="104"/>
      <c r="K205" s="104"/>
      <c r="L205" s="104"/>
      <c r="M205" s="104"/>
      <c r="N205" s="104"/>
      <c r="O205" s="104"/>
      <c r="P205" s="104"/>
      <c r="Q205" s="104"/>
      <c r="R205" s="104"/>
      <c r="S205" s="104"/>
      <c r="T205" s="104"/>
      <c r="U205" s="104"/>
      <c r="V205" s="104"/>
      <c r="W205" s="104"/>
      <c r="X205" s="104"/>
      <c r="Y205" s="104"/>
      <c r="Z205" s="116"/>
      <c r="AA205" s="104" t="s">
        <v>1053</v>
      </c>
      <c r="AB205" s="116"/>
      <c r="AC205" s="116"/>
    </row>
    <row r="206" customFormat="false" ht="15" hidden="false" customHeight="false" outlineLevel="0" collapsed="false">
      <c r="A206" s="119" t="s">
        <v>169</v>
      </c>
      <c r="B206" s="120" t="str">
        <f aca="false">IFERROR(VLOOKUP(A206,CENTRO!$A$4:$L$548,12,0),"")</f>
        <v>MUITO ATRASADO</v>
      </c>
      <c r="C206" s="121" t="n">
        <f aca="false">IFERROR(VLOOKUP(A206,CENTRO!$A$4:$L$548,11,0),"")</f>
        <v>129.745454545455</v>
      </c>
      <c r="D206" s="119" t="b">
        <f aca="false">FALSE()</f>
        <v>0</v>
      </c>
      <c r="E206" s="122" t="s">
        <v>970</v>
      </c>
      <c r="F206" s="119"/>
      <c r="G206" s="119" t="s">
        <v>924</v>
      </c>
      <c r="H206" s="104"/>
      <c r="I206" s="104"/>
      <c r="J206" s="104"/>
      <c r="K206" s="104"/>
      <c r="L206" s="104"/>
      <c r="M206" s="104"/>
      <c r="N206" s="104"/>
      <c r="O206" s="104"/>
      <c r="P206" s="104"/>
      <c r="Q206" s="104"/>
      <c r="R206" s="104"/>
      <c r="S206" s="104"/>
      <c r="T206" s="104"/>
      <c r="U206" s="104"/>
      <c r="V206" s="104"/>
      <c r="W206" s="104"/>
      <c r="X206" s="104"/>
      <c r="Y206" s="104"/>
      <c r="Z206" s="116"/>
      <c r="AA206" s="104" t="s">
        <v>1054</v>
      </c>
      <c r="AB206" s="116"/>
      <c r="AC206" s="116"/>
    </row>
    <row r="207" customFormat="false" ht="15" hidden="false" customHeight="false" outlineLevel="0" collapsed="false">
      <c r="A207" s="119" t="s">
        <v>318</v>
      </c>
      <c r="B207" s="120" t="str">
        <f aca="false">IFERROR(VLOOKUP(A207,CENTRO!$A$4:$L$548,12,0),"")</f>
        <v>MUITO ATRASADO</v>
      </c>
      <c r="C207" s="121" t="n">
        <f aca="false">IFERROR(VLOOKUP(A207,CENTRO!$A$4:$L$137,11,0),"")</f>
        <v>229.386333771354</v>
      </c>
      <c r="D207" s="119" t="b">
        <f aca="false">FALSE()</f>
        <v>0</v>
      </c>
      <c r="E207" s="122" t="s">
        <v>970</v>
      </c>
      <c r="F207" s="119"/>
      <c r="G207" s="119" t="s">
        <v>924</v>
      </c>
      <c r="H207" s="104"/>
      <c r="I207" s="104"/>
      <c r="J207" s="104"/>
      <c r="K207" s="104"/>
      <c r="L207" s="104"/>
      <c r="M207" s="104"/>
      <c r="N207" s="104"/>
      <c r="O207" s="104"/>
      <c r="P207" s="104"/>
      <c r="Q207" s="104"/>
      <c r="R207" s="104"/>
      <c r="S207" s="104"/>
      <c r="T207" s="104"/>
      <c r="U207" s="104"/>
      <c r="V207" s="104"/>
      <c r="W207" s="104"/>
      <c r="X207" s="104"/>
      <c r="Y207" s="104"/>
      <c r="Z207" s="116"/>
      <c r="AA207" s="104" t="s">
        <v>1055</v>
      </c>
      <c r="AB207" s="116"/>
      <c r="AC207" s="116"/>
    </row>
    <row r="208" customFormat="false" ht="15" hidden="false" customHeight="false" outlineLevel="0" collapsed="false">
      <c r="A208" s="166" t="s">
        <v>1056</v>
      </c>
      <c r="B208" s="167" t="str">
        <f aca="false">IFERROR(VLOOKUP(A208,CENTRO!$A$4:$L$548,12,0),"")</f>
        <v/>
      </c>
      <c r="C208" s="168" t="str">
        <f aca="false">IFERROR(VLOOKUP(A208,CENTRO!$A$4:$L$137,11,0),"")</f>
        <v/>
      </c>
      <c r="D208" s="166" t="b">
        <f aca="false">FALSE()</f>
        <v>0</v>
      </c>
      <c r="E208" s="169" t="s">
        <v>1057</v>
      </c>
      <c r="F208" s="166"/>
      <c r="G208" s="166" t="s">
        <v>924</v>
      </c>
      <c r="H208" s="104"/>
      <c r="I208" s="104"/>
      <c r="J208" s="104"/>
      <c r="K208" s="104"/>
      <c r="L208" s="104"/>
      <c r="M208" s="104"/>
      <c r="N208" s="104"/>
      <c r="O208" s="104"/>
      <c r="P208" s="104"/>
      <c r="Q208" s="104"/>
      <c r="R208" s="104"/>
      <c r="S208" s="104"/>
      <c r="T208" s="104"/>
      <c r="U208" s="104"/>
      <c r="V208" s="104"/>
      <c r="W208" s="104"/>
      <c r="X208" s="104"/>
      <c r="Y208" s="104"/>
      <c r="Z208" s="116"/>
      <c r="AA208" s="104" t="s">
        <v>1058</v>
      </c>
      <c r="AB208" s="116"/>
      <c r="AC208" s="116"/>
    </row>
    <row r="209" customFormat="false" ht="15" hidden="false" customHeight="false" outlineLevel="0" collapsed="false">
      <c r="A209" s="119" t="s">
        <v>599</v>
      </c>
      <c r="B209" s="119"/>
      <c r="C209" s="119"/>
      <c r="D209" s="119" t="b">
        <f aca="false">FALSE()</f>
        <v>0</v>
      </c>
      <c r="E209" s="122" t="s">
        <v>921</v>
      </c>
      <c r="F209" s="119"/>
      <c r="G209" s="119" t="s">
        <v>924</v>
      </c>
      <c r="H209" s="104"/>
      <c r="I209" s="104"/>
      <c r="J209" s="104"/>
      <c r="K209" s="104"/>
      <c r="L209" s="104"/>
      <c r="M209" s="104"/>
      <c r="N209" s="104"/>
      <c r="O209" s="104"/>
      <c r="P209" s="104"/>
      <c r="Q209" s="104"/>
      <c r="R209" s="104"/>
      <c r="S209" s="104"/>
      <c r="T209" s="104"/>
      <c r="U209" s="104"/>
      <c r="V209" s="104"/>
      <c r="W209" s="104"/>
      <c r="X209" s="104"/>
      <c r="Y209" s="104"/>
      <c r="Z209" s="114"/>
      <c r="AA209" s="104" t="s">
        <v>1001</v>
      </c>
      <c r="AB209" s="114"/>
      <c r="AC209" s="114"/>
    </row>
    <row r="210" customFormat="false" ht="15" hidden="false" customHeight="false" outlineLevel="0" collapsed="false">
      <c r="A210" s="119" t="s">
        <v>1059</v>
      </c>
      <c r="B210" s="119"/>
      <c r="C210" s="121"/>
      <c r="D210" s="119" t="b">
        <f aca="false">FALSE()</f>
        <v>0</v>
      </c>
      <c r="E210" s="122" t="s">
        <v>970</v>
      </c>
      <c r="F210" s="119"/>
      <c r="G210" s="119" t="s">
        <v>924</v>
      </c>
      <c r="H210" s="104"/>
      <c r="I210" s="104"/>
      <c r="J210" s="104"/>
      <c r="K210" s="104"/>
      <c r="L210" s="104"/>
      <c r="M210" s="104"/>
      <c r="N210" s="104"/>
      <c r="O210" s="104"/>
      <c r="P210" s="104"/>
      <c r="Q210" s="104"/>
      <c r="R210" s="104"/>
      <c r="S210" s="104"/>
      <c r="T210" s="104"/>
      <c r="U210" s="104"/>
      <c r="V210" s="104"/>
      <c r="W210" s="104"/>
      <c r="X210" s="104"/>
      <c r="Y210" s="104"/>
      <c r="Z210" s="116"/>
      <c r="AA210" s="104" t="s">
        <v>998</v>
      </c>
      <c r="AB210" s="116"/>
      <c r="AC210" s="116"/>
    </row>
    <row r="211" customFormat="false" ht="15" hidden="false" customHeight="false" outlineLevel="0" collapsed="false">
      <c r="A211" s="119" t="s">
        <v>689</v>
      </c>
      <c r="B211" s="120" t="str">
        <f aca="false">IFERROR(VLOOKUP(A211,CENTRO!$A$4:$L$548,12,0),"")</f>
        <v>MUITO ATRASADO</v>
      </c>
      <c r="C211" s="121" t="n">
        <f aca="false">IFERROR(VLOOKUP(A211,CENTRO!$A$4:$L$548,11,0),"")</f>
        <v>177.031899109792</v>
      </c>
      <c r="D211" s="119" t="b">
        <f aca="false">FALSE()</f>
        <v>0</v>
      </c>
      <c r="E211" s="122" t="s">
        <v>970</v>
      </c>
      <c r="F211" s="119"/>
      <c r="G211" s="119" t="s">
        <v>924</v>
      </c>
      <c r="H211" s="104"/>
      <c r="I211" s="104"/>
      <c r="J211" s="104"/>
      <c r="K211" s="104"/>
      <c r="L211" s="104"/>
      <c r="M211" s="104"/>
      <c r="N211" s="104"/>
      <c r="O211" s="104"/>
      <c r="P211" s="104"/>
      <c r="Q211" s="104"/>
      <c r="R211" s="104"/>
      <c r="S211" s="104"/>
      <c r="T211" s="104"/>
      <c r="U211" s="104"/>
      <c r="V211" s="104"/>
      <c r="W211" s="104"/>
      <c r="X211" s="104"/>
      <c r="Y211" s="104"/>
      <c r="Z211" s="116"/>
      <c r="AA211" s="104" t="s">
        <v>1060</v>
      </c>
      <c r="AB211" s="116"/>
      <c r="AC211" s="116"/>
    </row>
    <row r="212" customFormat="false" ht="15" hidden="false" customHeight="false" outlineLevel="0" collapsed="false">
      <c r="A212" s="119" t="s">
        <v>752</v>
      </c>
      <c r="B212" s="120" t="str">
        <f aca="false">IFERROR(VLOOKUP(A212,CENTRO!$A$4:$L$548,12,0),"")</f>
        <v>MUITO ATRASADO</v>
      </c>
      <c r="C212" s="121" t="str">
        <f aca="false">IFERROR(VLOOKUP(A212,CENTRO!$A$4:$L$137,11,0),"")</f>
        <v/>
      </c>
      <c r="D212" s="119" t="b">
        <f aca="false">FALSE()</f>
        <v>0</v>
      </c>
      <c r="E212" s="122" t="s">
        <v>971</v>
      </c>
      <c r="F212" s="119"/>
      <c r="G212" s="119" t="s">
        <v>924</v>
      </c>
      <c r="H212" s="104"/>
      <c r="I212" s="104"/>
      <c r="J212" s="104"/>
      <c r="K212" s="104"/>
      <c r="L212" s="104"/>
      <c r="M212" s="104"/>
      <c r="N212" s="104"/>
      <c r="O212" s="104"/>
      <c r="P212" s="104"/>
      <c r="Q212" s="104"/>
      <c r="R212" s="104"/>
      <c r="S212" s="104"/>
      <c r="T212" s="104"/>
      <c r="U212" s="104"/>
      <c r="V212" s="104"/>
      <c r="W212" s="104"/>
      <c r="X212" s="104"/>
      <c r="Y212" s="104"/>
      <c r="Z212" s="116"/>
      <c r="AA212" s="104" t="s">
        <v>1061</v>
      </c>
      <c r="AB212" s="116"/>
      <c r="AC212" s="116"/>
    </row>
    <row r="213" customFormat="false" ht="15" hidden="false" customHeight="false" outlineLevel="0" collapsed="false">
      <c r="A213" s="119" t="s">
        <v>684</v>
      </c>
      <c r="B213" s="120" t="str">
        <f aca="false">IFERROR(VLOOKUP(A213,CENTRO!$A$4:$L$548,12,0),"")</f>
        <v>MUITO ATRASADO</v>
      </c>
      <c r="C213" s="121" t="str">
        <f aca="false">IFERROR(VLOOKUP(A213,CENTRO!$A$4:$L$137,11,0),"")</f>
        <v/>
      </c>
      <c r="D213" s="119" t="b">
        <f aca="false">FALSE()</f>
        <v>0</v>
      </c>
      <c r="E213" s="122" t="s">
        <v>1062</v>
      </c>
      <c r="F213" s="119"/>
      <c r="G213" s="119" t="s">
        <v>924</v>
      </c>
      <c r="H213" s="104"/>
      <c r="I213" s="104"/>
      <c r="J213" s="104"/>
      <c r="K213" s="104"/>
      <c r="L213" s="104"/>
      <c r="M213" s="104"/>
      <c r="N213" s="104"/>
      <c r="O213" s="104"/>
      <c r="P213" s="104"/>
      <c r="Q213" s="104"/>
      <c r="R213" s="104"/>
      <c r="S213" s="104"/>
      <c r="T213" s="104"/>
      <c r="U213" s="104"/>
      <c r="V213" s="104"/>
      <c r="W213" s="104"/>
      <c r="X213" s="104"/>
      <c r="Y213" s="104"/>
      <c r="Z213" s="116"/>
      <c r="AA213" s="104" t="s">
        <v>965</v>
      </c>
      <c r="AB213" s="116"/>
      <c r="AC213" s="116"/>
    </row>
    <row r="214" customFormat="false" ht="15" hidden="false" customHeight="false" outlineLevel="0" collapsed="false">
      <c r="A214" s="119" t="s">
        <v>700</v>
      </c>
      <c r="B214" s="119"/>
      <c r="C214" s="121"/>
      <c r="D214" s="119" t="b">
        <f aca="false">FALSE()</f>
        <v>0</v>
      </c>
      <c r="E214" s="122" t="s">
        <v>1001</v>
      </c>
      <c r="F214" s="119"/>
      <c r="G214" s="119" t="s">
        <v>924</v>
      </c>
      <c r="H214" s="104"/>
      <c r="I214" s="104"/>
      <c r="J214" s="104"/>
      <c r="K214" s="104"/>
      <c r="L214" s="104"/>
      <c r="M214" s="104"/>
      <c r="N214" s="104"/>
      <c r="O214" s="104"/>
      <c r="P214" s="104"/>
      <c r="Q214" s="104"/>
      <c r="R214" s="104"/>
      <c r="S214" s="104"/>
      <c r="T214" s="104"/>
      <c r="U214" s="104"/>
      <c r="V214" s="104"/>
      <c r="W214" s="104"/>
      <c r="X214" s="104"/>
      <c r="Y214" s="104"/>
      <c r="Z214" s="114"/>
      <c r="AA214" s="104" t="s">
        <v>1063</v>
      </c>
      <c r="AB214" s="114"/>
      <c r="AC214" s="114"/>
    </row>
    <row r="215" customFormat="false" ht="15" hidden="false" customHeight="false" outlineLevel="0" collapsed="false">
      <c r="A215" s="119" t="s">
        <v>683</v>
      </c>
      <c r="B215" s="120" t="str">
        <f aca="false">IFERROR(VLOOKUP(A215,CENTRO!$A$4:$L$548,12,0),"")</f>
        <v>MUITO ATRASADO</v>
      </c>
      <c r="C215" s="121" t="str">
        <f aca="false">IFERROR(VLOOKUP(A215,CENTRO!$A$4:$L$137,11,0),"")</f>
        <v/>
      </c>
      <c r="D215" s="119" t="b">
        <f aca="false">FALSE()</f>
        <v>0</v>
      </c>
      <c r="E215" s="122" t="s">
        <v>985</v>
      </c>
      <c r="F215" s="119"/>
      <c r="G215" s="119" t="s">
        <v>924</v>
      </c>
      <c r="H215" s="104"/>
      <c r="I215" s="104"/>
      <c r="J215" s="104"/>
      <c r="K215" s="104"/>
      <c r="L215" s="104"/>
      <c r="M215" s="104"/>
      <c r="N215" s="104"/>
      <c r="O215" s="104"/>
      <c r="P215" s="104"/>
      <c r="Q215" s="104"/>
      <c r="R215" s="104"/>
      <c r="S215" s="104"/>
      <c r="T215" s="104"/>
      <c r="U215" s="104"/>
      <c r="V215" s="104"/>
      <c r="W215" s="104"/>
      <c r="X215" s="104"/>
      <c r="Y215" s="104"/>
      <c r="Z215" s="114"/>
      <c r="AA215" s="104" t="s">
        <v>1064</v>
      </c>
      <c r="AB215" s="114"/>
      <c r="AC215" s="114"/>
    </row>
    <row r="216" customFormat="false" ht="15" hidden="false" customHeight="false" outlineLevel="0" collapsed="false">
      <c r="A216" s="119" t="s">
        <v>533</v>
      </c>
      <c r="B216" s="120" t="str">
        <f aca="false">IFERROR(VLOOKUP(A216,CENTRO!$A$4:$L$548,12,0),"")</f>
        <v>MUITO ATRASADO</v>
      </c>
      <c r="C216" s="121" t="n">
        <f aca="false">IFERROR(VLOOKUP(A216,CENTRO!$A$4:$L$548,11,0),"")</f>
        <v>215.550774526678</v>
      </c>
      <c r="D216" s="119" t="b">
        <f aca="false">FALSE()</f>
        <v>0</v>
      </c>
      <c r="E216" s="122" t="s">
        <v>1009</v>
      </c>
      <c r="F216" s="119"/>
      <c r="G216" s="119" t="s">
        <v>924</v>
      </c>
      <c r="H216" s="104"/>
      <c r="I216" s="104"/>
      <c r="J216" s="104"/>
      <c r="K216" s="104"/>
      <c r="L216" s="104"/>
      <c r="M216" s="104"/>
      <c r="N216" s="104"/>
      <c r="O216" s="104"/>
      <c r="P216" s="104"/>
      <c r="Q216" s="104"/>
      <c r="R216" s="104"/>
      <c r="S216" s="104"/>
      <c r="T216" s="104"/>
      <c r="U216" s="104"/>
      <c r="V216" s="104"/>
      <c r="W216" s="104"/>
      <c r="X216" s="104"/>
      <c r="Y216" s="104"/>
      <c r="Z216" s="116"/>
      <c r="AA216" s="104" t="s">
        <v>968</v>
      </c>
      <c r="AB216" s="116"/>
      <c r="AC216" s="116"/>
    </row>
    <row r="217" customFormat="false" ht="15" hidden="false" customHeight="false" outlineLevel="0" collapsed="false">
      <c r="A217" s="119" t="s">
        <v>668</v>
      </c>
      <c r="B217" s="120" t="str">
        <f aca="false">IFERROR(VLOOKUP(A217,CENTRO!$A$4:$L$548,12,0),"")</f>
        <v>MUITO ATRASADO</v>
      </c>
      <c r="C217" s="121" t="str">
        <f aca="false">IFERROR(VLOOKUP(A217,CENTRO!$A$4:$L$137,11,0),"")</f>
        <v/>
      </c>
      <c r="D217" s="119" t="b">
        <f aca="false">FALSE()</f>
        <v>0</v>
      </c>
      <c r="E217" s="122" t="s">
        <v>1065</v>
      </c>
      <c r="F217" s="119"/>
      <c r="G217" s="119" t="s">
        <v>924</v>
      </c>
      <c r="H217" s="104"/>
      <c r="I217" s="104"/>
      <c r="J217" s="104"/>
      <c r="K217" s="104"/>
      <c r="L217" s="104"/>
      <c r="M217" s="104"/>
      <c r="N217" s="104"/>
      <c r="O217" s="104"/>
      <c r="P217" s="104"/>
      <c r="Q217" s="104"/>
      <c r="R217" s="104"/>
      <c r="S217" s="104"/>
      <c r="T217" s="104"/>
      <c r="U217" s="104"/>
      <c r="V217" s="104"/>
      <c r="W217" s="104"/>
      <c r="X217" s="104"/>
      <c r="Y217" s="104"/>
      <c r="Z217" s="116"/>
      <c r="AA217" s="104" t="s">
        <v>985</v>
      </c>
      <c r="AB217" s="116"/>
      <c r="AC217" s="116"/>
    </row>
    <row r="218" customFormat="false" ht="15" hidden="false" customHeight="false" outlineLevel="0" collapsed="false">
      <c r="A218" s="144" t="s">
        <v>1066</v>
      </c>
      <c r="B218" s="120" t="str">
        <f aca="false">IFERROR(VLOOKUP(A218,CENTRO!$A$4:$L$548,12,0),"")</f>
        <v/>
      </c>
      <c r="C218" s="121" t="str">
        <f aca="false">IFERROR(VLOOKUP(A218,CENTRO!$A$4:$L$137,11,0),"")</f>
        <v/>
      </c>
      <c r="D218" s="119" t="b">
        <f aca="false">FALSE()</f>
        <v>0</v>
      </c>
      <c r="E218" s="122" t="s">
        <v>1026</v>
      </c>
      <c r="F218" s="119"/>
      <c r="G218" s="119" t="s">
        <v>924</v>
      </c>
      <c r="H218" s="104"/>
      <c r="I218" s="104"/>
      <c r="J218" s="104"/>
      <c r="K218" s="104"/>
      <c r="L218" s="104"/>
      <c r="M218" s="104"/>
      <c r="N218" s="104"/>
      <c r="O218" s="104"/>
      <c r="P218" s="104"/>
      <c r="Q218" s="104"/>
      <c r="R218" s="104"/>
      <c r="S218" s="104"/>
      <c r="T218" s="104"/>
      <c r="U218" s="104"/>
      <c r="V218" s="104"/>
      <c r="W218" s="104"/>
      <c r="X218" s="104"/>
      <c r="Y218" s="104"/>
      <c r="Z218" s="116"/>
      <c r="AA218" s="104" t="s">
        <v>1026</v>
      </c>
      <c r="AB218" s="116"/>
      <c r="AC218" s="116"/>
    </row>
    <row r="219" customFormat="false" ht="15" hidden="false" customHeight="false" outlineLevel="0" collapsed="false">
      <c r="A219" s="119" t="s">
        <v>808</v>
      </c>
      <c r="B219" s="120" t="str">
        <f aca="false">IFERROR(VLOOKUP(A219,CENTRO!$A$4:$L$548,12,0),"")</f>
        <v>MUITO ATRASADO</v>
      </c>
      <c r="C219" s="121" t="n">
        <f aca="false">IFERROR(VLOOKUP(A219,CENTRO!$A$4:$L$548,11,0),"")</f>
        <v>110.235976789168</v>
      </c>
      <c r="D219" s="119" t="b">
        <f aca="false">FALSE()</f>
        <v>0</v>
      </c>
      <c r="E219" s="122" t="s">
        <v>970</v>
      </c>
      <c r="F219" s="119"/>
      <c r="G219" s="119" t="s">
        <v>924</v>
      </c>
      <c r="H219" s="104"/>
      <c r="I219" s="104"/>
      <c r="J219" s="104"/>
      <c r="K219" s="104"/>
      <c r="L219" s="104"/>
      <c r="M219" s="104"/>
      <c r="N219" s="104"/>
      <c r="O219" s="104"/>
      <c r="P219" s="104"/>
      <c r="Q219" s="104"/>
      <c r="R219" s="104"/>
      <c r="S219" s="104"/>
      <c r="T219" s="104"/>
      <c r="U219" s="104"/>
      <c r="V219" s="104"/>
      <c r="W219" s="104"/>
      <c r="X219" s="104"/>
      <c r="Y219" s="104"/>
      <c r="Z219" s="114"/>
      <c r="AA219" s="104" t="s">
        <v>1067</v>
      </c>
      <c r="AB219" s="114"/>
      <c r="AC219" s="114"/>
    </row>
    <row r="220" customFormat="false" ht="15" hidden="false" customHeight="false" outlineLevel="0" collapsed="false">
      <c r="A220" s="119" t="s">
        <v>625</v>
      </c>
      <c r="B220" s="120" t="str">
        <f aca="false">IFERROR(VLOOKUP(A220,CENTRO!$A$4:$L$548,12,0),"")</f>
        <v>MUITO ATRASADO</v>
      </c>
      <c r="C220" s="121" t="n">
        <f aca="false">IFERROR(VLOOKUP(A220,CENTRO!$A$4:$L$137,11,0),"")</f>
        <v>127.059426229509</v>
      </c>
      <c r="D220" s="119" t="b">
        <f aca="false">FALSE()</f>
        <v>0</v>
      </c>
      <c r="E220" s="122" t="s">
        <v>971</v>
      </c>
      <c r="F220" s="119"/>
      <c r="G220" s="119" t="s">
        <v>924</v>
      </c>
      <c r="H220" s="104"/>
      <c r="I220" s="104"/>
      <c r="J220" s="104"/>
      <c r="K220" s="104"/>
      <c r="L220" s="104"/>
      <c r="M220" s="104"/>
      <c r="N220" s="104"/>
      <c r="O220" s="104"/>
      <c r="P220" s="104"/>
      <c r="Q220" s="104"/>
      <c r="R220" s="104"/>
      <c r="S220" s="104"/>
      <c r="T220" s="104"/>
      <c r="U220" s="104"/>
      <c r="V220" s="104"/>
      <c r="W220" s="104"/>
      <c r="X220" s="104"/>
      <c r="Y220" s="104"/>
      <c r="Z220" s="116"/>
      <c r="AA220" s="104" t="s">
        <v>1068</v>
      </c>
      <c r="AB220" s="116"/>
      <c r="AC220" s="116"/>
    </row>
    <row r="221" customFormat="false" ht="15" hidden="false" customHeight="false" outlineLevel="0" collapsed="false">
      <c r="A221" s="119" t="s">
        <v>702</v>
      </c>
      <c r="B221" s="120" t="str">
        <f aca="false">IFERROR(VLOOKUP(A221,CENTRO!$A$4:$L$548,12,0),"")</f>
        <v>MUITO ATRASADO</v>
      </c>
      <c r="C221" s="121" t="n">
        <f aca="false">IFERROR(VLOOKUP(A221,CENTRO!$A$4:$L$548,11,0),"")</f>
        <v>147.315463917526</v>
      </c>
      <c r="D221" s="119" t="b">
        <f aca="false">FALSE()</f>
        <v>0</v>
      </c>
      <c r="E221" s="122" t="s">
        <v>970</v>
      </c>
      <c r="F221" s="119"/>
      <c r="G221" s="119" t="s">
        <v>924</v>
      </c>
      <c r="H221" s="104"/>
      <c r="I221" s="104"/>
      <c r="J221" s="104"/>
      <c r="K221" s="104"/>
      <c r="L221" s="104"/>
      <c r="M221" s="104"/>
      <c r="N221" s="104"/>
      <c r="O221" s="104"/>
      <c r="P221" s="104"/>
      <c r="Q221" s="104"/>
      <c r="R221" s="104"/>
      <c r="S221" s="104"/>
      <c r="T221" s="104"/>
      <c r="U221" s="104"/>
      <c r="V221" s="104"/>
      <c r="W221" s="104"/>
      <c r="X221" s="104"/>
      <c r="Y221" s="104"/>
      <c r="Z221" s="116"/>
      <c r="AA221" s="104" t="s">
        <v>1069</v>
      </c>
      <c r="AB221" s="116"/>
      <c r="AC221" s="116"/>
    </row>
    <row r="222" customFormat="false" ht="15" hidden="false" customHeight="false" outlineLevel="0" collapsed="false">
      <c r="A222" s="119" t="s">
        <v>128</v>
      </c>
      <c r="B222" s="119"/>
      <c r="C222" s="119"/>
      <c r="D222" s="119" t="b">
        <f aca="false">FALSE()</f>
        <v>0</v>
      </c>
      <c r="E222" s="122" t="s">
        <v>971</v>
      </c>
      <c r="F222" s="119"/>
      <c r="G222" s="119" t="s">
        <v>924</v>
      </c>
      <c r="H222" s="104"/>
      <c r="I222" s="104"/>
      <c r="J222" s="104"/>
      <c r="K222" s="104"/>
      <c r="L222" s="104"/>
      <c r="M222" s="104"/>
      <c r="N222" s="104"/>
      <c r="O222" s="104"/>
      <c r="P222" s="104"/>
      <c r="Q222" s="104"/>
      <c r="R222" s="104"/>
      <c r="S222" s="104"/>
      <c r="T222" s="104"/>
      <c r="U222" s="104"/>
      <c r="V222" s="104"/>
      <c r="W222" s="104"/>
      <c r="X222" s="104"/>
      <c r="Y222" s="104"/>
      <c r="Z222" s="114"/>
      <c r="AA222" s="104" t="s">
        <v>1070</v>
      </c>
      <c r="AB222" s="114"/>
      <c r="AC222" s="114"/>
    </row>
    <row r="223" customFormat="false" ht="15" hidden="false" customHeight="false" outlineLevel="0" collapsed="false">
      <c r="A223" s="119" t="s">
        <v>28</v>
      </c>
      <c r="B223" s="120" t="str">
        <f aca="false">IFERROR(VLOOKUP(A223,CENTRO!$A$4:$L$548,12,0),"")</f>
        <v>MUITO ATRASADO</v>
      </c>
      <c r="C223" s="121" t="n">
        <f aca="false">IFERROR(VLOOKUP(A223,CENTRO!$A$4:$L$137,11,0),"")</f>
        <v>188.013610888712</v>
      </c>
      <c r="D223" s="119" t="b">
        <f aca="false">FALSE()</f>
        <v>0</v>
      </c>
      <c r="E223" s="122" t="s">
        <v>985</v>
      </c>
      <c r="F223" s="119"/>
      <c r="G223" s="119" t="s">
        <v>924</v>
      </c>
      <c r="H223" s="104"/>
      <c r="I223" s="104"/>
      <c r="J223" s="104"/>
      <c r="K223" s="104"/>
      <c r="L223" s="104"/>
      <c r="M223" s="104"/>
      <c r="N223" s="104"/>
      <c r="O223" s="104"/>
      <c r="P223" s="104"/>
      <c r="Q223" s="104"/>
      <c r="R223" s="104"/>
      <c r="S223" s="104"/>
      <c r="T223" s="104"/>
      <c r="U223" s="104"/>
      <c r="V223" s="104"/>
      <c r="W223" s="104"/>
      <c r="X223" s="104"/>
      <c r="Y223" s="104"/>
      <c r="Z223" s="116"/>
      <c r="AA223" s="104" t="s">
        <v>1071</v>
      </c>
      <c r="AB223" s="116"/>
      <c r="AC223" s="116"/>
    </row>
    <row r="224" customFormat="false" ht="15" hidden="false" customHeight="false" outlineLevel="0" collapsed="false">
      <c r="A224" s="119" t="s">
        <v>646</v>
      </c>
      <c r="B224" s="120" t="str">
        <f aca="false">IFERROR(VLOOKUP(A224,CENTRO!$A$4:$L$548,12,0),"")</f>
        <v>MUITO ATRASADO</v>
      </c>
      <c r="C224" s="121" t="n">
        <f aca="false">IFERROR(VLOOKUP(A224,CENTRO!$A$4:$L$548,11,0),"")</f>
        <v>166.728892331527</v>
      </c>
      <c r="D224" s="119" t="b">
        <f aca="false">FALSE()</f>
        <v>0</v>
      </c>
      <c r="E224" s="122" t="s">
        <v>918</v>
      </c>
      <c r="F224" s="119"/>
      <c r="G224" s="119" t="s">
        <v>924</v>
      </c>
      <c r="H224" s="104"/>
      <c r="I224" s="104"/>
      <c r="J224" s="104"/>
      <c r="K224" s="104"/>
      <c r="L224" s="104"/>
      <c r="M224" s="104"/>
      <c r="N224" s="104"/>
      <c r="O224" s="104"/>
      <c r="P224" s="104"/>
      <c r="Q224" s="104"/>
      <c r="R224" s="104"/>
      <c r="S224" s="104"/>
      <c r="T224" s="104"/>
      <c r="U224" s="104"/>
      <c r="V224" s="104"/>
      <c r="W224" s="104"/>
      <c r="X224" s="104"/>
      <c r="Y224" s="104"/>
      <c r="Z224" s="114"/>
      <c r="AA224" s="104" t="s">
        <v>1072</v>
      </c>
      <c r="AB224" s="114"/>
      <c r="AC224" s="114"/>
    </row>
    <row r="225" customFormat="false" ht="15" hidden="false" customHeight="false" outlineLevel="0" collapsed="false">
      <c r="A225" s="136" t="s">
        <v>697</v>
      </c>
      <c r="B225" s="136"/>
      <c r="C225" s="137"/>
      <c r="D225" s="119" t="b">
        <f aca="false">FALSE()</f>
        <v>0</v>
      </c>
      <c r="E225" s="122" t="s">
        <v>970</v>
      </c>
      <c r="F225" s="136"/>
      <c r="G225" s="119" t="s">
        <v>924</v>
      </c>
      <c r="H225" s="104"/>
      <c r="I225" s="104"/>
      <c r="J225" s="104"/>
      <c r="K225" s="104"/>
      <c r="L225" s="104"/>
      <c r="M225" s="104"/>
      <c r="N225" s="104"/>
      <c r="O225" s="104"/>
      <c r="P225" s="104"/>
      <c r="Q225" s="104"/>
      <c r="R225" s="104"/>
      <c r="S225" s="104"/>
      <c r="T225" s="104"/>
      <c r="U225" s="104"/>
      <c r="V225" s="104"/>
      <c r="W225" s="104"/>
      <c r="X225" s="104"/>
      <c r="Y225" s="104"/>
      <c r="Z225" s="116"/>
      <c r="AA225" s="104" t="s">
        <v>1073</v>
      </c>
      <c r="AB225" s="116"/>
      <c r="AC225" s="116"/>
    </row>
    <row r="226" customFormat="false" ht="15" hidden="false" customHeight="false" outlineLevel="0" collapsed="false">
      <c r="A226" s="119" t="s">
        <v>1074</v>
      </c>
      <c r="B226" s="120" t="str">
        <f aca="false">IFERROR(VLOOKUP(A226,CENTRO!$A$4:$L$548,12,0),"")</f>
        <v/>
      </c>
      <c r="C226" s="121" t="str">
        <f aca="false">IFERROR(VLOOKUP(A226,CENTRO!$A$4:$L$137,11,0),"")</f>
        <v/>
      </c>
      <c r="D226" s="119" t="b">
        <f aca="false">FALSE()</f>
        <v>0</v>
      </c>
      <c r="E226" s="122" t="s">
        <v>971</v>
      </c>
      <c r="F226" s="119"/>
      <c r="G226" s="119" t="s">
        <v>924</v>
      </c>
      <c r="H226" s="104"/>
      <c r="I226" s="104"/>
      <c r="J226" s="104"/>
      <c r="K226" s="104"/>
      <c r="L226" s="104"/>
      <c r="M226" s="104"/>
      <c r="N226" s="104"/>
      <c r="O226" s="104"/>
      <c r="P226" s="104"/>
      <c r="Q226" s="104"/>
      <c r="R226" s="104"/>
      <c r="S226" s="104"/>
      <c r="T226" s="104"/>
      <c r="U226" s="104"/>
      <c r="V226" s="104"/>
      <c r="W226" s="104"/>
      <c r="X226" s="104"/>
      <c r="Y226" s="104"/>
      <c r="Z226" s="116"/>
      <c r="AA226" s="104" t="s">
        <v>1075</v>
      </c>
      <c r="AB226" s="116"/>
      <c r="AC226" s="116"/>
    </row>
    <row r="227" customFormat="false" ht="15" hidden="false" customHeight="false" outlineLevel="0" collapsed="false">
      <c r="A227" s="119" t="s">
        <v>365</v>
      </c>
      <c r="B227" s="120" t="str">
        <f aca="false">IFERROR(VLOOKUP(A227,CENTRO!$A$4:$L$548,12,0),"")</f>
        <v>MUITO ATRASADO</v>
      </c>
      <c r="C227" s="121" t="str">
        <f aca="false">IFERROR(VLOOKUP(A227,CENTRO!$A$4:$L$137,11,0),"")</f>
        <v/>
      </c>
      <c r="D227" s="119" t="b">
        <f aca="false">FALSE()</f>
        <v>0</v>
      </c>
      <c r="E227" s="122" t="s">
        <v>971</v>
      </c>
      <c r="F227" s="119"/>
      <c r="G227" s="119" t="s">
        <v>924</v>
      </c>
      <c r="H227" s="104"/>
      <c r="I227" s="104"/>
      <c r="J227" s="104"/>
      <c r="K227" s="104"/>
      <c r="L227" s="104"/>
      <c r="M227" s="104"/>
      <c r="N227" s="104"/>
      <c r="O227" s="104"/>
      <c r="P227" s="104"/>
      <c r="Q227" s="104"/>
      <c r="R227" s="104"/>
      <c r="S227" s="104"/>
      <c r="T227" s="104"/>
      <c r="U227" s="104"/>
      <c r="V227" s="104"/>
      <c r="W227" s="104"/>
      <c r="X227" s="104"/>
      <c r="Y227" s="104"/>
      <c r="Z227" s="116"/>
      <c r="AA227" s="104" t="s">
        <v>1076</v>
      </c>
      <c r="AB227" s="116"/>
      <c r="AC227" s="116"/>
    </row>
    <row r="228" customFormat="false" ht="15" hidden="false" customHeight="false" outlineLevel="0" collapsed="false">
      <c r="A228" s="119" t="s">
        <v>266</v>
      </c>
      <c r="B228" s="120" t="str">
        <f aca="false">IFERROR(VLOOKUP(A228,CENTRO!$A$4:$L$548,12,0),"")</f>
        <v>MUITO ATRASADO</v>
      </c>
      <c r="C228" s="121" t="n">
        <f aca="false">IFERROR(VLOOKUP(A228,CENTRO!$A$4:$L$548,11,0),"")</f>
        <v>134.671511627906</v>
      </c>
      <c r="D228" s="119" t="b">
        <f aca="false">FALSE()</f>
        <v>0</v>
      </c>
      <c r="E228" s="122" t="s">
        <v>918</v>
      </c>
      <c r="F228" s="119"/>
      <c r="G228" s="119" t="s">
        <v>924</v>
      </c>
      <c r="H228" s="104"/>
      <c r="I228" s="104"/>
      <c r="J228" s="104"/>
      <c r="K228" s="104"/>
      <c r="L228" s="104"/>
      <c r="M228" s="104"/>
      <c r="N228" s="104"/>
      <c r="O228" s="104"/>
      <c r="P228" s="104"/>
      <c r="Q228" s="104"/>
      <c r="R228" s="104"/>
      <c r="S228" s="104"/>
      <c r="T228" s="104"/>
      <c r="U228" s="104"/>
      <c r="V228" s="104"/>
      <c r="W228" s="104"/>
      <c r="X228" s="104"/>
      <c r="Y228" s="104"/>
      <c r="Z228" s="114"/>
      <c r="AA228" s="104" t="s">
        <v>1077</v>
      </c>
      <c r="AB228" s="114"/>
      <c r="AC228" s="114"/>
    </row>
    <row r="229" customFormat="false" ht="15" hidden="false" customHeight="false" outlineLevel="0" collapsed="false">
      <c r="A229" s="136" t="s">
        <v>560</v>
      </c>
      <c r="B229" s="136"/>
      <c r="C229" s="137"/>
      <c r="D229" s="119" t="b">
        <f aca="false">FALSE()</f>
        <v>0</v>
      </c>
      <c r="E229" s="122" t="s">
        <v>932</v>
      </c>
      <c r="F229" s="136"/>
      <c r="G229" s="119" t="s">
        <v>924</v>
      </c>
      <c r="H229" s="104"/>
      <c r="I229" s="104"/>
      <c r="J229" s="104"/>
      <c r="K229" s="104"/>
      <c r="L229" s="104"/>
      <c r="M229" s="104"/>
      <c r="N229" s="104"/>
      <c r="O229" s="104"/>
      <c r="P229" s="104"/>
      <c r="Q229" s="104"/>
      <c r="R229" s="104"/>
      <c r="S229" s="104"/>
      <c r="T229" s="104"/>
      <c r="U229" s="104"/>
      <c r="V229" s="104"/>
      <c r="W229" s="104"/>
      <c r="X229" s="104"/>
      <c r="Y229" s="104"/>
      <c r="Z229" s="116"/>
      <c r="AA229" s="104" t="s">
        <v>1078</v>
      </c>
      <c r="AB229" s="116"/>
      <c r="AC229" s="116"/>
    </row>
    <row r="230" customFormat="false" ht="15" hidden="false" customHeight="false" outlineLevel="0" collapsed="false">
      <c r="A230" s="119" t="s">
        <v>727</v>
      </c>
      <c r="B230" s="119"/>
      <c r="C230" s="121"/>
      <c r="D230" s="119" t="b">
        <f aca="false">FALSE()</f>
        <v>0</v>
      </c>
      <c r="E230" s="122" t="s">
        <v>1079</v>
      </c>
      <c r="F230" s="119"/>
      <c r="G230" s="119" t="s">
        <v>924</v>
      </c>
      <c r="H230" s="104"/>
      <c r="I230" s="104"/>
      <c r="J230" s="104"/>
      <c r="K230" s="104"/>
      <c r="L230" s="104"/>
      <c r="M230" s="104"/>
      <c r="N230" s="104"/>
      <c r="O230" s="104"/>
      <c r="P230" s="104"/>
      <c r="Q230" s="104"/>
      <c r="R230" s="104"/>
      <c r="S230" s="104"/>
      <c r="T230" s="104"/>
      <c r="U230" s="104"/>
      <c r="V230" s="104"/>
      <c r="W230" s="104"/>
      <c r="X230" s="104"/>
      <c r="Y230" s="104"/>
      <c r="Z230" s="116"/>
      <c r="AA230" s="104" t="s">
        <v>1080</v>
      </c>
      <c r="AB230" s="116"/>
      <c r="AC230" s="116"/>
    </row>
    <row r="231" customFormat="false" ht="15" hidden="false" customHeight="false" outlineLevel="0" collapsed="false">
      <c r="A231" s="119" t="s">
        <v>549</v>
      </c>
      <c r="B231" s="119"/>
      <c r="C231" s="121"/>
      <c r="D231" s="119" t="b">
        <f aca="false">FALSE()</f>
        <v>0</v>
      </c>
      <c r="E231" s="122" t="s">
        <v>1081</v>
      </c>
      <c r="F231" s="119"/>
      <c r="G231" s="119" t="s">
        <v>924</v>
      </c>
      <c r="H231" s="104"/>
      <c r="I231" s="104"/>
      <c r="J231" s="104"/>
      <c r="K231" s="104"/>
      <c r="L231" s="104"/>
      <c r="M231" s="104"/>
      <c r="N231" s="104"/>
      <c r="O231" s="104"/>
      <c r="P231" s="104"/>
      <c r="Q231" s="104"/>
      <c r="R231" s="104"/>
      <c r="S231" s="104"/>
      <c r="T231" s="104"/>
      <c r="U231" s="104"/>
      <c r="V231" s="104"/>
      <c r="W231" s="104"/>
      <c r="X231" s="104"/>
      <c r="Y231" s="104"/>
      <c r="Z231" s="116"/>
      <c r="AA231" s="104" t="s">
        <v>1082</v>
      </c>
      <c r="AB231" s="116"/>
      <c r="AC231" s="116"/>
    </row>
    <row r="232" customFormat="false" ht="15" hidden="false" customHeight="false" outlineLevel="0" collapsed="false">
      <c r="A232" s="119" t="s">
        <v>347</v>
      </c>
      <c r="B232" s="119"/>
      <c r="C232" s="121"/>
      <c r="D232" s="119" t="b">
        <f aca="false">FALSE()</f>
        <v>0</v>
      </c>
      <c r="E232" s="122" t="s">
        <v>930</v>
      </c>
      <c r="F232" s="119"/>
      <c r="G232" s="119" t="s">
        <v>924</v>
      </c>
      <c r="H232" s="104"/>
      <c r="I232" s="104"/>
      <c r="J232" s="104"/>
      <c r="K232" s="104"/>
      <c r="L232" s="104"/>
      <c r="M232" s="104"/>
      <c r="N232" s="104"/>
      <c r="O232" s="104"/>
      <c r="P232" s="104"/>
      <c r="Q232" s="104"/>
      <c r="R232" s="104"/>
      <c r="S232" s="104"/>
      <c r="T232" s="104"/>
      <c r="U232" s="104"/>
      <c r="V232" s="104"/>
      <c r="W232" s="104"/>
      <c r="X232" s="104"/>
      <c r="Y232" s="104"/>
      <c r="Z232" s="116"/>
      <c r="AA232" s="104" t="s">
        <v>1083</v>
      </c>
      <c r="AB232" s="116"/>
      <c r="AC232" s="116"/>
    </row>
    <row r="233" customFormat="false" ht="15" hidden="false" customHeight="false" outlineLevel="0" collapsed="false">
      <c r="A233" s="119" t="s">
        <v>793</v>
      </c>
      <c r="B233" s="119"/>
      <c r="C233" s="121"/>
      <c r="D233" s="119" t="b">
        <f aca="false">FALSE()</f>
        <v>0</v>
      </c>
      <c r="E233" s="122" t="s">
        <v>930</v>
      </c>
      <c r="F233" s="119"/>
      <c r="G233" s="119" t="s">
        <v>924</v>
      </c>
      <c r="H233" s="104"/>
      <c r="I233" s="104"/>
      <c r="J233" s="104"/>
      <c r="K233" s="104"/>
      <c r="L233" s="104"/>
      <c r="M233" s="104"/>
      <c r="N233" s="104"/>
      <c r="O233" s="104"/>
      <c r="P233" s="104"/>
      <c r="Q233" s="104"/>
      <c r="R233" s="104"/>
      <c r="S233" s="104"/>
      <c r="T233" s="104"/>
      <c r="U233" s="104"/>
      <c r="V233" s="104"/>
      <c r="W233" s="104"/>
      <c r="X233" s="104"/>
      <c r="Y233" s="104"/>
      <c r="Z233" s="116"/>
      <c r="AA233" s="104" t="s">
        <v>978</v>
      </c>
      <c r="AB233" s="116"/>
      <c r="AC233" s="116"/>
    </row>
    <row r="234" customFormat="false" ht="15" hidden="false" customHeight="false" outlineLevel="0" collapsed="false">
      <c r="A234" s="119" t="s">
        <v>623</v>
      </c>
      <c r="B234" s="119"/>
      <c r="C234" s="121"/>
      <c r="D234" s="119" t="b">
        <f aca="false">FALSE()</f>
        <v>0</v>
      </c>
      <c r="E234" s="122" t="s">
        <v>930</v>
      </c>
      <c r="F234" s="119"/>
      <c r="G234" s="119" t="s">
        <v>924</v>
      </c>
      <c r="H234" s="104"/>
      <c r="I234" s="104"/>
      <c r="J234" s="104"/>
      <c r="K234" s="104"/>
      <c r="L234" s="104"/>
      <c r="M234" s="104"/>
      <c r="N234" s="104"/>
      <c r="O234" s="104"/>
      <c r="P234" s="104"/>
      <c r="Q234" s="104"/>
      <c r="R234" s="104"/>
      <c r="S234" s="104"/>
      <c r="T234" s="104"/>
      <c r="U234" s="104"/>
      <c r="V234" s="104"/>
      <c r="W234" s="104"/>
      <c r="X234" s="104"/>
      <c r="Y234" s="104"/>
      <c r="Z234" s="114"/>
      <c r="AA234" s="114"/>
      <c r="AB234" s="114"/>
      <c r="AC234" s="114"/>
    </row>
    <row r="235" customFormat="false" ht="15" hidden="false" customHeight="false" outlineLevel="0" collapsed="false">
      <c r="A235" s="119" t="s">
        <v>1084</v>
      </c>
      <c r="B235" s="119"/>
      <c r="C235" s="121"/>
      <c r="D235" s="119" t="b">
        <f aca="false">FALSE()</f>
        <v>0</v>
      </c>
      <c r="E235" s="122" t="s">
        <v>930</v>
      </c>
      <c r="F235" s="119"/>
      <c r="G235" s="119" t="s">
        <v>924</v>
      </c>
      <c r="H235" s="104"/>
      <c r="I235" s="104"/>
      <c r="J235" s="104"/>
      <c r="K235" s="104"/>
      <c r="L235" s="104"/>
      <c r="M235" s="104"/>
      <c r="N235" s="104"/>
      <c r="O235" s="104"/>
      <c r="P235" s="104"/>
      <c r="Q235" s="104"/>
      <c r="R235" s="104"/>
      <c r="S235" s="104"/>
      <c r="T235" s="104"/>
      <c r="U235" s="104"/>
      <c r="V235" s="104"/>
      <c r="W235" s="104"/>
      <c r="X235" s="104"/>
      <c r="Y235" s="104"/>
      <c r="Z235" s="116"/>
      <c r="AA235" s="116"/>
      <c r="AB235" s="116"/>
      <c r="AC235" s="116"/>
    </row>
    <row r="236" customFormat="false" ht="15" hidden="false" customHeight="false" outlineLevel="0" collapsed="false">
      <c r="A236" s="119" t="s">
        <v>57</v>
      </c>
      <c r="B236" s="120" t="str">
        <f aca="false">IFERROR(VLOOKUP(A236,CENTRO!$A$4:$L$548,12,0),"")</f>
        <v>MUITO ATRASADO</v>
      </c>
      <c r="C236" s="121" t="n">
        <f aca="false">IFERROR(VLOOKUP(A236,CENTRO!$A$4:$L$548,11,0),"")</f>
        <v>106.791483113069</v>
      </c>
      <c r="D236" s="119" t="b">
        <f aca="false">FALSE()</f>
        <v>0</v>
      </c>
      <c r="E236" s="122" t="s">
        <v>918</v>
      </c>
      <c r="F236" s="119"/>
      <c r="G236" s="119" t="s">
        <v>924</v>
      </c>
      <c r="H236" s="104"/>
      <c r="I236" s="104"/>
      <c r="J236" s="104"/>
      <c r="K236" s="104"/>
      <c r="L236" s="104"/>
      <c r="M236" s="104"/>
      <c r="N236" s="104"/>
      <c r="O236" s="104"/>
      <c r="P236" s="104"/>
      <c r="Q236" s="104"/>
      <c r="R236" s="104"/>
      <c r="S236" s="104"/>
      <c r="T236" s="104"/>
      <c r="U236" s="104"/>
      <c r="V236" s="104"/>
      <c r="W236" s="104"/>
      <c r="X236" s="104"/>
      <c r="Y236" s="104"/>
      <c r="Z236" s="116"/>
      <c r="AA236" s="116"/>
      <c r="AB236" s="116"/>
      <c r="AC236" s="116"/>
    </row>
    <row r="237" customFormat="false" ht="15" hidden="false" customHeight="false" outlineLevel="0" collapsed="false">
      <c r="A237" s="119" t="s">
        <v>771</v>
      </c>
      <c r="B237" s="120" t="str">
        <f aca="false">IFERROR(VLOOKUP(A237,CENTRO!$A$4:$L$548,12,0),"")</f>
        <v>MUITO ATRASADO</v>
      </c>
      <c r="C237" s="121" t="n">
        <f aca="false">IFERROR(VLOOKUP(A237,CENTRO!$A$4:$L$548,11,0),"")</f>
        <v>123.666666666667</v>
      </c>
      <c r="D237" s="119" t="b">
        <f aca="false">FALSE()</f>
        <v>0</v>
      </c>
      <c r="E237" s="122" t="s">
        <v>1085</v>
      </c>
      <c r="F237" s="119"/>
      <c r="G237" s="119" t="s">
        <v>924</v>
      </c>
      <c r="H237" s="104"/>
      <c r="I237" s="104"/>
      <c r="J237" s="104"/>
      <c r="K237" s="104"/>
      <c r="L237" s="104"/>
      <c r="M237" s="104"/>
      <c r="N237" s="104"/>
      <c r="O237" s="104"/>
      <c r="P237" s="104"/>
      <c r="Q237" s="104"/>
      <c r="R237" s="104"/>
      <c r="S237" s="104"/>
      <c r="T237" s="104"/>
      <c r="U237" s="104"/>
      <c r="V237" s="104"/>
      <c r="W237" s="104"/>
      <c r="X237" s="104"/>
      <c r="Y237" s="104"/>
      <c r="Z237" s="116"/>
      <c r="AA237" s="116"/>
      <c r="AB237" s="116"/>
      <c r="AC237" s="116"/>
    </row>
    <row r="238" customFormat="false" ht="15" hidden="false" customHeight="false" outlineLevel="0" collapsed="false">
      <c r="A238" s="119" t="s">
        <v>787</v>
      </c>
      <c r="B238" s="119"/>
      <c r="C238" s="119"/>
      <c r="D238" s="119" t="b">
        <f aca="false">FALSE()</f>
        <v>0</v>
      </c>
      <c r="E238" s="122" t="s">
        <v>1086</v>
      </c>
      <c r="F238" s="119"/>
      <c r="G238" s="119" t="s">
        <v>924</v>
      </c>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row>
    <row r="239" customFormat="false" ht="15" hidden="false" customHeight="false" outlineLevel="0" collapsed="false">
      <c r="A239" s="119" t="s">
        <v>578</v>
      </c>
      <c r="B239" s="119"/>
      <c r="C239" s="121"/>
      <c r="D239" s="119" t="b">
        <f aca="false">FALSE()</f>
        <v>0</v>
      </c>
      <c r="E239" s="122" t="s">
        <v>922</v>
      </c>
      <c r="F239" s="119"/>
      <c r="G239" s="119" t="s">
        <v>924</v>
      </c>
      <c r="H239" s="104"/>
      <c r="I239" s="104"/>
      <c r="J239" s="104"/>
      <c r="K239" s="104"/>
      <c r="L239" s="104"/>
      <c r="M239" s="104"/>
      <c r="N239" s="104"/>
      <c r="O239" s="104"/>
      <c r="P239" s="104"/>
      <c r="Q239" s="104"/>
      <c r="R239" s="104"/>
      <c r="S239" s="104"/>
      <c r="T239" s="104"/>
      <c r="U239" s="104"/>
      <c r="V239" s="104"/>
      <c r="W239" s="104"/>
      <c r="X239" s="104"/>
      <c r="Y239" s="104"/>
      <c r="Z239" s="116"/>
      <c r="AA239" s="116"/>
      <c r="AB239" s="116"/>
      <c r="AC239" s="116"/>
    </row>
    <row r="240" customFormat="false" ht="15" hidden="false" customHeight="false" outlineLevel="0" collapsed="false">
      <c r="A240" s="119" t="s">
        <v>587</v>
      </c>
      <c r="B240" s="120" t="str">
        <f aca="false">IFERROR(VLOOKUP(A240,CENTRO!$A$4:$L$548,12,0),"")</f>
        <v>MUITO ATRASADO</v>
      </c>
      <c r="C240" s="121" t="n">
        <f aca="false">IFERROR(VLOOKUP(A240,CENTRO!$A$4:$L$548,11,0),"")</f>
        <v>191.067615658364</v>
      </c>
      <c r="D240" s="119" t="b">
        <f aca="false">FALSE()</f>
        <v>0</v>
      </c>
      <c r="E240" s="122" t="s">
        <v>1087</v>
      </c>
      <c r="F240" s="119"/>
      <c r="G240" s="119" t="s">
        <v>924</v>
      </c>
      <c r="H240" s="104"/>
      <c r="I240" s="104"/>
      <c r="J240" s="104"/>
      <c r="K240" s="104"/>
      <c r="L240" s="104"/>
      <c r="M240" s="104"/>
      <c r="N240" s="104"/>
      <c r="O240" s="104"/>
      <c r="P240" s="104"/>
      <c r="Q240" s="104"/>
      <c r="R240" s="104"/>
      <c r="S240" s="104"/>
      <c r="T240" s="104"/>
      <c r="U240" s="104"/>
      <c r="V240" s="104"/>
      <c r="W240" s="104"/>
      <c r="X240" s="104"/>
      <c r="Y240" s="104"/>
      <c r="Z240" s="116"/>
      <c r="AA240" s="116"/>
      <c r="AB240" s="116"/>
      <c r="AC240" s="116"/>
    </row>
    <row r="241" customFormat="false" ht="15" hidden="false" customHeight="false" outlineLevel="0" collapsed="false">
      <c r="A241" s="119" t="s">
        <v>750</v>
      </c>
      <c r="B241" s="119"/>
      <c r="C241" s="119"/>
      <c r="D241" s="119" t="b">
        <f aca="false">FALSE()</f>
        <v>0</v>
      </c>
      <c r="E241" s="122" t="s">
        <v>922</v>
      </c>
      <c r="F241" s="119"/>
      <c r="G241" s="119" t="s">
        <v>924</v>
      </c>
      <c r="H241" s="104"/>
      <c r="I241" s="104"/>
      <c r="J241" s="104"/>
      <c r="K241" s="104"/>
      <c r="L241" s="104"/>
      <c r="M241" s="104"/>
      <c r="N241" s="104"/>
      <c r="O241" s="104"/>
      <c r="P241" s="104"/>
      <c r="Q241" s="104"/>
      <c r="R241" s="104"/>
      <c r="S241" s="104"/>
      <c r="T241" s="104"/>
      <c r="U241" s="104"/>
      <c r="V241" s="104"/>
      <c r="W241" s="104"/>
      <c r="X241" s="104"/>
      <c r="Y241" s="104"/>
      <c r="Z241" s="116"/>
      <c r="AA241" s="116"/>
      <c r="AB241" s="116"/>
      <c r="AC241" s="116"/>
    </row>
    <row r="242" customFormat="false" ht="15" hidden="false" customHeight="false" outlineLevel="0" collapsed="false">
      <c r="A242" s="119" t="s">
        <v>696</v>
      </c>
      <c r="B242" s="120" t="str">
        <f aca="false">IFERROR(VLOOKUP(A242,CENTRO!$A$4:$L$548,12,0),"")</f>
        <v>MUITO ATRASADO</v>
      </c>
      <c r="C242" s="121" t="n">
        <f aca="false">IFERROR(VLOOKUP(A242,CENTRO!$A$4:$L$548,11,0),"")</f>
        <v>153.285714285714</v>
      </c>
      <c r="D242" s="119" t="b">
        <f aca="false">FALSE()</f>
        <v>0</v>
      </c>
      <c r="E242" s="122" t="s">
        <v>1088</v>
      </c>
      <c r="F242" s="119"/>
      <c r="G242" s="119" t="s">
        <v>924</v>
      </c>
      <c r="H242" s="104"/>
      <c r="I242" s="104"/>
      <c r="J242" s="104"/>
      <c r="K242" s="104"/>
      <c r="L242" s="104"/>
      <c r="M242" s="104"/>
      <c r="N242" s="104"/>
      <c r="O242" s="104"/>
      <c r="P242" s="104"/>
      <c r="Q242" s="104"/>
      <c r="R242" s="104"/>
      <c r="S242" s="104"/>
      <c r="T242" s="104"/>
      <c r="U242" s="104"/>
      <c r="V242" s="104"/>
      <c r="W242" s="104"/>
      <c r="X242" s="104"/>
      <c r="Y242" s="104"/>
      <c r="Z242" s="116"/>
      <c r="AA242" s="116"/>
      <c r="AB242" s="116"/>
      <c r="AC242" s="116"/>
    </row>
    <row r="243" customFormat="false" ht="15" hidden="false" customHeight="false" outlineLevel="0" collapsed="false">
      <c r="A243" s="119" t="s">
        <v>815</v>
      </c>
      <c r="B243" s="120" t="str">
        <f aca="false">IFERROR(VLOOKUP(A243,CENTRO!$A$4:$L$548,12,0),"")</f>
        <v>MUITO ATRASADO</v>
      </c>
      <c r="C243" s="121" t="n">
        <f aca="false">IFERROR(VLOOKUP(A243,CENTRO!$A$4:$L$548,11,0),"")</f>
        <v>107.746741154562</v>
      </c>
      <c r="D243" s="119" t="b">
        <f aca="false">FALSE()</f>
        <v>0</v>
      </c>
      <c r="E243" s="122" t="s">
        <v>970</v>
      </c>
      <c r="F243" s="119"/>
      <c r="G243" s="119" t="s">
        <v>924</v>
      </c>
      <c r="H243" s="104"/>
      <c r="I243" s="104"/>
      <c r="J243" s="104"/>
      <c r="K243" s="104"/>
      <c r="L243" s="104"/>
      <c r="M243" s="104"/>
      <c r="N243" s="104"/>
      <c r="O243" s="104"/>
      <c r="P243" s="104"/>
      <c r="Q243" s="104"/>
      <c r="R243" s="104"/>
      <c r="S243" s="104"/>
      <c r="T243" s="104"/>
      <c r="U243" s="104"/>
      <c r="V243" s="104"/>
      <c r="W243" s="104"/>
      <c r="X243" s="104"/>
      <c r="Y243" s="104"/>
      <c r="Z243" s="116"/>
      <c r="AA243" s="116"/>
      <c r="AB243" s="116"/>
      <c r="AC243" s="116"/>
    </row>
    <row r="244" customFormat="false" ht="15" hidden="false" customHeight="false" outlineLevel="0" collapsed="false">
      <c r="A244" s="119" t="s">
        <v>57</v>
      </c>
      <c r="B244" s="120" t="str">
        <f aca="false">IFERROR(VLOOKUP(A244,CENTRO!$A$4:$L$548,12,0),"")</f>
        <v>MUITO ATRASADO</v>
      </c>
      <c r="C244" s="121" t="n">
        <f aca="false">IFERROR(VLOOKUP(A244,CENTRO!$A$4:$L$548,11,0),"")</f>
        <v>106.791483113069</v>
      </c>
      <c r="D244" s="119" t="b">
        <f aca="false">FALSE()</f>
        <v>0</v>
      </c>
      <c r="E244" s="122" t="s">
        <v>970</v>
      </c>
      <c r="F244" s="119"/>
      <c r="G244" s="119" t="s">
        <v>924</v>
      </c>
      <c r="H244" s="104"/>
      <c r="I244" s="104"/>
      <c r="J244" s="104"/>
      <c r="K244" s="104"/>
      <c r="L244" s="104"/>
      <c r="M244" s="104"/>
      <c r="N244" s="104"/>
      <c r="O244" s="104"/>
      <c r="P244" s="104"/>
      <c r="Q244" s="104"/>
      <c r="R244" s="104"/>
      <c r="S244" s="104"/>
      <c r="T244" s="104"/>
      <c r="U244" s="104"/>
      <c r="V244" s="104"/>
      <c r="W244" s="104"/>
      <c r="X244" s="104"/>
      <c r="Y244" s="104"/>
      <c r="Z244" s="116"/>
      <c r="AA244" s="116"/>
      <c r="AB244" s="116"/>
      <c r="AC244" s="116"/>
    </row>
    <row r="245" customFormat="false" ht="15" hidden="false" customHeight="false" outlineLevel="0" collapsed="false">
      <c r="A245" s="119" t="s">
        <v>219</v>
      </c>
      <c r="B245" s="120" t="str">
        <f aca="false">IFERROR(VLOOKUP(A245,CENTRO!$A$4:$L$548,12,0),"")</f>
        <v>MUITO ATRASADO</v>
      </c>
      <c r="C245" s="121" t="n">
        <f aca="false">IFERROR(VLOOKUP(A245,CENTRO!$A$4:$L$548,11,0),"")</f>
        <v>116.197568389058</v>
      </c>
      <c r="D245" s="119" t="b">
        <f aca="false">FALSE()</f>
        <v>0</v>
      </c>
      <c r="E245" s="122" t="s">
        <v>970</v>
      </c>
      <c r="F245" s="119"/>
      <c r="G245" s="119" t="s">
        <v>924</v>
      </c>
      <c r="H245" s="104"/>
      <c r="I245" s="104"/>
      <c r="J245" s="104"/>
      <c r="K245" s="104"/>
      <c r="L245" s="104"/>
      <c r="M245" s="104"/>
      <c r="N245" s="104"/>
      <c r="O245" s="104"/>
      <c r="P245" s="104"/>
      <c r="Q245" s="104"/>
      <c r="R245" s="104"/>
      <c r="S245" s="104"/>
      <c r="T245" s="104"/>
      <c r="U245" s="104"/>
      <c r="V245" s="104"/>
      <c r="W245" s="104"/>
      <c r="X245" s="104"/>
      <c r="Y245" s="104"/>
      <c r="Z245" s="116"/>
      <c r="AA245" s="116"/>
      <c r="AB245" s="116"/>
      <c r="AC245" s="116"/>
    </row>
    <row r="246" customFormat="false" ht="15" hidden="false" customHeight="false" outlineLevel="0" collapsed="false">
      <c r="A246" s="119" t="s">
        <v>754</v>
      </c>
      <c r="B246" s="120" t="str">
        <f aca="false">IFERROR(VLOOKUP(A246,CENTRO!$A$4:$L$548,12,0),"")</f>
        <v>MUITO ATRASADO</v>
      </c>
      <c r="C246" s="121" t="n">
        <f aca="false">IFERROR(VLOOKUP(A246,CENTRO!$A$4:$L$548,11,0),"")</f>
        <v>104.159680638722</v>
      </c>
      <c r="D246" s="119" t="b">
        <f aca="false">FALSE()</f>
        <v>0</v>
      </c>
      <c r="E246" s="122" t="s">
        <v>918</v>
      </c>
      <c r="F246" s="119"/>
      <c r="G246" s="119" t="s">
        <v>924</v>
      </c>
      <c r="H246" s="104"/>
      <c r="I246" s="104"/>
      <c r="J246" s="104"/>
      <c r="K246" s="104"/>
      <c r="L246" s="104"/>
      <c r="M246" s="104"/>
      <c r="N246" s="104"/>
      <c r="O246" s="104"/>
      <c r="P246" s="104"/>
      <c r="Q246" s="104"/>
      <c r="R246" s="104"/>
      <c r="S246" s="104"/>
      <c r="T246" s="104"/>
      <c r="U246" s="104"/>
      <c r="V246" s="104"/>
      <c r="W246" s="104"/>
      <c r="X246" s="104"/>
      <c r="Y246" s="104"/>
      <c r="Z246" s="114"/>
      <c r="AA246" s="114"/>
      <c r="AB246" s="114"/>
      <c r="AC246" s="114"/>
    </row>
    <row r="247" customFormat="false" ht="15" hidden="false" customHeight="false" outlineLevel="0" collapsed="false">
      <c r="A247" s="119" t="s">
        <v>595</v>
      </c>
      <c r="B247" s="120" t="str">
        <f aca="false">IFERROR(VLOOKUP(A247,CENTRO!$A$4:$L$548,12,0),"")</f>
        <v>MUITO ATRASADO</v>
      </c>
      <c r="C247" s="121" t="n">
        <f aca="false">IFERROR(VLOOKUP(A247,CENTRO!$A$4:$L$548,11,0),"")</f>
        <v>134.164658634538</v>
      </c>
      <c r="D247" s="119" t="b">
        <f aca="false">FALSE()</f>
        <v>0</v>
      </c>
      <c r="E247" s="122" t="s">
        <v>986</v>
      </c>
      <c r="F247" s="119"/>
      <c r="G247" s="119" t="s">
        <v>924</v>
      </c>
      <c r="H247" s="104"/>
      <c r="I247" s="104"/>
      <c r="J247" s="104"/>
      <c r="K247" s="104"/>
      <c r="L247" s="104"/>
      <c r="M247" s="104"/>
      <c r="N247" s="104"/>
      <c r="O247" s="104"/>
      <c r="P247" s="104"/>
      <c r="Q247" s="104"/>
      <c r="R247" s="104"/>
      <c r="S247" s="104"/>
      <c r="T247" s="104"/>
      <c r="U247" s="104"/>
      <c r="V247" s="104"/>
      <c r="W247" s="104"/>
      <c r="X247" s="104"/>
      <c r="Y247" s="104"/>
      <c r="Z247" s="116"/>
      <c r="AA247" s="116"/>
      <c r="AB247" s="116"/>
      <c r="AC247" s="116"/>
    </row>
    <row r="248" customFormat="false" ht="15" hidden="false" customHeight="false" outlineLevel="0" collapsed="false">
      <c r="A248" s="119" t="s">
        <v>473</v>
      </c>
      <c r="B248" s="120" t="str">
        <f aca="false">IFERROR(VLOOKUP(A248,CENTRO!$A$4:$L$548,12,0),"")</f>
        <v>MUITO ATRASADO</v>
      </c>
      <c r="C248" s="121" t="n">
        <f aca="false">IFERROR(VLOOKUP(A248,CENTRO!$A$4:$L$548,11,0),"")</f>
        <v>116.822400990099</v>
      </c>
      <c r="D248" s="119" t="b">
        <f aca="false">FALSE()</f>
        <v>0</v>
      </c>
      <c r="E248" s="122" t="s">
        <v>970</v>
      </c>
      <c r="F248" s="119"/>
      <c r="G248" s="119" t="s">
        <v>924</v>
      </c>
      <c r="H248" s="104"/>
      <c r="I248" s="104"/>
      <c r="J248" s="104"/>
      <c r="K248" s="104"/>
      <c r="L248" s="104"/>
      <c r="M248" s="104"/>
      <c r="N248" s="104"/>
      <c r="O248" s="104"/>
      <c r="P248" s="104"/>
      <c r="Q248" s="104"/>
      <c r="R248" s="104"/>
      <c r="S248" s="104"/>
      <c r="T248" s="104"/>
      <c r="U248" s="104"/>
      <c r="V248" s="104"/>
      <c r="W248" s="104"/>
      <c r="X248" s="104"/>
      <c r="Y248" s="104"/>
      <c r="Z248" s="116"/>
      <c r="AA248" s="116"/>
      <c r="AB248" s="116"/>
      <c r="AC248" s="116"/>
    </row>
    <row r="249" customFormat="false" ht="15" hidden="false" customHeight="false" outlineLevel="0" collapsed="false">
      <c r="A249" s="119" t="s">
        <v>97</v>
      </c>
      <c r="B249" s="120" t="str">
        <f aca="false">IFERROR(VLOOKUP(A249,CENTRO!$A$4:$L$548,12,0),"")</f>
        <v>MUITO ATRASADO</v>
      </c>
      <c r="C249" s="121" t="n">
        <f aca="false">IFERROR(VLOOKUP(A249,CENTRO!$A$4:$L$548,11,0),"")</f>
        <v>124.629399585921</v>
      </c>
      <c r="D249" s="119" t="b">
        <f aca="false">FALSE()</f>
        <v>0</v>
      </c>
      <c r="E249" s="122" t="s">
        <v>970</v>
      </c>
      <c r="F249" s="119"/>
      <c r="G249" s="119" t="s">
        <v>924</v>
      </c>
      <c r="H249" s="104"/>
      <c r="I249" s="104"/>
      <c r="J249" s="104"/>
      <c r="K249" s="104"/>
      <c r="L249" s="104"/>
      <c r="M249" s="104"/>
      <c r="N249" s="104"/>
      <c r="O249" s="104"/>
      <c r="P249" s="104"/>
      <c r="Q249" s="104"/>
      <c r="R249" s="104"/>
      <c r="S249" s="104"/>
      <c r="T249" s="104"/>
      <c r="U249" s="104"/>
      <c r="V249" s="104"/>
      <c r="W249" s="104"/>
      <c r="X249" s="104"/>
      <c r="Y249" s="104"/>
      <c r="Z249" s="114"/>
      <c r="AB249" s="114"/>
      <c r="AC249" s="114"/>
    </row>
    <row r="250" customFormat="false" ht="15" hidden="false" customHeight="false" outlineLevel="0" collapsed="false">
      <c r="A250" s="119" t="s">
        <v>608</v>
      </c>
      <c r="B250" s="120" t="str">
        <f aca="false">IFERROR(VLOOKUP(A250,CENTRO!$A$4:$L$548,12,0),"")</f>
        <v>MUITO ATRASADO</v>
      </c>
      <c r="C250" s="121" t="n">
        <f aca="false">IFERROR(VLOOKUP(A250,CENTRO!$A$4:$L$548,11,0),"")</f>
        <v>129.736526946108</v>
      </c>
      <c r="D250" s="119" t="b">
        <f aca="false">FALSE()</f>
        <v>0</v>
      </c>
      <c r="E250" s="122" t="s">
        <v>1085</v>
      </c>
      <c r="F250" s="119"/>
      <c r="G250" s="119" t="s">
        <v>924</v>
      </c>
      <c r="H250" s="104"/>
      <c r="I250" s="104"/>
      <c r="J250" s="104"/>
      <c r="K250" s="104"/>
      <c r="L250" s="104"/>
      <c r="M250" s="104"/>
      <c r="N250" s="104"/>
      <c r="O250" s="104"/>
      <c r="P250" s="104"/>
      <c r="Q250" s="104"/>
      <c r="R250" s="104"/>
      <c r="S250" s="104"/>
      <c r="T250" s="104"/>
      <c r="U250" s="104"/>
      <c r="V250" s="104"/>
      <c r="W250" s="104"/>
      <c r="X250" s="104"/>
      <c r="Y250" s="104"/>
      <c r="Z250" s="114"/>
      <c r="AB250" s="114"/>
      <c r="AC250" s="114"/>
    </row>
    <row r="251" customFormat="false" ht="18" hidden="false" customHeight="true" outlineLevel="0" collapsed="false">
      <c r="A251" s="119" t="s">
        <v>1089</v>
      </c>
      <c r="B251" s="120" t="str">
        <f aca="false">IFERROR(VLOOKUP(A251,CENTRO!$A$4:$L$548,12,0),"")</f>
        <v/>
      </c>
      <c r="C251" s="121" t="str">
        <f aca="false">IFERROR(VLOOKUP(A251,CENTRO!$A$4:$L$137,11,0),"")</f>
        <v/>
      </c>
      <c r="D251" s="119" t="b">
        <f aca="false">FALSE()</f>
        <v>0</v>
      </c>
      <c r="E251" s="122" t="s">
        <v>1090</v>
      </c>
      <c r="F251" s="119"/>
      <c r="G251" s="119" t="s">
        <v>924</v>
      </c>
      <c r="H251" s="104"/>
      <c r="I251" s="104"/>
      <c r="J251" s="104"/>
      <c r="K251" s="104"/>
      <c r="L251" s="104"/>
      <c r="M251" s="104"/>
      <c r="N251" s="104"/>
      <c r="O251" s="104"/>
      <c r="P251" s="104"/>
      <c r="Q251" s="104"/>
      <c r="R251" s="104"/>
      <c r="S251" s="104"/>
      <c r="T251" s="104"/>
      <c r="U251" s="104"/>
      <c r="V251" s="104"/>
      <c r="W251" s="104"/>
      <c r="X251" s="104"/>
      <c r="Y251" s="104"/>
      <c r="Z251" s="116"/>
      <c r="AB251" s="116"/>
      <c r="AC251" s="116"/>
    </row>
    <row r="252" customFormat="false" ht="15" hidden="false" customHeight="false" outlineLevel="0" collapsed="false">
      <c r="A252" s="119" t="s">
        <v>113</v>
      </c>
      <c r="B252" s="120" t="str">
        <f aca="false">IFERROR(VLOOKUP(A252,CENTRO!$A$4:$L$548,12,0),"")</f>
        <v>MUITO ATRASADO</v>
      </c>
      <c r="C252" s="121" t="str">
        <f aca="false">IFERROR(VLOOKUP(A252,CENTRO!$A$4:$L$137,11,0),"")</f>
        <v/>
      </c>
      <c r="D252" s="119" t="b">
        <f aca="false">FALSE()</f>
        <v>0</v>
      </c>
      <c r="E252" s="122" t="s">
        <v>918</v>
      </c>
      <c r="F252" s="119"/>
      <c r="G252" s="119" t="s">
        <v>924</v>
      </c>
      <c r="H252" s="104"/>
      <c r="I252" s="104"/>
      <c r="J252" s="104"/>
      <c r="K252" s="104"/>
      <c r="L252" s="104"/>
      <c r="M252" s="104"/>
      <c r="N252" s="104"/>
      <c r="O252" s="104"/>
      <c r="P252" s="104"/>
      <c r="Q252" s="104"/>
      <c r="R252" s="104"/>
      <c r="S252" s="104"/>
      <c r="T252" s="104"/>
      <c r="U252" s="104"/>
      <c r="V252" s="104"/>
      <c r="W252" s="104"/>
      <c r="X252" s="104"/>
      <c r="Y252" s="104"/>
      <c r="Z252" s="116"/>
      <c r="AB252" s="116"/>
      <c r="AC252" s="116"/>
    </row>
    <row r="253" customFormat="false" ht="15" hidden="false" customHeight="false" outlineLevel="0" collapsed="false">
      <c r="A253" s="119" t="s">
        <v>404</v>
      </c>
      <c r="B253" s="120" t="str">
        <f aca="false">IFERROR(VLOOKUP(A253,CENTRO!$A$4:$L$548,12,0),"")</f>
        <v>MUITO ATRASADO</v>
      </c>
      <c r="C253" s="121" t="n">
        <f aca="false">IFERROR(VLOOKUP(A253,CENTRO!$A$4:$L$137,11,0),"")</f>
        <v>163.925619834711</v>
      </c>
      <c r="D253" s="119" t="b">
        <f aca="false">FALSE()</f>
        <v>0</v>
      </c>
      <c r="E253" s="122" t="s">
        <v>918</v>
      </c>
      <c r="F253" s="119"/>
      <c r="G253" s="119" t="s">
        <v>924</v>
      </c>
      <c r="H253" s="104"/>
      <c r="I253" s="104"/>
      <c r="J253" s="104"/>
      <c r="K253" s="104"/>
      <c r="L253" s="104"/>
      <c r="M253" s="104"/>
      <c r="N253" s="104"/>
      <c r="O253" s="104"/>
      <c r="P253" s="104"/>
      <c r="Q253" s="104"/>
      <c r="R253" s="104"/>
      <c r="S253" s="104"/>
      <c r="T253" s="104"/>
      <c r="U253" s="104"/>
      <c r="V253" s="104"/>
      <c r="W253" s="104"/>
      <c r="X253" s="104"/>
      <c r="Y253" s="104"/>
      <c r="Z253" s="116"/>
      <c r="AB253" s="116"/>
      <c r="AC253" s="116"/>
    </row>
    <row r="254" customFormat="false" ht="15" hidden="false" customHeight="false" outlineLevel="0" collapsed="false">
      <c r="A254" s="119" t="s">
        <v>577</v>
      </c>
      <c r="B254" s="120" t="str">
        <f aca="false">IFERROR(VLOOKUP(A254,CENTRO!$A$4:$L$548,12,0),"")</f>
        <v>MUITO ATRASADO</v>
      </c>
      <c r="C254" s="121" t="n">
        <f aca="false">IFERROR(VLOOKUP(A254,CENTRO!$A$4:$L$548,11,0),"")</f>
        <v>101.901773533424</v>
      </c>
      <c r="D254" s="119" t="b">
        <f aca="false">FALSE()</f>
        <v>0</v>
      </c>
      <c r="E254" s="122" t="s">
        <v>1091</v>
      </c>
      <c r="F254" s="119"/>
      <c r="G254" s="119" t="s">
        <v>924</v>
      </c>
      <c r="H254" s="104"/>
      <c r="I254" s="104"/>
      <c r="J254" s="104"/>
      <c r="K254" s="104"/>
      <c r="L254" s="104"/>
      <c r="M254" s="104"/>
      <c r="N254" s="104"/>
      <c r="O254" s="104"/>
      <c r="P254" s="104"/>
      <c r="Q254" s="104"/>
      <c r="R254" s="104"/>
      <c r="S254" s="104"/>
      <c r="T254" s="104"/>
      <c r="U254" s="104"/>
      <c r="V254" s="104"/>
      <c r="W254" s="104"/>
      <c r="X254" s="104"/>
      <c r="Y254" s="104"/>
      <c r="Z254" s="116"/>
      <c r="AB254" s="116"/>
      <c r="AC254" s="116"/>
    </row>
    <row r="255" customFormat="false" ht="15" hidden="false" customHeight="false" outlineLevel="0" collapsed="false">
      <c r="A255" s="119" t="s">
        <v>671</v>
      </c>
      <c r="B255" s="120" t="str">
        <f aca="false">IFERROR(VLOOKUP(A255,CENTRO!$A$4:$L$548,12,0),"")</f>
        <v>MUITO ATRASADO</v>
      </c>
      <c r="C255" s="121" t="str">
        <f aca="false">IFERROR(VLOOKUP(A255,CENTRO!$A$4:$L$137,11,0),"")</f>
        <v/>
      </c>
      <c r="D255" s="119" t="b">
        <f aca="false">FALSE()</f>
        <v>0</v>
      </c>
      <c r="E255" s="122" t="s">
        <v>1092</v>
      </c>
      <c r="F255" s="119"/>
      <c r="G255" s="119" t="s">
        <v>924</v>
      </c>
      <c r="H255" s="104"/>
      <c r="I255" s="104"/>
      <c r="J255" s="104"/>
      <c r="K255" s="104"/>
      <c r="L255" s="104"/>
      <c r="M255" s="104"/>
      <c r="N255" s="104"/>
      <c r="O255" s="104"/>
      <c r="P255" s="104"/>
      <c r="Q255" s="104"/>
      <c r="R255" s="104"/>
      <c r="S255" s="104"/>
      <c r="T255" s="104"/>
      <c r="U255" s="104"/>
      <c r="V255" s="104"/>
      <c r="W255" s="104"/>
      <c r="X255" s="104"/>
      <c r="Y255" s="104"/>
      <c r="Z255" s="116"/>
      <c r="AB255" s="116"/>
      <c r="AC255" s="116"/>
    </row>
    <row r="256" customFormat="false" ht="15" hidden="false" customHeight="false" outlineLevel="0" collapsed="false">
      <c r="A256" s="119" t="s">
        <v>612</v>
      </c>
      <c r="B256" s="120" t="str">
        <f aca="false">IFERROR(VLOOKUP(A256,CENTRO!$A$4:$L$548,12,0),"")</f>
        <v>MUITO ATRASADO</v>
      </c>
      <c r="C256" s="121" t="n">
        <f aca="false">IFERROR(VLOOKUP(A256,CENTRO!$A$4:$L$137,11,0),"")</f>
        <v>204.850040096231</v>
      </c>
      <c r="D256" s="119" t="b">
        <f aca="false">FALSE()</f>
        <v>0</v>
      </c>
      <c r="E256" s="122" t="s">
        <v>970</v>
      </c>
      <c r="F256" s="119"/>
      <c r="G256" s="119" t="s">
        <v>924</v>
      </c>
      <c r="H256" s="104"/>
      <c r="I256" s="104"/>
      <c r="J256" s="104"/>
      <c r="K256" s="104"/>
      <c r="L256" s="104"/>
      <c r="M256" s="104"/>
      <c r="N256" s="104"/>
      <c r="O256" s="104"/>
      <c r="P256" s="104"/>
      <c r="Q256" s="104"/>
      <c r="R256" s="104"/>
      <c r="S256" s="104"/>
      <c r="T256" s="104"/>
      <c r="U256" s="104"/>
      <c r="V256" s="104"/>
      <c r="W256" s="104"/>
      <c r="X256" s="104"/>
      <c r="Y256" s="104"/>
      <c r="Z256" s="116"/>
      <c r="AB256" s="116"/>
      <c r="AC256" s="116"/>
    </row>
    <row r="257" customFormat="false" ht="15" hidden="false" customHeight="false" outlineLevel="0" collapsed="false">
      <c r="A257" s="119" t="s">
        <v>717</v>
      </c>
      <c r="B257" s="119"/>
      <c r="C257" s="119"/>
      <c r="D257" s="119" t="b">
        <f aca="false">FALSE()</f>
        <v>0</v>
      </c>
      <c r="E257" s="122" t="s">
        <v>930</v>
      </c>
      <c r="F257" s="119"/>
      <c r="G257" s="119" t="s">
        <v>924</v>
      </c>
      <c r="H257" s="104"/>
      <c r="I257" s="104"/>
      <c r="J257" s="104"/>
      <c r="K257" s="104"/>
      <c r="L257" s="104"/>
      <c r="M257" s="104"/>
      <c r="N257" s="104"/>
      <c r="O257" s="104"/>
      <c r="P257" s="104"/>
      <c r="Q257" s="104"/>
      <c r="R257" s="104"/>
      <c r="S257" s="104"/>
      <c r="T257" s="104"/>
      <c r="U257" s="104"/>
      <c r="V257" s="104"/>
      <c r="W257" s="104"/>
      <c r="X257" s="104"/>
      <c r="Y257" s="104"/>
      <c r="Z257" s="116"/>
      <c r="AB257" s="116"/>
      <c r="AC257" s="116"/>
    </row>
    <row r="258" customFormat="false" ht="15" hidden="false" customHeight="false" outlineLevel="0" collapsed="false">
      <c r="A258" s="119" t="s">
        <v>556</v>
      </c>
      <c r="B258" s="119"/>
      <c r="C258" s="119"/>
      <c r="D258" s="119" t="b">
        <f aca="false">FALSE()</f>
        <v>0</v>
      </c>
      <c r="E258" s="122" t="s">
        <v>930</v>
      </c>
      <c r="F258" s="119"/>
      <c r="G258" s="119" t="s">
        <v>924</v>
      </c>
      <c r="H258" s="104"/>
      <c r="I258" s="104"/>
      <c r="J258" s="104"/>
      <c r="K258" s="104"/>
      <c r="L258" s="104"/>
      <c r="M258" s="104"/>
      <c r="N258" s="104"/>
      <c r="O258" s="104"/>
      <c r="P258" s="104"/>
      <c r="Q258" s="104"/>
      <c r="R258" s="104"/>
      <c r="S258" s="104"/>
      <c r="T258" s="104"/>
      <c r="U258" s="104"/>
      <c r="V258" s="104"/>
      <c r="W258" s="104"/>
      <c r="X258" s="104"/>
      <c r="Y258" s="104"/>
      <c r="Z258" s="116"/>
      <c r="AB258" s="116"/>
      <c r="AC258" s="116"/>
    </row>
    <row r="259" customFormat="false" ht="15" hidden="false" customHeight="false" outlineLevel="0" collapsed="false">
      <c r="A259" s="119" t="s">
        <v>96</v>
      </c>
      <c r="B259" s="119"/>
      <c r="C259" s="121"/>
      <c r="D259" s="119" t="b">
        <f aca="false">FALSE()</f>
        <v>0</v>
      </c>
      <c r="E259" s="122" t="s">
        <v>930</v>
      </c>
      <c r="F259" s="119"/>
      <c r="G259" s="119" t="s">
        <v>924</v>
      </c>
      <c r="H259" s="104"/>
      <c r="I259" s="104"/>
      <c r="J259" s="104"/>
      <c r="K259" s="104"/>
      <c r="L259" s="104"/>
      <c r="M259" s="104"/>
      <c r="N259" s="104"/>
      <c r="O259" s="104"/>
      <c r="P259" s="104"/>
      <c r="Q259" s="104"/>
      <c r="R259" s="104"/>
      <c r="S259" s="104"/>
      <c r="T259" s="104"/>
      <c r="U259" s="104"/>
      <c r="V259" s="104"/>
      <c r="W259" s="104"/>
      <c r="X259" s="104"/>
      <c r="Y259" s="104"/>
      <c r="Z259" s="116"/>
      <c r="AB259" s="116"/>
      <c r="AC259" s="116"/>
    </row>
    <row r="260" customFormat="false" ht="15" hidden="false" customHeight="false" outlineLevel="0" collapsed="false">
      <c r="A260" s="119" t="s">
        <v>133</v>
      </c>
      <c r="B260" s="120" t="str">
        <f aca="false">IFERROR(VLOOKUP(A260,CENTRO!$A$4:$L$548,12,0),"")</f>
        <v>MUITO ATRASADO</v>
      </c>
      <c r="C260" s="121" t="n">
        <f aca="false">IFERROR(VLOOKUP(A260,CENTRO!$A$4:$L$137,11,0),"")</f>
        <v>158.717293233083</v>
      </c>
      <c r="D260" s="119" t="b">
        <f aca="false">FALSE()</f>
        <v>0</v>
      </c>
      <c r="E260" s="122" t="s">
        <v>1026</v>
      </c>
      <c r="F260" s="119"/>
      <c r="G260" s="119" t="s">
        <v>924</v>
      </c>
      <c r="H260" s="104"/>
      <c r="I260" s="104"/>
      <c r="J260" s="104"/>
      <c r="K260" s="104"/>
      <c r="L260" s="104"/>
      <c r="M260" s="104"/>
      <c r="N260" s="104"/>
      <c r="O260" s="104"/>
      <c r="P260" s="104"/>
      <c r="Q260" s="104"/>
      <c r="R260" s="104"/>
      <c r="S260" s="104"/>
      <c r="T260" s="104"/>
      <c r="U260" s="104"/>
      <c r="V260" s="104"/>
      <c r="W260" s="104"/>
      <c r="X260" s="104"/>
      <c r="Y260" s="104"/>
      <c r="Z260" s="116"/>
      <c r="AB260" s="116"/>
      <c r="AC260" s="116"/>
    </row>
    <row r="261" customFormat="false" ht="15" hidden="false" customHeight="false" outlineLevel="0" collapsed="false">
      <c r="A261" s="119" t="s">
        <v>663</v>
      </c>
      <c r="B261" s="119"/>
      <c r="C261" s="121"/>
      <c r="D261" s="119" t="b">
        <f aca="false">FALSE()</f>
        <v>0</v>
      </c>
      <c r="E261" s="122" t="s">
        <v>930</v>
      </c>
      <c r="F261" s="119"/>
      <c r="G261" s="119" t="s">
        <v>924</v>
      </c>
      <c r="H261" s="104"/>
      <c r="I261" s="104"/>
      <c r="J261" s="104"/>
      <c r="K261" s="104"/>
      <c r="L261" s="104"/>
      <c r="M261" s="104"/>
      <c r="N261" s="104"/>
      <c r="O261" s="104"/>
      <c r="P261" s="104"/>
      <c r="Q261" s="104"/>
      <c r="R261" s="104"/>
      <c r="S261" s="104"/>
      <c r="T261" s="104"/>
      <c r="U261" s="104"/>
      <c r="V261" s="104"/>
      <c r="W261" s="104"/>
      <c r="X261" s="104"/>
      <c r="Y261" s="104"/>
      <c r="Z261" s="116"/>
      <c r="AB261" s="116"/>
      <c r="AC261" s="116"/>
    </row>
    <row r="262" customFormat="false" ht="15" hidden="false" customHeight="false" outlineLevel="0" collapsed="false">
      <c r="A262" s="119" t="s">
        <v>661</v>
      </c>
      <c r="B262" s="119"/>
      <c r="C262" s="121"/>
      <c r="D262" s="119" t="b">
        <f aca="false">FALSE()</f>
        <v>0</v>
      </c>
      <c r="E262" s="122" t="s">
        <v>930</v>
      </c>
      <c r="F262" s="119"/>
      <c r="G262" s="119" t="s">
        <v>924</v>
      </c>
      <c r="H262" s="104"/>
      <c r="I262" s="104"/>
      <c r="J262" s="104"/>
      <c r="K262" s="104"/>
      <c r="L262" s="104"/>
      <c r="M262" s="104"/>
      <c r="N262" s="104"/>
      <c r="O262" s="104"/>
      <c r="P262" s="104"/>
      <c r="Q262" s="104"/>
      <c r="R262" s="104"/>
      <c r="S262" s="104"/>
      <c r="T262" s="104"/>
      <c r="U262" s="104"/>
      <c r="V262" s="104"/>
      <c r="W262" s="104"/>
      <c r="X262" s="104"/>
      <c r="Y262" s="104"/>
      <c r="Z262" s="116"/>
      <c r="AB262" s="116"/>
      <c r="AC262" s="116"/>
    </row>
    <row r="263" customFormat="false" ht="15" hidden="false" customHeight="false" outlineLevel="0" collapsed="false">
      <c r="A263" s="119" t="s">
        <v>695</v>
      </c>
      <c r="B263" s="119"/>
      <c r="C263" s="121"/>
      <c r="D263" s="119" t="b">
        <f aca="false">FALSE()</f>
        <v>0</v>
      </c>
      <c r="E263" s="122" t="s">
        <v>930</v>
      </c>
      <c r="F263" s="119"/>
      <c r="G263" s="119" t="s">
        <v>924</v>
      </c>
      <c r="H263" s="104"/>
      <c r="I263" s="104"/>
      <c r="J263" s="104"/>
      <c r="K263" s="104"/>
      <c r="L263" s="104"/>
      <c r="M263" s="104"/>
      <c r="N263" s="104"/>
      <c r="O263" s="104"/>
      <c r="P263" s="104"/>
      <c r="Q263" s="104"/>
      <c r="R263" s="104"/>
      <c r="S263" s="104"/>
      <c r="T263" s="104"/>
      <c r="U263" s="104"/>
      <c r="V263" s="104"/>
      <c r="W263" s="104"/>
      <c r="X263" s="104"/>
      <c r="Y263" s="104"/>
      <c r="Z263" s="116"/>
      <c r="AB263" s="116"/>
      <c r="AC263" s="116"/>
    </row>
    <row r="264" customFormat="false" ht="15" hidden="false" customHeight="false" outlineLevel="0" collapsed="false">
      <c r="A264" s="119" t="s">
        <v>809</v>
      </c>
      <c r="B264" s="119"/>
      <c r="C264" s="121"/>
      <c r="D264" s="119" t="b">
        <f aca="false">FALSE()</f>
        <v>0</v>
      </c>
      <c r="E264" s="122" t="s">
        <v>930</v>
      </c>
      <c r="F264" s="119"/>
      <c r="G264" s="119" t="s">
        <v>924</v>
      </c>
      <c r="H264" s="104"/>
      <c r="I264" s="104"/>
      <c r="J264" s="104"/>
      <c r="K264" s="104"/>
      <c r="L264" s="104"/>
      <c r="M264" s="104"/>
      <c r="N264" s="104"/>
      <c r="O264" s="104"/>
      <c r="P264" s="104"/>
      <c r="Q264" s="104"/>
      <c r="R264" s="104"/>
      <c r="S264" s="104"/>
      <c r="T264" s="104"/>
      <c r="U264" s="104"/>
      <c r="V264" s="104"/>
      <c r="W264" s="104"/>
      <c r="X264" s="104"/>
      <c r="Y264" s="104"/>
      <c r="Z264" s="114"/>
      <c r="AB264" s="114"/>
      <c r="AC264" s="114"/>
    </row>
    <row r="265" customFormat="false" ht="15" hidden="false" customHeight="false" outlineLevel="0" collapsed="false">
      <c r="A265" s="119" t="s">
        <v>798</v>
      </c>
      <c r="B265" s="119"/>
      <c r="C265" s="121"/>
      <c r="D265" s="119" t="b">
        <f aca="false">FALSE()</f>
        <v>0</v>
      </c>
      <c r="E265" s="122" t="s">
        <v>930</v>
      </c>
      <c r="F265" s="119"/>
      <c r="G265" s="119" t="s">
        <v>924</v>
      </c>
      <c r="H265" s="104"/>
      <c r="I265" s="104"/>
      <c r="J265" s="104"/>
      <c r="K265" s="104"/>
      <c r="L265" s="104"/>
      <c r="M265" s="104"/>
      <c r="N265" s="104"/>
      <c r="O265" s="104"/>
      <c r="P265" s="104"/>
      <c r="Q265" s="104"/>
      <c r="R265" s="104"/>
      <c r="S265" s="104"/>
      <c r="T265" s="104"/>
      <c r="U265" s="104"/>
      <c r="V265" s="104"/>
      <c r="W265" s="104"/>
      <c r="X265" s="104"/>
      <c r="Y265" s="104"/>
      <c r="Z265" s="118"/>
      <c r="AB265" s="118"/>
      <c r="AC265" s="118"/>
    </row>
    <row r="266" customFormat="false" ht="15" hidden="false" customHeight="false" outlineLevel="0" collapsed="false">
      <c r="A266" s="119" t="s">
        <v>875</v>
      </c>
      <c r="B266" s="119"/>
      <c r="C266" s="121"/>
      <c r="D266" s="119" t="b">
        <f aca="false">FALSE()</f>
        <v>0</v>
      </c>
      <c r="E266" s="122" t="s">
        <v>930</v>
      </c>
      <c r="F266" s="119"/>
      <c r="G266" s="119" t="s">
        <v>924</v>
      </c>
      <c r="H266" s="104"/>
      <c r="I266" s="104"/>
      <c r="J266" s="104"/>
      <c r="K266" s="104"/>
      <c r="L266" s="104"/>
      <c r="M266" s="104"/>
      <c r="N266" s="104"/>
      <c r="O266" s="104"/>
      <c r="P266" s="104"/>
      <c r="Q266" s="104"/>
      <c r="R266" s="104"/>
      <c r="S266" s="104"/>
      <c r="T266" s="104"/>
      <c r="U266" s="104"/>
      <c r="V266" s="104"/>
      <c r="W266" s="104"/>
      <c r="X266" s="104"/>
      <c r="Y266" s="104"/>
      <c r="Z266" s="114"/>
      <c r="AB266" s="114"/>
      <c r="AC266" s="114"/>
    </row>
    <row r="267" customFormat="false" ht="15" hidden="false" customHeight="false" outlineLevel="0" collapsed="false">
      <c r="A267" s="119" t="s">
        <v>530</v>
      </c>
      <c r="B267" s="119"/>
      <c r="C267" s="121"/>
      <c r="D267" s="119" t="b">
        <f aca="false">FALSE()</f>
        <v>0</v>
      </c>
      <c r="E267" s="122" t="s">
        <v>930</v>
      </c>
      <c r="F267" s="119"/>
      <c r="G267" s="119" t="s">
        <v>924</v>
      </c>
      <c r="H267" s="104"/>
      <c r="I267" s="104"/>
      <c r="J267" s="104"/>
      <c r="K267" s="104"/>
      <c r="L267" s="104"/>
      <c r="M267" s="104"/>
      <c r="N267" s="104"/>
      <c r="O267" s="104"/>
      <c r="P267" s="104"/>
      <c r="Q267" s="104"/>
      <c r="R267" s="104"/>
      <c r="S267" s="104"/>
      <c r="T267" s="104"/>
      <c r="U267" s="104"/>
      <c r="V267" s="104"/>
      <c r="W267" s="104"/>
      <c r="X267" s="104"/>
      <c r="Y267" s="104"/>
      <c r="Z267" s="114"/>
      <c r="AB267" s="114"/>
      <c r="AC267" s="114"/>
    </row>
    <row r="268" customFormat="false" ht="15" hidden="false" customHeight="false" outlineLevel="0" collapsed="false">
      <c r="A268" s="119" t="s">
        <v>1093</v>
      </c>
      <c r="B268" s="120" t="str">
        <f aca="false">IFERROR(VLOOKUP(A268,CENTRO!$A$4:$L$548,12,0),"")</f>
        <v/>
      </c>
      <c r="C268" s="121" t="str">
        <f aca="false">IFERROR(VLOOKUP(A268,CENTRO!$A$4:$L$548,11,0),"")</f>
        <v/>
      </c>
      <c r="D268" s="119" t="b">
        <f aca="false">FALSE()</f>
        <v>0</v>
      </c>
      <c r="E268" s="122" t="s">
        <v>985</v>
      </c>
      <c r="F268" s="119"/>
      <c r="G268" s="119" t="s">
        <v>924</v>
      </c>
      <c r="H268" s="104"/>
      <c r="I268" s="104"/>
      <c r="J268" s="104"/>
      <c r="K268" s="104"/>
      <c r="L268" s="104"/>
      <c r="M268" s="104"/>
      <c r="N268" s="104"/>
      <c r="O268" s="104"/>
      <c r="P268" s="104"/>
      <c r="Q268" s="104"/>
      <c r="R268" s="104"/>
      <c r="S268" s="104"/>
      <c r="T268" s="104"/>
      <c r="U268" s="104"/>
      <c r="V268" s="104"/>
      <c r="W268" s="104"/>
      <c r="X268" s="104"/>
      <c r="Y268" s="104"/>
      <c r="Z268" s="116"/>
      <c r="AB268" s="116"/>
      <c r="AC268" s="116"/>
    </row>
    <row r="269" customFormat="false" ht="15" hidden="false" customHeight="false" outlineLevel="0" collapsed="false">
      <c r="A269" s="119" t="s">
        <v>1094</v>
      </c>
      <c r="B269" s="120" t="str">
        <f aca="false">IFERROR(VLOOKUP(A269,CENTRO!$A$4:$L$548,12,0),"")</f>
        <v/>
      </c>
      <c r="C269" s="121" t="str">
        <f aca="false">IFERROR(VLOOKUP(A269,CENTRO!$A$4:$L$137,11,0),"")</f>
        <v/>
      </c>
      <c r="D269" s="119" t="b">
        <f aca="false">FALSE()</f>
        <v>0</v>
      </c>
      <c r="E269" s="122" t="s">
        <v>986</v>
      </c>
      <c r="F269" s="119"/>
      <c r="G269" s="119" t="s">
        <v>924</v>
      </c>
      <c r="H269" s="104"/>
      <c r="I269" s="104"/>
      <c r="J269" s="104"/>
      <c r="K269" s="104"/>
      <c r="L269" s="104"/>
      <c r="M269" s="104"/>
      <c r="N269" s="104"/>
      <c r="O269" s="104"/>
      <c r="P269" s="104"/>
      <c r="Q269" s="104"/>
      <c r="R269" s="104"/>
      <c r="S269" s="104"/>
      <c r="T269" s="104"/>
      <c r="U269" s="104"/>
      <c r="V269" s="104"/>
      <c r="W269" s="104"/>
      <c r="X269" s="104"/>
      <c r="Y269" s="104"/>
      <c r="Z269" s="116"/>
      <c r="AB269" s="116"/>
      <c r="AC269" s="116"/>
    </row>
    <row r="270" customFormat="false" ht="15" hidden="false" customHeight="false" outlineLevel="0" collapsed="false">
      <c r="A270" s="119" t="s">
        <v>715</v>
      </c>
      <c r="B270" s="120" t="str">
        <f aca="false">IFERROR(VLOOKUP(A270,CENTRO!$A$4:$L$548,12,0),"")</f>
        <v>MUITO ATRASADO</v>
      </c>
      <c r="C270" s="121" t="str">
        <f aca="false">IFERROR(VLOOKUP(A270,CENTRO!$A$4:$L$137,11,0),"")</f>
        <v/>
      </c>
      <c r="D270" s="119" t="b">
        <f aca="false">FALSE()</f>
        <v>0</v>
      </c>
      <c r="E270" s="122" t="s">
        <v>985</v>
      </c>
      <c r="F270" s="119"/>
      <c r="G270" s="119" t="s">
        <v>924</v>
      </c>
      <c r="H270" s="104"/>
      <c r="I270" s="104"/>
      <c r="J270" s="104"/>
      <c r="K270" s="104"/>
      <c r="L270" s="104"/>
      <c r="M270" s="104"/>
      <c r="N270" s="104"/>
      <c r="O270" s="104"/>
      <c r="P270" s="104"/>
      <c r="Q270" s="104"/>
      <c r="R270" s="104"/>
      <c r="S270" s="104"/>
      <c r="T270" s="104"/>
      <c r="U270" s="104"/>
      <c r="V270" s="104"/>
      <c r="W270" s="104"/>
      <c r="X270" s="104"/>
      <c r="Y270" s="104"/>
      <c r="Z270" s="116"/>
      <c r="AB270" s="116"/>
      <c r="AC270" s="116"/>
    </row>
    <row r="271" customFormat="false" ht="15" hidden="false" customHeight="false" outlineLevel="0" collapsed="false">
      <c r="A271" s="136" t="s">
        <v>874</v>
      </c>
      <c r="B271" s="120" t="str">
        <f aca="false">IFERROR(VLOOKUP(A271,CENTRO!$A$4:$L$548,12,0),"")</f>
        <v>MUITO ATRASADO</v>
      </c>
      <c r="C271" s="121" t="str">
        <f aca="false">IFERROR(VLOOKUP(A271,CENTRO!$A$4:$L$137,11,0),"")</f>
        <v/>
      </c>
      <c r="D271" s="119" t="b">
        <f aca="false">FALSE()</f>
        <v>0</v>
      </c>
      <c r="E271" s="122" t="s">
        <v>1087</v>
      </c>
      <c r="F271" s="136"/>
      <c r="G271" s="119" t="s">
        <v>924</v>
      </c>
      <c r="H271" s="104"/>
      <c r="I271" s="104"/>
      <c r="J271" s="104"/>
      <c r="K271" s="104"/>
      <c r="L271" s="104"/>
      <c r="M271" s="104"/>
      <c r="N271" s="104"/>
      <c r="O271" s="104"/>
      <c r="P271" s="104"/>
      <c r="Q271" s="104"/>
      <c r="R271" s="104"/>
      <c r="S271" s="104"/>
      <c r="T271" s="104"/>
      <c r="U271" s="104"/>
      <c r="V271" s="104"/>
      <c r="W271" s="104"/>
      <c r="X271" s="104"/>
      <c r="Y271" s="104"/>
      <c r="Z271" s="116"/>
      <c r="AB271" s="116"/>
      <c r="AC271" s="116"/>
    </row>
    <row r="272" customFormat="false" ht="15" hidden="false" customHeight="false" outlineLevel="0" collapsed="false">
      <c r="A272" s="119" t="s">
        <v>743</v>
      </c>
      <c r="B272" s="119"/>
      <c r="C272" s="121"/>
      <c r="D272" s="119" t="b">
        <f aca="false">FALSE()</f>
        <v>0</v>
      </c>
      <c r="E272" s="122" t="s">
        <v>1085</v>
      </c>
      <c r="F272" s="119"/>
      <c r="G272" s="119" t="s">
        <v>924</v>
      </c>
      <c r="H272" s="104"/>
      <c r="I272" s="104"/>
      <c r="J272" s="104"/>
      <c r="K272" s="104"/>
      <c r="L272" s="104"/>
      <c r="M272" s="104"/>
      <c r="N272" s="104"/>
      <c r="O272" s="104"/>
      <c r="P272" s="104"/>
      <c r="Q272" s="104"/>
      <c r="R272" s="104"/>
      <c r="S272" s="104"/>
      <c r="T272" s="104"/>
      <c r="U272" s="104"/>
      <c r="V272" s="104"/>
      <c r="W272" s="104"/>
      <c r="X272" s="104"/>
      <c r="Y272" s="104"/>
      <c r="Z272" s="114"/>
      <c r="AB272" s="114"/>
      <c r="AC272" s="114"/>
    </row>
    <row r="273" customFormat="false" ht="15" hidden="false" customHeight="false" outlineLevel="0" collapsed="false">
      <c r="A273" s="119" t="s">
        <v>1095</v>
      </c>
      <c r="B273" s="120" t="str">
        <f aca="false">IFERROR(VLOOKUP(A273,CENTRO!$A$4:$L$548,12,0),"")</f>
        <v/>
      </c>
      <c r="C273" s="121" t="str">
        <f aca="false">IFERROR(VLOOKUP(A273,CENTRO!$A$4:$L$548,11,0),"")</f>
        <v/>
      </c>
      <c r="D273" s="119" t="b">
        <f aca="false">FALSE()</f>
        <v>0</v>
      </c>
      <c r="E273" s="122" t="s">
        <v>1096</v>
      </c>
      <c r="F273" s="119"/>
      <c r="G273" s="119" t="s">
        <v>924</v>
      </c>
      <c r="H273" s="104"/>
      <c r="I273" s="104"/>
      <c r="J273" s="104"/>
      <c r="K273" s="104"/>
      <c r="L273" s="104"/>
      <c r="M273" s="104"/>
      <c r="N273" s="104"/>
      <c r="O273" s="104"/>
      <c r="P273" s="104"/>
      <c r="Q273" s="104"/>
      <c r="R273" s="104"/>
      <c r="S273" s="104"/>
      <c r="T273" s="104"/>
      <c r="U273" s="104"/>
      <c r="V273" s="104"/>
      <c r="W273" s="104"/>
      <c r="X273" s="104"/>
      <c r="Y273" s="104"/>
      <c r="Z273" s="114"/>
      <c r="AB273" s="114"/>
      <c r="AC273" s="114"/>
    </row>
    <row r="274" customFormat="false" ht="15" hidden="false" customHeight="false" outlineLevel="0" collapsed="false">
      <c r="A274" s="136" t="s">
        <v>639</v>
      </c>
      <c r="B274" s="136"/>
      <c r="C274" s="137"/>
      <c r="D274" s="119" t="b">
        <f aca="false">FALSE()</f>
        <v>0</v>
      </c>
      <c r="E274" s="122" t="s">
        <v>922</v>
      </c>
      <c r="F274" s="136"/>
      <c r="G274" s="104" t="s">
        <v>924</v>
      </c>
      <c r="H274" s="104"/>
      <c r="I274" s="104"/>
      <c r="J274" s="104"/>
      <c r="K274" s="104"/>
      <c r="L274" s="104"/>
      <c r="M274" s="104"/>
      <c r="N274" s="104"/>
      <c r="O274" s="104"/>
      <c r="P274" s="104"/>
      <c r="Q274" s="104"/>
      <c r="R274" s="104"/>
      <c r="S274" s="104"/>
      <c r="T274" s="104"/>
      <c r="U274" s="104"/>
      <c r="V274" s="104"/>
      <c r="W274" s="104"/>
      <c r="X274" s="104"/>
      <c r="Y274" s="104"/>
      <c r="Z274" s="114"/>
      <c r="AB274" s="114"/>
      <c r="AC274" s="114"/>
    </row>
    <row r="275" customFormat="false" ht="15" hidden="false" customHeight="false" outlineLevel="0" collapsed="false">
      <c r="A275" s="119" t="s">
        <v>770</v>
      </c>
      <c r="B275" s="120" t="str">
        <f aca="false">IFERROR(VLOOKUP(A275,CENTRO!$A$4:$L$548,12,0),"")</f>
        <v>MUITO ATRASADO</v>
      </c>
      <c r="C275" s="121" t="str">
        <f aca="false">IFERROR(VLOOKUP(A275,CENTRO!$A$4:$L$137,11,0),"")</f>
        <v/>
      </c>
      <c r="D275" s="119" t="b">
        <f aca="false">FALSE()</f>
        <v>0</v>
      </c>
      <c r="E275" s="122" t="s">
        <v>918</v>
      </c>
      <c r="F275" s="119"/>
      <c r="G275" s="119" t="s">
        <v>924</v>
      </c>
      <c r="H275" s="104"/>
      <c r="I275" s="104"/>
      <c r="J275" s="104"/>
      <c r="K275" s="104"/>
      <c r="L275" s="104"/>
      <c r="M275" s="104"/>
      <c r="N275" s="104"/>
      <c r="O275" s="104"/>
      <c r="P275" s="104"/>
      <c r="Q275" s="104"/>
      <c r="R275" s="104"/>
      <c r="S275" s="104"/>
      <c r="T275" s="104"/>
      <c r="U275" s="104"/>
      <c r="V275" s="104"/>
      <c r="W275" s="104"/>
      <c r="X275" s="104"/>
      <c r="Y275" s="104"/>
      <c r="Z275" s="116"/>
      <c r="AB275" s="116"/>
      <c r="AC275" s="116"/>
    </row>
    <row r="276" customFormat="false" ht="15" hidden="false" customHeight="false" outlineLevel="0" collapsed="false">
      <c r="A276" s="119" t="s">
        <v>1097</v>
      </c>
      <c r="B276" s="120" t="str">
        <f aca="false">IFERROR(VLOOKUP(A276,CENTRO!$A$4:$L$548,12,0),"")</f>
        <v/>
      </c>
      <c r="C276" s="121" t="str">
        <f aca="false">IFERROR(VLOOKUP(A276,CENTRO!$A$4:$L$137,11,0),"")</f>
        <v/>
      </c>
      <c r="D276" s="119" t="b">
        <f aca="false">FALSE()</f>
        <v>0</v>
      </c>
      <c r="E276" s="122" t="s">
        <v>918</v>
      </c>
      <c r="F276" s="119"/>
      <c r="G276" s="119" t="s">
        <v>924</v>
      </c>
      <c r="H276" s="104"/>
      <c r="I276" s="104"/>
      <c r="J276" s="104"/>
      <c r="K276" s="104"/>
      <c r="L276" s="104"/>
      <c r="M276" s="104"/>
      <c r="N276" s="104"/>
      <c r="O276" s="104"/>
      <c r="P276" s="104"/>
      <c r="Q276" s="104"/>
      <c r="R276" s="104"/>
      <c r="S276" s="104"/>
      <c r="T276" s="104"/>
      <c r="U276" s="104"/>
      <c r="V276" s="104"/>
      <c r="W276" s="104"/>
      <c r="X276" s="104"/>
      <c r="Y276" s="104"/>
      <c r="Z276" s="116"/>
      <c r="AB276" s="116"/>
      <c r="AC276" s="116"/>
    </row>
    <row r="277" customFormat="false" ht="15" hidden="false" customHeight="false" outlineLevel="0" collapsed="false">
      <c r="A277" s="119" t="s">
        <v>795</v>
      </c>
      <c r="B277" s="120" t="str">
        <f aca="false">IFERROR(VLOOKUP(A277,CENTRO!$A$4:$L$548,12,0),"")</f>
        <v>MUITO ATRASADO</v>
      </c>
      <c r="C277" s="121" t="n">
        <f aca="false">IFERROR(VLOOKUP(A277,CENTRO!$A$4:$L$548,11,0),"")</f>
        <v>119.83877159309</v>
      </c>
      <c r="D277" s="119" t="b">
        <f aca="false">FALSE()</f>
        <v>0</v>
      </c>
      <c r="E277" s="122" t="s">
        <v>970</v>
      </c>
      <c r="F277" s="119"/>
      <c r="G277" s="119" t="s">
        <v>924</v>
      </c>
      <c r="H277" s="104"/>
      <c r="I277" s="104"/>
      <c r="J277" s="104"/>
      <c r="K277" s="104"/>
      <c r="L277" s="104"/>
      <c r="M277" s="104"/>
      <c r="N277" s="104"/>
      <c r="O277" s="104"/>
      <c r="P277" s="104"/>
      <c r="Q277" s="104"/>
      <c r="R277" s="104"/>
      <c r="S277" s="104"/>
      <c r="T277" s="104"/>
      <c r="U277" s="104"/>
      <c r="V277" s="104"/>
      <c r="W277" s="104"/>
      <c r="X277" s="104"/>
      <c r="Y277" s="104"/>
      <c r="Z277" s="116"/>
      <c r="AB277" s="116"/>
      <c r="AC277" s="116"/>
    </row>
    <row r="278" customFormat="false" ht="15" hidden="false" customHeight="false" outlineLevel="0" collapsed="false">
      <c r="A278" s="119" t="s">
        <v>331</v>
      </c>
      <c r="B278" s="120" t="str">
        <f aca="false">IFERROR(VLOOKUP(A278,CENTRO!$A$4:$L$548,12,0),"")</f>
        <v/>
      </c>
      <c r="C278" s="121" t="str">
        <f aca="false">IFERROR(VLOOKUP(A278,CENTRO!$A$4:$L$548,11,0),"")</f>
        <v/>
      </c>
      <c r="D278" s="119" t="b">
        <f aca="false">FALSE()</f>
        <v>0</v>
      </c>
      <c r="E278" s="122" t="s">
        <v>970</v>
      </c>
      <c r="F278" s="119"/>
      <c r="G278" s="119" t="s">
        <v>924</v>
      </c>
      <c r="H278" s="104"/>
      <c r="I278" s="104"/>
      <c r="J278" s="104"/>
      <c r="K278" s="104"/>
      <c r="L278" s="104"/>
      <c r="M278" s="104"/>
      <c r="N278" s="104"/>
      <c r="O278" s="104"/>
      <c r="P278" s="104"/>
      <c r="Q278" s="104"/>
      <c r="R278" s="104"/>
      <c r="S278" s="104"/>
      <c r="T278" s="104"/>
      <c r="U278" s="104"/>
      <c r="V278" s="104"/>
      <c r="W278" s="104"/>
      <c r="X278" s="104"/>
      <c r="Y278" s="104"/>
      <c r="Z278" s="116"/>
      <c r="AB278" s="116"/>
      <c r="AC278" s="116"/>
    </row>
    <row r="279" customFormat="false" ht="15" hidden="false" customHeight="false" outlineLevel="0" collapsed="false">
      <c r="A279" s="119" t="s">
        <v>1098</v>
      </c>
      <c r="B279" s="120" t="str">
        <f aca="false">IFERROR(VLOOKUP(A279,CENTRO!$A$4:$L$548,12,0),"")</f>
        <v/>
      </c>
      <c r="C279" s="121" t="str">
        <f aca="false">IFERROR(VLOOKUP(A279,CENTRO!$A$4:$L$137,11,0),"")</f>
        <v/>
      </c>
      <c r="D279" s="119" t="b">
        <f aca="false">FALSE()</f>
        <v>0</v>
      </c>
      <c r="E279" s="122" t="s">
        <v>918</v>
      </c>
      <c r="F279" s="119"/>
      <c r="G279" s="119" t="s">
        <v>924</v>
      </c>
      <c r="H279" s="104"/>
      <c r="I279" s="104"/>
      <c r="J279" s="104"/>
      <c r="K279" s="104"/>
      <c r="L279" s="104"/>
      <c r="M279" s="104"/>
      <c r="N279" s="104"/>
      <c r="O279" s="104"/>
      <c r="P279" s="104"/>
      <c r="Q279" s="104"/>
      <c r="R279" s="104"/>
      <c r="S279" s="104"/>
      <c r="T279" s="104"/>
      <c r="U279" s="104"/>
      <c r="V279" s="104"/>
      <c r="W279" s="104"/>
      <c r="X279" s="104"/>
      <c r="Y279" s="104"/>
      <c r="Z279" s="116"/>
      <c r="AB279" s="116"/>
      <c r="AC279" s="116"/>
    </row>
    <row r="280" customFormat="false" ht="15" hidden="false" customHeight="false" outlineLevel="0" collapsed="false">
      <c r="A280" s="119" t="s">
        <v>677</v>
      </c>
      <c r="B280" s="120" t="str">
        <f aca="false">IFERROR(VLOOKUP(A280,CENTRO!$A$4:$L$548,12,0),"")</f>
        <v>MUITO ATRASADO</v>
      </c>
      <c r="C280" s="121" t="n">
        <f aca="false">IFERROR(VLOOKUP(A280,CENTRO!$A$4:$L$548,11,0),"")</f>
        <v>146.524163568773</v>
      </c>
      <c r="D280" s="119" t="b">
        <f aca="false">FALSE()</f>
        <v>0</v>
      </c>
      <c r="E280" s="122" t="s">
        <v>922</v>
      </c>
      <c r="F280" s="119"/>
      <c r="G280" s="119" t="s">
        <v>924</v>
      </c>
      <c r="H280" s="104"/>
      <c r="I280" s="104"/>
      <c r="J280" s="104"/>
      <c r="K280" s="104"/>
      <c r="L280" s="104"/>
      <c r="M280" s="104"/>
      <c r="N280" s="104"/>
      <c r="O280" s="104"/>
      <c r="P280" s="104"/>
      <c r="Q280" s="104"/>
      <c r="R280" s="104"/>
      <c r="S280" s="104"/>
      <c r="T280" s="104"/>
      <c r="U280" s="104"/>
      <c r="V280" s="104"/>
      <c r="W280" s="104"/>
      <c r="X280" s="104"/>
      <c r="Y280" s="104"/>
      <c r="Z280" s="116"/>
      <c r="AB280" s="116"/>
      <c r="AC280" s="116"/>
    </row>
    <row r="281" customFormat="false" ht="15" hidden="false" customHeight="false" outlineLevel="0" collapsed="false">
      <c r="A281" s="119" t="s">
        <v>713</v>
      </c>
      <c r="B281" s="120" t="str">
        <f aca="false">IFERROR(VLOOKUP(A281,CENTRO!$A$4:$L$548,12,0),"")</f>
        <v>MUITO ATRASADO</v>
      </c>
      <c r="C281" s="121" t="n">
        <f aca="false">IFERROR(VLOOKUP(A281,CENTRO!$A$4:$L$548,11,0),"")</f>
        <v>148.97747385358</v>
      </c>
      <c r="D281" s="119" t="b">
        <f aca="false">FALSE()</f>
        <v>0</v>
      </c>
      <c r="E281" s="122" t="s">
        <v>918</v>
      </c>
      <c r="F281" s="119"/>
      <c r="G281" s="119" t="s">
        <v>924</v>
      </c>
      <c r="H281" s="104"/>
      <c r="I281" s="104"/>
      <c r="J281" s="104"/>
      <c r="K281" s="104"/>
      <c r="L281" s="104"/>
      <c r="M281" s="104"/>
      <c r="N281" s="104"/>
      <c r="O281" s="104"/>
      <c r="P281" s="104"/>
      <c r="Q281" s="104"/>
      <c r="R281" s="104"/>
      <c r="S281" s="104"/>
      <c r="T281" s="104"/>
      <c r="U281" s="104"/>
      <c r="V281" s="104"/>
      <c r="W281" s="104"/>
      <c r="X281" s="104"/>
      <c r="Y281" s="104"/>
      <c r="Z281" s="116"/>
      <c r="AB281" s="116"/>
      <c r="AC281" s="116"/>
    </row>
    <row r="282" customFormat="false" ht="15" hidden="false" customHeight="false" outlineLevel="0" collapsed="false">
      <c r="A282" s="119" t="s">
        <v>268</v>
      </c>
      <c r="B282" s="120" t="str">
        <f aca="false">IFERROR(VLOOKUP(A282,CENTRO!$A$4:$L$548,12,0),"")</f>
        <v>MUITO ATRASADO</v>
      </c>
      <c r="C282" s="121" t="str">
        <f aca="false">IFERROR(VLOOKUP(A282,CENTRO!$A$4:$L$137,11,0),"")</f>
        <v/>
      </c>
      <c r="D282" s="119" t="b">
        <f aca="false">FALSE()</f>
        <v>0</v>
      </c>
      <c r="E282" s="122" t="s">
        <v>918</v>
      </c>
      <c r="F282" s="119"/>
      <c r="G282" s="119" t="s">
        <v>924</v>
      </c>
      <c r="H282" s="104"/>
      <c r="I282" s="104"/>
      <c r="J282" s="104"/>
      <c r="K282" s="104"/>
      <c r="L282" s="104"/>
      <c r="M282" s="104"/>
      <c r="N282" s="104"/>
      <c r="O282" s="104"/>
      <c r="P282" s="104"/>
      <c r="Q282" s="104"/>
      <c r="R282" s="104"/>
      <c r="S282" s="104"/>
      <c r="T282" s="104"/>
      <c r="U282" s="104"/>
      <c r="V282" s="104"/>
      <c r="W282" s="104"/>
      <c r="X282" s="104"/>
      <c r="Y282" s="104"/>
      <c r="Z282" s="116"/>
      <c r="AB282" s="116"/>
      <c r="AC282" s="116"/>
    </row>
    <row r="283" customFormat="false" ht="15" hidden="false" customHeight="false" outlineLevel="0" collapsed="false">
      <c r="A283" s="119" t="s">
        <v>1099</v>
      </c>
      <c r="B283" s="120" t="str">
        <f aca="false">IFERROR(VLOOKUP(A283,CENTRO!$A$4:$L$548,12,0),"")</f>
        <v/>
      </c>
      <c r="C283" s="121" t="str">
        <f aca="false">IFERROR(VLOOKUP(A283,CENTRO!$A$4:$L$137,11,0),"")</f>
        <v/>
      </c>
      <c r="D283" s="119" t="b">
        <f aca="false">FALSE()</f>
        <v>0</v>
      </c>
      <c r="E283" s="122" t="s">
        <v>918</v>
      </c>
      <c r="F283" s="119"/>
      <c r="G283" s="119" t="s">
        <v>924</v>
      </c>
      <c r="H283" s="104"/>
      <c r="I283" s="104"/>
      <c r="J283" s="104"/>
      <c r="K283" s="104"/>
      <c r="L283" s="104"/>
      <c r="M283" s="104"/>
      <c r="N283" s="104"/>
      <c r="O283" s="104"/>
      <c r="P283" s="104"/>
      <c r="Q283" s="104"/>
      <c r="R283" s="104"/>
      <c r="S283" s="104"/>
      <c r="T283" s="104"/>
      <c r="U283" s="104"/>
      <c r="V283" s="104"/>
      <c r="W283" s="104"/>
      <c r="X283" s="104"/>
      <c r="Y283" s="104"/>
      <c r="Z283" s="116"/>
      <c r="AB283" s="116"/>
      <c r="AC283" s="116"/>
    </row>
    <row r="284" customFormat="false" ht="15" hidden="false" customHeight="false" outlineLevel="0" collapsed="false">
      <c r="A284" s="119" t="s">
        <v>535</v>
      </c>
      <c r="B284" s="119"/>
      <c r="C284" s="119"/>
      <c r="D284" s="119" t="b">
        <f aca="false">FALSE()</f>
        <v>0</v>
      </c>
      <c r="E284" s="122" t="s">
        <v>970</v>
      </c>
      <c r="F284" s="119"/>
      <c r="G284" s="119" t="s">
        <v>924</v>
      </c>
      <c r="H284" s="104"/>
      <c r="I284" s="104"/>
      <c r="J284" s="104"/>
      <c r="K284" s="104"/>
      <c r="L284" s="104"/>
      <c r="M284" s="104"/>
      <c r="N284" s="104"/>
      <c r="O284" s="104"/>
      <c r="P284" s="104"/>
      <c r="Q284" s="104"/>
      <c r="R284" s="104"/>
      <c r="S284" s="104"/>
      <c r="T284" s="104"/>
      <c r="U284" s="104"/>
      <c r="V284" s="104"/>
      <c r="W284" s="104"/>
      <c r="X284" s="104"/>
      <c r="Y284" s="104"/>
      <c r="Z284" s="116"/>
      <c r="AB284" s="116"/>
      <c r="AC284" s="116"/>
    </row>
    <row r="285" customFormat="false" ht="15" hidden="false" customHeight="false" outlineLevel="0" collapsed="false">
      <c r="A285" s="119" t="s">
        <v>758</v>
      </c>
      <c r="B285" s="120" t="str">
        <f aca="false">IFERROR(VLOOKUP(A285,CENTRO!$A$4:$L$548,12,0),"")</f>
        <v>MUITO ATRASADO</v>
      </c>
      <c r="C285" s="121" t="n">
        <f aca="false">IFERROR(VLOOKUP(A285,CENTRO!$A$4:$L$548,11,0),"")</f>
        <v>127.889878542511</v>
      </c>
      <c r="D285" s="119" t="b">
        <f aca="false">FALSE()</f>
        <v>0</v>
      </c>
      <c r="E285" s="122" t="s">
        <v>970</v>
      </c>
      <c r="F285" s="119"/>
      <c r="G285" s="119" t="s">
        <v>924</v>
      </c>
      <c r="H285" s="104"/>
      <c r="I285" s="104"/>
      <c r="J285" s="104"/>
      <c r="K285" s="104"/>
      <c r="L285" s="104"/>
      <c r="M285" s="104"/>
      <c r="N285" s="104"/>
      <c r="O285" s="104"/>
      <c r="P285" s="104"/>
      <c r="Q285" s="104"/>
      <c r="R285" s="104"/>
      <c r="S285" s="104"/>
      <c r="T285" s="104"/>
      <c r="U285" s="104"/>
      <c r="V285" s="104"/>
      <c r="W285" s="104"/>
      <c r="X285" s="104"/>
      <c r="Y285" s="104"/>
      <c r="Z285" s="116"/>
      <c r="AB285" s="116"/>
      <c r="AC285" s="116"/>
    </row>
    <row r="286" customFormat="false" ht="15" hidden="false" customHeight="false" outlineLevel="0" collapsed="false">
      <c r="A286" s="119" t="s">
        <v>555</v>
      </c>
      <c r="B286" s="120" t="str">
        <f aca="false">IFERROR(VLOOKUP(A286,CENTRO!$A$4:$L$548,12,0),"")</f>
        <v>MUITO ATRASADO</v>
      </c>
      <c r="C286" s="121" t="n">
        <f aca="false">IFERROR(VLOOKUP(A286,CENTRO!$A$4:$L$137,11,0),"")</f>
        <v>141.833333333334</v>
      </c>
      <c r="D286" s="119" t="b">
        <f aca="false">FALSE()</f>
        <v>0</v>
      </c>
      <c r="E286" s="122" t="s">
        <v>1003</v>
      </c>
      <c r="F286" s="119"/>
      <c r="G286" s="119" t="s">
        <v>924</v>
      </c>
      <c r="H286" s="104"/>
      <c r="I286" s="104"/>
      <c r="J286" s="104"/>
      <c r="K286" s="104"/>
      <c r="L286" s="104"/>
      <c r="M286" s="104"/>
      <c r="N286" s="104"/>
      <c r="O286" s="104"/>
      <c r="P286" s="104"/>
      <c r="Q286" s="104"/>
      <c r="R286" s="104"/>
      <c r="S286" s="104"/>
      <c r="T286" s="104"/>
      <c r="U286" s="104"/>
      <c r="V286" s="104"/>
      <c r="W286" s="104"/>
      <c r="X286" s="104"/>
      <c r="Y286" s="104"/>
      <c r="Z286" s="116"/>
      <c r="AB286" s="116"/>
      <c r="AC286" s="116"/>
    </row>
    <row r="287" customFormat="false" ht="15" hidden="false" customHeight="false" outlineLevel="0" collapsed="false">
      <c r="A287" s="119" t="s">
        <v>561</v>
      </c>
      <c r="B287" s="120" t="str">
        <f aca="false">IFERROR(VLOOKUP(A287,CENTRO!$A$4:$L$548,12,0),"")</f>
        <v>MUITO ATRASADO</v>
      </c>
      <c r="C287" s="121" t="n">
        <f aca="false">IFERROR(VLOOKUP(A287,CENTRO!$A$4:$L$137,11,0),"")</f>
        <v>175.676728334956</v>
      </c>
      <c r="D287" s="119" t="b">
        <f aca="false">FALSE()</f>
        <v>0</v>
      </c>
      <c r="E287" s="122" t="s">
        <v>918</v>
      </c>
      <c r="F287" s="119"/>
      <c r="G287" s="119" t="s">
        <v>924</v>
      </c>
      <c r="H287" s="104"/>
      <c r="I287" s="104"/>
      <c r="J287" s="104"/>
      <c r="K287" s="104"/>
      <c r="L287" s="104"/>
      <c r="M287" s="104"/>
      <c r="N287" s="104"/>
      <c r="O287" s="104"/>
      <c r="P287" s="104"/>
      <c r="Q287" s="104"/>
      <c r="R287" s="104"/>
      <c r="S287" s="104"/>
      <c r="T287" s="104"/>
      <c r="U287" s="104"/>
      <c r="V287" s="104"/>
      <c r="W287" s="104"/>
      <c r="X287" s="104"/>
      <c r="Y287" s="104"/>
      <c r="Z287" s="116"/>
      <c r="AB287" s="116"/>
      <c r="AC287" s="116"/>
    </row>
    <row r="288" customFormat="false" ht="15" hidden="false" customHeight="false" outlineLevel="0" collapsed="false">
      <c r="A288" s="119" t="s">
        <v>1100</v>
      </c>
      <c r="B288" s="120" t="str">
        <f aca="false">IFERROR(VLOOKUP(A288,CENTRO!$A$4:$L$548,12,0),"")</f>
        <v/>
      </c>
      <c r="C288" s="121" t="str">
        <f aca="false">IFERROR(VLOOKUP(A288,CENTRO!$A$4:$L$548,11,0),"")</f>
        <v/>
      </c>
      <c r="D288" s="119" t="b">
        <f aca="false">FALSE()</f>
        <v>0</v>
      </c>
      <c r="E288" s="122" t="s">
        <v>922</v>
      </c>
      <c r="F288" s="119"/>
      <c r="G288" s="119" t="s">
        <v>924</v>
      </c>
      <c r="H288" s="104"/>
      <c r="I288" s="104"/>
      <c r="J288" s="104"/>
      <c r="K288" s="104"/>
      <c r="L288" s="104"/>
      <c r="M288" s="104"/>
      <c r="N288" s="104"/>
      <c r="O288" s="104"/>
      <c r="P288" s="104"/>
      <c r="Q288" s="104"/>
      <c r="R288" s="104"/>
      <c r="S288" s="104"/>
      <c r="T288" s="104"/>
      <c r="U288" s="104"/>
      <c r="V288" s="104"/>
      <c r="W288" s="104"/>
      <c r="X288" s="104"/>
      <c r="Y288" s="104"/>
      <c r="Z288" s="116"/>
      <c r="AB288" s="116"/>
      <c r="AC288" s="116"/>
    </row>
    <row r="289" customFormat="false" ht="15" hidden="false" customHeight="false" outlineLevel="0" collapsed="false">
      <c r="A289" s="119" t="s">
        <v>731</v>
      </c>
      <c r="B289" s="120" t="str">
        <f aca="false">IFERROR(VLOOKUP(A289,CENTRO!$A$4:$L$548,12,0),"")</f>
        <v>MUITO ATRASADO</v>
      </c>
      <c r="C289" s="121" t="n">
        <f aca="false">IFERROR(VLOOKUP(A289,CENTRO!$A$4:$L$548,11,0),"")</f>
        <v>118.768595041322</v>
      </c>
      <c r="D289" s="119" t="b">
        <f aca="false">FALSE()</f>
        <v>0</v>
      </c>
      <c r="E289" s="122" t="s">
        <v>970</v>
      </c>
      <c r="F289" s="119"/>
      <c r="G289" s="119" t="s">
        <v>924</v>
      </c>
      <c r="H289" s="104"/>
      <c r="I289" s="104"/>
      <c r="J289" s="104"/>
      <c r="K289" s="104"/>
      <c r="L289" s="104"/>
      <c r="M289" s="104"/>
      <c r="N289" s="104"/>
      <c r="O289" s="104"/>
      <c r="P289" s="104"/>
      <c r="Q289" s="104"/>
      <c r="R289" s="104"/>
      <c r="S289" s="104"/>
      <c r="T289" s="104"/>
      <c r="U289" s="104"/>
      <c r="V289" s="104"/>
      <c r="W289" s="104"/>
      <c r="X289" s="104"/>
      <c r="Y289" s="104"/>
      <c r="Z289" s="116"/>
      <c r="AB289" s="116"/>
      <c r="AC289" s="116"/>
    </row>
    <row r="290" customFormat="false" ht="15" hidden="false" customHeight="false" outlineLevel="0" collapsed="false">
      <c r="A290" s="119" t="s">
        <v>372</v>
      </c>
      <c r="B290" s="119"/>
      <c r="C290" s="121"/>
      <c r="D290" s="119" t="b">
        <f aca="false">FALSE()</f>
        <v>0</v>
      </c>
      <c r="E290" s="122" t="s">
        <v>992</v>
      </c>
      <c r="F290" s="119"/>
      <c r="G290" s="119" t="s">
        <v>924</v>
      </c>
      <c r="H290" s="104"/>
      <c r="I290" s="104"/>
      <c r="J290" s="104"/>
      <c r="K290" s="104"/>
      <c r="L290" s="104"/>
      <c r="M290" s="104"/>
      <c r="N290" s="104"/>
      <c r="O290" s="104"/>
      <c r="P290" s="104"/>
      <c r="Q290" s="104"/>
      <c r="R290" s="104"/>
      <c r="S290" s="104"/>
      <c r="T290" s="104"/>
      <c r="U290" s="104"/>
      <c r="V290" s="104"/>
      <c r="W290" s="104"/>
      <c r="X290" s="104"/>
      <c r="Y290" s="104"/>
      <c r="Z290" s="116"/>
      <c r="AB290" s="116"/>
      <c r="AC290" s="116"/>
    </row>
    <row r="291" customFormat="false" ht="15" hidden="false" customHeight="false" outlineLevel="0" collapsed="false">
      <c r="A291" s="119" t="s">
        <v>792</v>
      </c>
      <c r="B291" s="119"/>
      <c r="C291" s="121"/>
      <c r="D291" s="119" t="b">
        <f aca="false">FALSE()</f>
        <v>0</v>
      </c>
      <c r="E291" s="122" t="s">
        <v>930</v>
      </c>
      <c r="F291" s="119"/>
      <c r="G291" s="119" t="s">
        <v>924</v>
      </c>
      <c r="H291" s="104"/>
      <c r="I291" s="104"/>
      <c r="J291" s="104"/>
      <c r="K291" s="104"/>
      <c r="L291" s="104"/>
      <c r="M291" s="104"/>
      <c r="N291" s="104"/>
      <c r="O291" s="104"/>
      <c r="P291" s="104"/>
      <c r="Q291" s="104"/>
      <c r="R291" s="104"/>
      <c r="S291" s="104"/>
      <c r="T291" s="104"/>
      <c r="U291" s="104"/>
      <c r="V291" s="104"/>
      <c r="W291" s="104"/>
      <c r="X291" s="104"/>
      <c r="Y291" s="104"/>
      <c r="Z291" s="116"/>
      <c r="AB291" s="116"/>
      <c r="AC291" s="116"/>
    </row>
    <row r="292" customFormat="false" ht="15" hidden="false" customHeight="false" outlineLevel="0" collapsed="false">
      <c r="A292" s="119" t="s">
        <v>576</v>
      </c>
      <c r="B292" s="119"/>
      <c r="C292" s="121"/>
      <c r="D292" s="119" t="b">
        <f aca="false">FALSE()</f>
        <v>0</v>
      </c>
      <c r="E292" s="122" t="s">
        <v>986</v>
      </c>
      <c r="F292" s="119"/>
      <c r="G292" s="119" t="s">
        <v>924</v>
      </c>
      <c r="H292" s="104"/>
      <c r="I292" s="104"/>
      <c r="J292" s="104"/>
      <c r="K292" s="104"/>
      <c r="L292" s="104"/>
      <c r="M292" s="104"/>
      <c r="N292" s="104"/>
      <c r="O292" s="104"/>
      <c r="P292" s="104"/>
      <c r="Q292" s="104"/>
      <c r="R292" s="104"/>
      <c r="S292" s="104"/>
      <c r="T292" s="104"/>
      <c r="U292" s="104"/>
      <c r="V292" s="104"/>
      <c r="W292" s="104"/>
      <c r="X292" s="104"/>
      <c r="Y292" s="104"/>
      <c r="Z292" s="116"/>
      <c r="AB292" s="116"/>
      <c r="AC292" s="116"/>
    </row>
    <row r="293" customFormat="false" ht="15" hidden="false" customHeight="false" outlineLevel="0" collapsed="false">
      <c r="A293" s="170" t="s">
        <v>1101</v>
      </c>
      <c r="B293" s="119"/>
      <c r="C293" s="121"/>
      <c r="D293" s="119" t="b">
        <f aca="false">FALSE()</f>
        <v>0</v>
      </c>
      <c r="E293" s="122" t="s">
        <v>1102</v>
      </c>
      <c r="F293" s="119"/>
      <c r="G293" s="119" t="s">
        <v>924</v>
      </c>
      <c r="H293" s="104"/>
      <c r="I293" s="104"/>
      <c r="J293" s="104"/>
      <c r="K293" s="104"/>
      <c r="L293" s="104"/>
      <c r="M293" s="104"/>
      <c r="N293" s="104"/>
      <c r="O293" s="104"/>
      <c r="P293" s="104"/>
      <c r="Q293" s="104"/>
      <c r="R293" s="104"/>
      <c r="S293" s="104"/>
      <c r="T293" s="104"/>
      <c r="U293" s="104"/>
      <c r="V293" s="104"/>
      <c r="W293" s="104"/>
      <c r="X293" s="104"/>
      <c r="Y293" s="104"/>
      <c r="Z293" s="114"/>
      <c r="AB293" s="114"/>
      <c r="AC293" s="114"/>
    </row>
    <row r="294" customFormat="false" ht="15" hidden="false" customHeight="false" outlineLevel="0" collapsed="false">
      <c r="A294" s="133" t="s">
        <v>408</v>
      </c>
      <c r="B294" s="171"/>
      <c r="C294" s="172"/>
      <c r="D294" s="119" t="b">
        <f aca="false">FALSE()</f>
        <v>0</v>
      </c>
      <c r="E294" s="122" t="s">
        <v>941</v>
      </c>
      <c r="F294" s="171"/>
      <c r="G294" s="171" t="s">
        <v>924</v>
      </c>
      <c r="H294" s="104"/>
      <c r="I294" s="104"/>
      <c r="J294" s="104"/>
      <c r="K294" s="104"/>
      <c r="L294" s="104"/>
      <c r="M294" s="104"/>
      <c r="N294" s="104"/>
      <c r="O294" s="104"/>
      <c r="P294" s="104"/>
      <c r="Q294" s="104"/>
      <c r="R294" s="104"/>
      <c r="S294" s="104"/>
      <c r="T294" s="104"/>
      <c r="U294" s="104"/>
      <c r="V294" s="104"/>
      <c r="W294" s="104"/>
      <c r="X294" s="104"/>
      <c r="Y294" s="104"/>
      <c r="Z294" s="116"/>
      <c r="AB294" s="116"/>
      <c r="AC294" s="116"/>
    </row>
    <row r="295" customFormat="false" ht="15" hidden="false" customHeight="false" outlineLevel="0" collapsed="false">
      <c r="A295" s="133" t="s">
        <v>652</v>
      </c>
      <c r="B295" s="119"/>
      <c r="C295" s="121"/>
      <c r="D295" s="119" t="b">
        <f aca="false">FALSE()</f>
        <v>0</v>
      </c>
      <c r="E295" s="122" t="s">
        <v>941</v>
      </c>
      <c r="F295" s="119"/>
      <c r="G295" s="119" t="s">
        <v>924</v>
      </c>
      <c r="H295" s="104"/>
      <c r="I295" s="104"/>
      <c r="J295" s="104"/>
      <c r="K295" s="104"/>
      <c r="L295" s="104"/>
      <c r="M295" s="104"/>
      <c r="N295" s="104"/>
      <c r="O295" s="104"/>
      <c r="P295" s="104"/>
      <c r="Q295" s="104"/>
      <c r="R295" s="104"/>
      <c r="S295" s="104"/>
      <c r="T295" s="104"/>
      <c r="U295" s="104"/>
      <c r="V295" s="104"/>
      <c r="W295" s="104"/>
      <c r="X295" s="104"/>
      <c r="Y295" s="104"/>
      <c r="Z295" s="116"/>
      <c r="AB295" s="116"/>
      <c r="AC295" s="116"/>
    </row>
    <row r="296" customFormat="false" ht="15" hidden="false" customHeight="false" outlineLevel="0" collapsed="false">
      <c r="A296" s="165" t="s">
        <v>119</v>
      </c>
      <c r="B296" s="119"/>
      <c r="C296" s="121"/>
      <c r="D296" s="119" t="b">
        <f aca="false">FALSE()</f>
        <v>0</v>
      </c>
      <c r="E296" s="122" t="s">
        <v>960</v>
      </c>
      <c r="F296" s="119"/>
      <c r="G296" s="119" t="s">
        <v>924</v>
      </c>
      <c r="H296" s="104"/>
      <c r="I296" s="104"/>
      <c r="J296" s="104"/>
      <c r="K296" s="104"/>
      <c r="L296" s="104"/>
      <c r="M296" s="104"/>
      <c r="N296" s="104"/>
      <c r="O296" s="104"/>
      <c r="P296" s="104"/>
      <c r="Q296" s="104"/>
      <c r="R296" s="104"/>
      <c r="S296" s="104"/>
      <c r="T296" s="104"/>
      <c r="U296" s="104"/>
      <c r="V296" s="104"/>
      <c r="W296" s="104"/>
      <c r="X296" s="104"/>
      <c r="Y296" s="104"/>
      <c r="Z296" s="116"/>
      <c r="AB296" s="116"/>
      <c r="AC296" s="116"/>
    </row>
    <row r="297" customFormat="false" ht="15" hidden="false" customHeight="false" outlineLevel="0" collapsed="false">
      <c r="A297" s="119" t="s">
        <v>1103</v>
      </c>
      <c r="B297" s="119"/>
      <c r="C297" s="121"/>
      <c r="D297" s="119" t="b">
        <f aca="false">FALSE()</f>
        <v>0</v>
      </c>
      <c r="E297" s="122" t="s">
        <v>959</v>
      </c>
      <c r="F297" s="119"/>
      <c r="G297" s="119" t="s">
        <v>924</v>
      </c>
      <c r="H297" s="104"/>
      <c r="I297" s="104"/>
      <c r="J297" s="104"/>
      <c r="K297" s="104"/>
      <c r="L297" s="104"/>
      <c r="M297" s="104"/>
      <c r="N297" s="104"/>
      <c r="O297" s="104"/>
      <c r="P297" s="104"/>
      <c r="Q297" s="104"/>
      <c r="R297" s="104"/>
      <c r="S297" s="104"/>
      <c r="T297" s="104"/>
      <c r="U297" s="104"/>
      <c r="V297" s="104"/>
      <c r="W297" s="104"/>
      <c r="X297" s="104"/>
      <c r="Y297" s="104"/>
      <c r="Z297" s="116"/>
      <c r="AB297" s="116"/>
      <c r="AC297" s="116"/>
    </row>
    <row r="298" customFormat="false" ht="15" hidden="false" customHeight="false" outlineLevel="0" collapsed="false">
      <c r="A298" s="133" t="s">
        <v>376</v>
      </c>
      <c r="B298" s="119"/>
      <c r="C298" s="121"/>
      <c r="D298" s="119" t="b">
        <f aca="false">FALSE()</f>
        <v>0</v>
      </c>
      <c r="E298" s="122" t="s">
        <v>941</v>
      </c>
      <c r="F298" s="119"/>
      <c r="G298" s="119" t="s">
        <v>924</v>
      </c>
      <c r="H298" s="104"/>
      <c r="I298" s="104"/>
      <c r="J298" s="104"/>
      <c r="K298" s="104"/>
      <c r="L298" s="104"/>
      <c r="M298" s="104"/>
      <c r="N298" s="104"/>
      <c r="O298" s="104"/>
      <c r="P298" s="104"/>
      <c r="Q298" s="104"/>
      <c r="R298" s="104"/>
      <c r="S298" s="104"/>
      <c r="T298" s="104"/>
      <c r="U298" s="104"/>
      <c r="V298" s="104"/>
      <c r="W298" s="104"/>
      <c r="X298" s="104"/>
      <c r="Y298" s="104"/>
      <c r="Z298" s="116"/>
      <c r="AB298" s="116"/>
      <c r="AC298" s="116"/>
    </row>
    <row r="299" customFormat="false" ht="15" hidden="false" customHeight="false" outlineLevel="0" collapsed="false">
      <c r="A299" s="133" t="s">
        <v>725</v>
      </c>
      <c r="B299" s="119"/>
      <c r="C299" s="121"/>
      <c r="D299" s="119" t="b">
        <f aca="false">FALSE()</f>
        <v>0</v>
      </c>
      <c r="E299" s="122" t="s">
        <v>1026</v>
      </c>
      <c r="F299" s="119"/>
      <c r="G299" s="119" t="s">
        <v>924</v>
      </c>
      <c r="H299" s="104"/>
      <c r="I299" s="104"/>
      <c r="J299" s="104"/>
      <c r="K299" s="104"/>
      <c r="L299" s="104"/>
      <c r="M299" s="104"/>
      <c r="N299" s="104"/>
      <c r="O299" s="104"/>
      <c r="P299" s="104"/>
      <c r="Q299" s="104"/>
      <c r="R299" s="104"/>
      <c r="S299" s="104"/>
      <c r="T299" s="104"/>
      <c r="U299" s="104"/>
      <c r="V299" s="104"/>
      <c r="W299" s="104"/>
      <c r="X299" s="104"/>
      <c r="Y299" s="104"/>
      <c r="Z299" s="116"/>
      <c r="AB299" s="116"/>
      <c r="AC299" s="116"/>
    </row>
    <row r="300" customFormat="false" ht="15" hidden="false" customHeight="false" outlineLevel="0" collapsed="false">
      <c r="A300" s="133" t="s">
        <v>665</v>
      </c>
      <c r="B300" s="119"/>
      <c r="C300" s="121"/>
      <c r="D300" s="119" t="b">
        <f aca="false">FALSE()</f>
        <v>0</v>
      </c>
      <c r="E300" s="122" t="s">
        <v>941</v>
      </c>
      <c r="F300" s="119"/>
      <c r="G300" s="119" t="s">
        <v>924</v>
      </c>
      <c r="H300" s="104"/>
      <c r="I300" s="104"/>
      <c r="J300" s="104"/>
      <c r="K300" s="104"/>
      <c r="L300" s="104"/>
      <c r="M300" s="104"/>
      <c r="N300" s="104"/>
      <c r="O300" s="104"/>
      <c r="P300" s="104"/>
      <c r="Q300" s="104"/>
      <c r="R300" s="104"/>
      <c r="S300" s="104"/>
      <c r="T300" s="104"/>
      <c r="U300" s="104"/>
      <c r="V300" s="104"/>
      <c r="W300" s="104"/>
      <c r="X300" s="104"/>
      <c r="Y300" s="104"/>
      <c r="Z300" s="116"/>
      <c r="AB300" s="116"/>
      <c r="AC300" s="116"/>
    </row>
    <row r="301" customFormat="false" ht="15" hidden="false" customHeight="false" outlineLevel="0" collapsed="false">
      <c r="A301" s="133" t="s">
        <v>486</v>
      </c>
      <c r="B301" s="119"/>
      <c r="C301" s="121"/>
      <c r="D301" s="119" t="b">
        <f aca="false">FALSE()</f>
        <v>0</v>
      </c>
      <c r="E301" s="122" t="s">
        <v>941</v>
      </c>
      <c r="F301" s="119"/>
      <c r="G301" s="119" t="s">
        <v>924</v>
      </c>
      <c r="H301" s="104"/>
      <c r="I301" s="104"/>
      <c r="J301" s="104"/>
      <c r="K301" s="104"/>
      <c r="L301" s="104"/>
      <c r="M301" s="104"/>
      <c r="N301" s="104"/>
      <c r="O301" s="104"/>
      <c r="P301" s="104"/>
      <c r="Q301" s="104"/>
      <c r="R301" s="104"/>
      <c r="S301" s="104"/>
      <c r="T301" s="104"/>
      <c r="U301" s="104"/>
      <c r="V301" s="104"/>
      <c r="W301" s="104"/>
      <c r="X301" s="104"/>
      <c r="Y301" s="104"/>
      <c r="Z301" s="116"/>
      <c r="AB301" s="116"/>
      <c r="AC301" s="116"/>
    </row>
    <row r="302" customFormat="false" ht="15" hidden="false" customHeight="false" outlineLevel="0" collapsed="false">
      <c r="A302" s="173" t="s">
        <v>701</v>
      </c>
      <c r="B302" s="119"/>
      <c r="C302" s="121"/>
      <c r="D302" s="119" t="b">
        <f aca="false">FALSE()</f>
        <v>0</v>
      </c>
      <c r="E302" s="122" t="s">
        <v>922</v>
      </c>
      <c r="F302" s="119"/>
      <c r="G302" s="119" t="s">
        <v>924</v>
      </c>
      <c r="H302" s="104"/>
      <c r="I302" s="104"/>
      <c r="J302" s="104"/>
      <c r="K302" s="104"/>
      <c r="L302" s="104"/>
      <c r="M302" s="104"/>
      <c r="N302" s="104"/>
      <c r="O302" s="104"/>
      <c r="P302" s="104"/>
      <c r="Q302" s="104"/>
      <c r="R302" s="104"/>
      <c r="S302" s="104"/>
      <c r="T302" s="104"/>
      <c r="U302" s="104"/>
      <c r="V302" s="104"/>
      <c r="W302" s="104"/>
      <c r="X302" s="104"/>
      <c r="Y302" s="104"/>
      <c r="Z302" s="114"/>
      <c r="AB302" s="114"/>
      <c r="AC302" s="114"/>
    </row>
    <row r="303" customFormat="false" ht="15" hidden="false" customHeight="false" outlineLevel="0" collapsed="false">
      <c r="A303" s="133" t="s">
        <v>643</v>
      </c>
      <c r="B303" s="119"/>
      <c r="C303" s="121"/>
      <c r="D303" s="119" t="b">
        <f aca="false">FALSE()</f>
        <v>0</v>
      </c>
      <c r="E303" s="122" t="s">
        <v>1104</v>
      </c>
      <c r="F303" s="119"/>
      <c r="G303" s="119" t="s">
        <v>924</v>
      </c>
      <c r="H303" s="104"/>
      <c r="I303" s="104"/>
      <c r="J303" s="104"/>
      <c r="K303" s="104"/>
      <c r="L303" s="104"/>
      <c r="M303" s="104"/>
      <c r="N303" s="104"/>
      <c r="O303" s="104"/>
      <c r="P303" s="104"/>
      <c r="Q303" s="104"/>
      <c r="R303" s="104"/>
      <c r="S303" s="104"/>
      <c r="T303" s="104"/>
      <c r="U303" s="104"/>
      <c r="V303" s="104"/>
      <c r="W303" s="104"/>
      <c r="X303" s="104"/>
      <c r="Y303" s="104"/>
      <c r="Z303" s="116"/>
      <c r="AB303" s="116"/>
      <c r="AC303" s="116"/>
    </row>
    <row r="304" customFormat="false" ht="15" hidden="false" customHeight="false" outlineLevel="0" collapsed="false">
      <c r="A304" s="119" t="s">
        <v>649</v>
      </c>
      <c r="B304" s="119"/>
      <c r="C304" s="121"/>
      <c r="D304" s="119" t="b">
        <f aca="false">FALSE()</f>
        <v>0</v>
      </c>
      <c r="E304" s="122" t="s">
        <v>1105</v>
      </c>
      <c r="F304" s="119"/>
      <c r="G304" s="119" t="s">
        <v>924</v>
      </c>
      <c r="H304" s="104"/>
      <c r="I304" s="104"/>
      <c r="J304" s="104"/>
      <c r="K304" s="104"/>
      <c r="L304" s="104"/>
      <c r="M304" s="104"/>
      <c r="N304" s="104"/>
      <c r="O304" s="104"/>
      <c r="P304" s="104"/>
      <c r="Q304" s="104"/>
      <c r="R304" s="104"/>
      <c r="S304" s="104"/>
      <c r="T304" s="104"/>
      <c r="U304" s="104"/>
      <c r="V304" s="104"/>
      <c r="W304" s="104"/>
      <c r="X304" s="104"/>
      <c r="Y304" s="104"/>
      <c r="Z304" s="116"/>
      <c r="AB304" s="116"/>
      <c r="AC304" s="116"/>
    </row>
    <row r="305" customFormat="false" ht="15" hidden="false" customHeight="false" outlineLevel="0" collapsed="false">
      <c r="A305" s="133" t="s">
        <v>600</v>
      </c>
      <c r="B305" s="119"/>
      <c r="C305" s="121"/>
      <c r="D305" s="119" t="b">
        <f aca="false">FALSE()</f>
        <v>0</v>
      </c>
      <c r="E305" s="122" t="s">
        <v>1105</v>
      </c>
      <c r="F305" s="119"/>
      <c r="G305" s="119" t="s">
        <v>924</v>
      </c>
      <c r="H305" s="104"/>
      <c r="I305" s="104"/>
      <c r="J305" s="104"/>
      <c r="K305" s="104"/>
      <c r="L305" s="104"/>
      <c r="M305" s="104"/>
      <c r="N305" s="104"/>
      <c r="O305" s="104"/>
      <c r="P305" s="104"/>
      <c r="Q305" s="104"/>
      <c r="R305" s="104"/>
      <c r="S305" s="104"/>
      <c r="T305" s="104"/>
      <c r="U305" s="104"/>
      <c r="V305" s="104"/>
      <c r="W305" s="104"/>
      <c r="X305" s="104"/>
      <c r="Y305" s="104"/>
      <c r="Z305" s="116"/>
      <c r="AB305" s="116"/>
      <c r="AC305" s="116"/>
    </row>
    <row r="306" customFormat="false" ht="15" hidden="false" customHeight="false" outlineLevel="0" collapsed="false">
      <c r="A306" s="133" t="s">
        <v>791</v>
      </c>
      <c r="B306" s="119"/>
      <c r="C306" s="121"/>
      <c r="D306" s="119" t="b">
        <f aca="false">FALSE()</f>
        <v>0</v>
      </c>
      <c r="E306" s="122" t="s">
        <v>1106</v>
      </c>
      <c r="F306" s="119"/>
      <c r="G306" s="119" t="s">
        <v>924</v>
      </c>
      <c r="H306" s="104"/>
      <c r="I306" s="104"/>
      <c r="J306" s="104"/>
      <c r="K306" s="104"/>
      <c r="L306" s="104"/>
      <c r="M306" s="104"/>
      <c r="N306" s="104"/>
      <c r="O306" s="104"/>
      <c r="P306" s="104"/>
      <c r="Q306" s="104"/>
      <c r="R306" s="104"/>
      <c r="S306" s="104"/>
      <c r="T306" s="104"/>
      <c r="U306" s="104"/>
      <c r="V306" s="104"/>
      <c r="W306" s="104"/>
      <c r="X306" s="104"/>
      <c r="Y306" s="104"/>
      <c r="Z306" s="116"/>
      <c r="AB306" s="116"/>
      <c r="AC306" s="116"/>
    </row>
    <row r="307" customFormat="false" ht="15" hidden="false" customHeight="false" outlineLevel="0" collapsed="false">
      <c r="A307" s="133" t="s">
        <v>685</v>
      </c>
      <c r="B307" s="119"/>
      <c r="C307" s="121"/>
      <c r="D307" s="119" t="b">
        <f aca="false">FALSE()</f>
        <v>0</v>
      </c>
      <c r="E307" s="122" t="s">
        <v>1007</v>
      </c>
      <c r="F307" s="119"/>
      <c r="G307" s="119" t="s">
        <v>924</v>
      </c>
      <c r="H307" s="104"/>
      <c r="I307" s="104"/>
      <c r="J307" s="104"/>
      <c r="K307" s="104"/>
      <c r="L307" s="104"/>
      <c r="M307" s="104"/>
      <c r="N307" s="104"/>
      <c r="O307" s="104"/>
      <c r="P307" s="104"/>
      <c r="Q307" s="104"/>
      <c r="R307" s="104"/>
      <c r="S307" s="104"/>
      <c r="T307" s="104"/>
      <c r="U307" s="104"/>
      <c r="V307" s="104"/>
      <c r="W307" s="104"/>
      <c r="X307" s="104"/>
      <c r="Y307" s="104"/>
      <c r="Z307" s="116"/>
      <c r="AB307" s="116"/>
      <c r="AC307" s="116"/>
    </row>
    <row r="308" customFormat="false" ht="15" hidden="false" customHeight="false" outlineLevel="0" collapsed="false">
      <c r="A308" s="133" t="s">
        <v>455</v>
      </c>
      <c r="B308" s="119"/>
      <c r="C308" s="121"/>
      <c r="D308" s="119" t="b">
        <f aca="false">FALSE()</f>
        <v>0</v>
      </c>
      <c r="E308" s="122" t="s">
        <v>941</v>
      </c>
      <c r="F308" s="119"/>
      <c r="G308" s="119" t="s">
        <v>924</v>
      </c>
      <c r="H308" s="104"/>
      <c r="I308" s="104"/>
      <c r="J308" s="104"/>
      <c r="K308" s="104"/>
      <c r="L308" s="104"/>
      <c r="M308" s="104"/>
      <c r="N308" s="104"/>
      <c r="O308" s="104"/>
      <c r="P308" s="104"/>
      <c r="Q308" s="104"/>
      <c r="R308" s="104"/>
      <c r="S308" s="104"/>
      <c r="T308" s="104"/>
      <c r="U308" s="104"/>
      <c r="V308" s="104"/>
      <c r="W308" s="104"/>
      <c r="X308" s="104"/>
      <c r="Y308" s="104"/>
      <c r="Z308" s="116"/>
      <c r="AB308" s="116"/>
      <c r="AC308" s="116"/>
    </row>
    <row r="309" customFormat="false" ht="18" hidden="false" customHeight="true" outlineLevel="0" collapsed="false">
      <c r="A309" s="119" t="s">
        <v>1107</v>
      </c>
      <c r="B309" s="119"/>
      <c r="C309" s="121"/>
      <c r="D309" s="119" t="b">
        <f aca="false">FALSE()</f>
        <v>0</v>
      </c>
      <c r="E309" s="122" t="s">
        <v>1108</v>
      </c>
      <c r="F309" s="119"/>
      <c r="G309" s="119" t="s">
        <v>924</v>
      </c>
      <c r="H309" s="104"/>
      <c r="I309" s="104"/>
      <c r="J309" s="104"/>
      <c r="K309" s="104"/>
      <c r="L309" s="104"/>
      <c r="M309" s="104"/>
      <c r="N309" s="104"/>
      <c r="O309" s="104"/>
      <c r="P309" s="104"/>
      <c r="Q309" s="104"/>
      <c r="R309" s="104"/>
      <c r="S309" s="104"/>
      <c r="T309" s="104"/>
      <c r="U309" s="104"/>
      <c r="V309" s="104"/>
      <c r="W309" s="104"/>
      <c r="X309" s="104"/>
      <c r="Y309" s="104"/>
      <c r="Z309" s="116"/>
      <c r="AB309" s="116"/>
      <c r="AC309" s="116"/>
    </row>
    <row r="310" customFormat="false" ht="15" hidden="false" customHeight="false" outlineLevel="0" collapsed="false">
      <c r="A310" s="119" t="s">
        <v>785</v>
      </c>
      <c r="B310" s="119"/>
      <c r="C310" s="121"/>
      <c r="D310" s="119" t="b">
        <f aca="false">FALSE()</f>
        <v>0</v>
      </c>
      <c r="E310" s="122" t="s">
        <v>922</v>
      </c>
      <c r="F310" s="119"/>
      <c r="G310" s="119" t="s">
        <v>924</v>
      </c>
      <c r="H310" s="104"/>
      <c r="I310" s="104"/>
      <c r="J310" s="104"/>
      <c r="K310" s="104"/>
      <c r="L310" s="104"/>
      <c r="M310" s="104"/>
      <c r="N310" s="104"/>
      <c r="O310" s="104"/>
      <c r="P310" s="104"/>
      <c r="Q310" s="104"/>
      <c r="R310" s="104"/>
      <c r="S310" s="104"/>
      <c r="T310" s="104"/>
      <c r="U310" s="104"/>
      <c r="V310" s="104"/>
      <c r="W310" s="104"/>
      <c r="X310" s="104"/>
      <c r="Y310" s="104"/>
      <c r="Z310" s="116"/>
      <c r="AB310" s="116"/>
      <c r="AC310" s="116"/>
    </row>
    <row r="311" customFormat="false" ht="15" hidden="false" customHeight="false" outlineLevel="0" collapsed="false">
      <c r="A311" s="119" t="s">
        <v>816</v>
      </c>
      <c r="B311" s="119"/>
      <c r="C311" s="121"/>
      <c r="D311" s="119" t="b">
        <f aca="false">FALSE()</f>
        <v>0</v>
      </c>
      <c r="E311" s="122" t="s">
        <v>959</v>
      </c>
      <c r="F311" s="119"/>
      <c r="G311" s="119" t="s">
        <v>924</v>
      </c>
      <c r="H311" s="104"/>
      <c r="I311" s="104"/>
      <c r="J311" s="104"/>
      <c r="K311" s="104"/>
      <c r="L311" s="104"/>
      <c r="M311" s="104"/>
      <c r="N311" s="104"/>
      <c r="O311" s="104"/>
      <c r="P311" s="104"/>
      <c r="Q311" s="104"/>
      <c r="R311" s="104"/>
      <c r="S311" s="104"/>
      <c r="T311" s="104"/>
      <c r="U311" s="104"/>
      <c r="V311" s="104"/>
      <c r="W311" s="104"/>
      <c r="X311" s="104"/>
      <c r="Y311" s="104"/>
      <c r="Z311" s="116"/>
      <c r="AA311" s="116"/>
      <c r="AB311" s="116"/>
      <c r="AC311" s="116"/>
    </row>
    <row r="312" customFormat="false" ht="15" hidden="false" customHeight="false" outlineLevel="0" collapsed="false">
      <c r="A312" s="119" t="s">
        <v>738</v>
      </c>
      <c r="B312" s="120" t="str">
        <f aca="false">IFERROR(VLOOKUP(A312,CENTRO!$A$4:$L$548,12,0),"")</f>
        <v>MUITO ATRASADO</v>
      </c>
      <c r="C312" s="121" t="n">
        <f aca="false">IFERROR(VLOOKUP(A312,CENTRO!$A$4:$L$548,11,0),"")</f>
        <v>140.79012345679</v>
      </c>
      <c r="D312" s="119" t="b">
        <f aca="false">FALSE()</f>
        <v>0</v>
      </c>
      <c r="E312" s="122" t="s">
        <v>1109</v>
      </c>
      <c r="F312" s="119"/>
      <c r="G312" s="119" t="s">
        <v>933</v>
      </c>
      <c r="H312" s="104"/>
      <c r="I312" s="104"/>
      <c r="J312" s="104"/>
      <c r="K312" s="104"/>
      <c r="L312" s="104"/>
      <c r="M312" s="104"/>
      <c r="N312" s="104"/>
      <c r="O312" s="104"/>
      <c r="P312" s="104"/>
      <c r="Q312" s="104"/>
      <c r="R312" s="104"/>
      <c r="S312" s="104"/>
      <c r="T312" s="104"/>
      <c r="U312" s="104"/>
      <c r="V312" s="104"/>
      <c r="W312" s="104"/>
      <c r="X312" s="104"/>
      <c r="Y312" s="104"/>
      <c r="Z312" s="116"/>
      <c r="AA312" s="116"/>
      <c r="AB312" s="116"/>
      <c r="AC312" s="116"/>
    </row>
    <row r="313" customFormat="false" ht="15" hidden="false" customHeight="false" outlineLevel="0" collapsed="false">
      <c r="A313" s="119" t="s">
        <v>621</v>
      </c>
      <c r="B313" s="120" t="str">
        <f aca="false">IFERROR(VLOOKUP(A313,CENTRO!$A$4:$L$548,12,0),"")</f>
        <v>MUITO ATRASADO</v>
      </c>
      <c r="C313" s="121" t="n">
        <f aca="false">IFERROR(VLOOKUP(A313,CENTRO!$A$4:$L$137,11,0),"")</f>
        <v>194.678571428571</v>
      </c>
      <c r="D313" s="119" t="b">
        <f aca="false">FALSE()</f>
        <v>0</v>
      </c>
      <c r="E313" s="122" t="s">
        <v>918</v>
      </c>
      <c r="F313" s="119"/>
      <c r="G313" s="119" t="s">
        <v>933</v>
      </c>
      <c r="H313" s="104"/>
      <c r="I313" s="104"/>
      <c r="J313" s="104"/>
      <c r="K313" s="104"/>
      <c r="L313" s="104"/>
      <c r="M313" s="104"/>
      <c r="N313" s="104"/>
      <c r="O313" s="104"/>
      <c r="P313" s="104"/>
      <c r="Q313" s="104"/>
      <c r="R313" s="104"/>
      <c r="S313" s="104"/>
      <c r="T313" s="104"/>
      <c r="U313" s="104"/>
      <c r="V313" s="104"/>
      <c r="W313" s="104"/>
      <c r="X313" s="104"/>
      <c r="Y313" s="104"/>
      <c r="Z313" s="116"/>
      <c r="AA313" s="116"/>
      <c r="AB313" s="116"/>
      <c r="AC313" s="116"/>
    </row>
    <row r="314" customFormat="false" ht="15" hidden="false" customHeight="false" outlineLevel="0" collapsed="false">
      <c r="A314" s="119" t="s">
        <v>619</v>
      </c>
      <c r="B314" s="120" t="str">
        <f aca="false">IFERROR(VLOOKUP(A314,CENTRO!$A$4:$L$548,12,0),"")</f>
        <v>MUITO ATRASADO</v>
      </c>
      <c r="C314" s="121" t="n">
        <f aca="false">IFERROR(VLOOKUP(A314,CENTRO!$A$4:$L$137,11,0),"")</f>
        <v>194.880341880342</v>
      </c>
      <c r="D314" s="119" t="b">
        <f aca="false">FALSE()</f>
        <v>0</v>
      </c>
      <c r="E314" s="122" t="s">
        <v>970</v>
      </c>
      <c r="F314" s="119"/>
      <c r="G314" s="119" t="s">
        <v>933</v>
      </c>
      <c r="H314" s="104"/>
      <c r="I314" s="104"/>
      <c r="J314" s="104"/>
      <c r="K314" s="104"/>
      <c r="L314" s="104"/>
      <c r="M314" s="104"/>
      <c r="N314" s="104"/>
      <c r="O314" s="104"/>
      <c r="P314" s="104"/>
      <c r="Q314" s="104"/>
      <c r="R314" s="104"/>
      <c r="S314" s="104"/>
      <c r="T314" s="104"/>
      <c r="U314" s="104"/>
      <c r="V314" s="104"/>
      <c r="W314" s="104"/>
      <c r="X314" s="104"/>
      <c r="Y314" s="104"/>
      <c r="Z314" s="116"/>
      <c r="AA314" s="116"/>
      <c r="AB314" s="116"/>
      <c r="AC314" s="116"/>
    </row>
    <row r="315" customFormat="false" ht="15" hidden="false" customHeight="false" outlineLevel="0" collapsed="false">
      <c r="A315" s="104" t="s">
        <v>593</v>
      </c>
      <c r="B315" s="174" t="str">
        <f aca="false">IFERROR(VLOOKUP(A315,CENTRO!$A$4:$L$548,12,0),"")</f>
        <v>MUITO ATRASADO</v>
      </c>
      <c r="C315" s="147" t="n">
        <f aca="false">IFERROR(VLOOKUP(A315,CENTRO!$A$4:$L$548,11,0),"")</f>
        <v>109.546391752577</v>
      </c>
      <c r="D315" s="119" t="b">
        <f aca="false">FALSE()</f>
        <v>0</v>
      </c>
      <c r="E315" s="122" t="s">
        <v>970</v>
      </c>
      <c r="F315" s="104"/>
      <c r="G315" s="119" t="s">
        <v>933</v>
      </c>
      <c r="H315" s="104"/>
      <c r="I315" s="104"/>
      <c r="J315" s="104"/>
      <c r="K315" s="104"/>
      <c r="L315" s="104"/>
      <c r="M315" s="104"/>
      <c r="N315" s="104"/>
      <c r="O315" s="104"/>
      <c r="P315" s="104"/>
      <c r="Q315" s="104"/>
      <c r="R315" s="104"/>
      <c r="S315" s="104"/>
      <c r="T315" s="104"/>
      <c r="U315" s="104"/>
      <c r="V315" s="104"/>
      <c r="W315" s="104"/>
      <c r="X315" s="104"/>
      <c r="Y315" s="104"/>
      <c r="Z315" s="116"/>
      <c r="AA315" s="116"/>
      <c r="AB315" s="116"/>
      <c r="AC315" s="116"/>
    </row>
    <row r="316" customFormat="false" ht="15" hidden="false" customHeight="false" outlineLevel="0" collapsed="false">
      <c r="A316" s="119" t="s">
        <v>36</v>
      </c>
      <c r="B316" s="174" t="str">
        <f aca="false">IFERROR(VLOOKUP(A316,CENTRO!$A$4:$L$548,12,0),"")</f>
        <v>MUITO ATRASADO</v>
      </c>
      <c r="C316" s="147" t="n">
        <f aca="false">IFERROR(VLOOKUP(A316,CENTRO!$A$4:$L$137,11,0),"")</f>
        <v>161.276532137519</v>
      </c>
      <c r="D316" s="119" t="b">
        <f aca="false">FALSE()</f>
        <v>0</v>
      </c>
      <c r="E316" s="122" t="s">
        <v>918</v>
      </c>
      <c r="F316" s="104"/>
      <c r="G316" s="119" t="s">
        <v>933</v>
      </c>
      <c r="H316" s="104"/>
      <c r="I316" s="104"/>
      <c r="J316" s="104"/>
      <c r="K316" s="104"/>
      <c r="L316" s="104"/>
      <c r="M316" s="104"/>
      <c r="N316" s="104"/>
      <c r="O316" s="104"/>
      <c r="P316" s="104"/>
      <c r="Q316" s="104"/>
      <c r="R316" s="104"/>
      <c r="S316" s="104"/>
      <c r="T316" s="104"/>
      <c r="U316" s="104"/>
      <c r="V316" s="104"/>
      <c r="W316" s="104"/>
      <c r="X316" s="104"/>
      <c r="Y316" s="104"/>
      <c r="Z316" s="116"/>
      <c r="AA316" s="116"/>
      <c r="AB316" s="116"/>
      <c r="AC316" s="116"/>
    </row>
    <row r="317" customFormat="false" ht="15" hidden="false" customHeight="false" outlineLevel="0" collapsed="false">
      <c r="A317" s="119" t="s">
        <v>802</v>
      </c>
      <c r="B317" s="174" t="str">
        <f aca="false">IFERROR(VLOOKUP(A317,CENTRO!$A$4:$L$548,12,0),"")</f>
        <v>MUITO ATRASADO</v>
      </c>
      <c r="C317" s="147" t="str">
        <f aca="false">IFERROR(VLOOKUP(A317,CENTRO!$A$4:$L$137,11,0),"")</f>
        <v/>
      </c>
      <c r="D317" s="119" t="b">
        <f aca="false">FALSE()</f>
        <v>0</v>
      </c>
      <c r="E317" s="122" t="s">
        <v>1110</v>
      </c>
      <c r="F317" s="104"/>
      <c r="G317" s="119" t="s">
        <v>933</v>
      </c>
      <c r="H317" s="104"/>
      <c r="I317" s="104"/>
      <c r="J317" s="104"/>
      <c r="K317" s="104"/>
      <c r="L317" s="104"/>
      <c r="M317" s="104"/>
      <c r="N317" s="104"/>
      <c r="O317" s="104"/>
      <c r="P317" s="104"/>
      <c r="Q317" s="104"/>
      <c r="R317" s="104"/>
      <c r="S317" s="104"/>
      <c r="T317" s="104"/>
      <c r="U317" s="104"/>
      <c r="V317" s="104"/>
      <c r="W317" s="104"/>
      <c r="X317" s="104"/>
      <c r="Y317" s="104"/>
      <c r="Z317" s="116"/>
      <c r="AA317" s="116"/>
      <c r="AB317" s="116"/>
      <c r="AC317" s="116"/>
    </row>
    <row r="318" customFormat="false" ht="15" hidden="false" customHeight="false" outlineLevel="0" collapsed="false">
      <c r="A318" s="119" t="s">
        <v>778</v>
      </c>
      <c r="B318" s="174" t="str">
        <f aca="false">IFERROR(VLOOKUP(A318,CENTRO!$A$4:$L$548,12,0),"")</f>
        <v>MUITO ATRASADO</v>
      </c>
      <c r="C318" s="147" t="str">
        <f aca="false">IFERROR(VLOOKUP(A318,CENTRO!$A$4:$L$137,11,0),"")</f>
        <v/>
      </c>
      <c r="D318" s="119" t="b">
        <f aca="false">FALSE()</f>
        <v>0</v>
      </c>
      <c r="E318" s="122" t="s">
        <v>918</v>
      </c>
      <c r="F318" s="104"/>
      <c r="G318" s="119" t="s">
        <v>933</v>
      </c>
      <c r="H318" s="104"/>
      <c r="I318" s="104"/>
      <c r="J318" s="104"/>
      <c r="K318" s="104"/>
      <c r="L318" s="104"/>
      <c r="M318" s="104"/>
      <c r="N318" s="104"/>
      <c r="O318" s="104"/>
      <c r="P318" s="104"/>
      <c r="Q318" s="104"/>
      <c r="R318" s="104"/>
      <c r="S318" s="104"/>
      <c r="T318" s="104"/>
      <c r="U318" s="104"/>
      <c r="V318" s="104"/>
      <c r="W318" s="104"/>
      <c r="X318" s="104"/>
      <c r="Y318" s="104"/>
      <c r="Z318" s="116"/>
      <c r="AA318" s="116"/>
      <c r="AB318" s="116"/>
      <c r="AC318" s="116"/>
    </row>
    <row r="319" customFormat="false" ht="15" hidden="false" customHeight="false" outlineLevel="0" collapsed="false">
      <c r="A319" s="119" t="s">
        <v>1111</v>
      </c>
      <c r="B319" s="174" t="str">
        <f aca="false">IFERROR(VLOOKUP(A319,CENTRO!$A$4:$L$548,12,0),"")</f>
        <v/>
      </c>
      <c r="C319" s="147" t="str">
        <f aca="false">IFERROR(VLOOKUP(A319,CENTRO!$A$4:$L$548,11,0),"")</f>
        <v/>
      </c>
      <c r="D319" s="119" t="b">
        <f aca="false">FALSE()</f>
        <v>0</v>
      </c>
      <c r="E319" s="122" t="s">
        <v>922</v>
      </c>
      <c r="F319" s="104"/>
      <c r="G319" s="119" t="s">
        <v>933</v>
      </c>
      <c r="H319" s="104"/>
      <c r="I319" s="104"/>
      <c r="J319" s="104"/>
      <c r="K319" s="104"/>
      <c r="L319" s="104"/>
      <c r="M319" s="104"/>
      <c r="N319" s="104"/>
      <c r="O319" s="104"/>
      <c r="P319" s="104"/>
      <c r="Q319" s="104"/>
      <c r="R319" s="104"/>
      <c r="S319" s="104"/>
      <c r="T319" s="104"/>
      <c r="U319" s="104"/>
      <c r="V319" s="104"/>
      <c r="W319" s="104"/>
      <c r="X319" s="104"/>
      <c r="Y319" s="104"/>
      <c r="Z319" s="116"/>
      <c r="AA319" s="116"/>
      <c r="AB319" s="116"/>
      <c r="AC319" s="116"/>
    </row>
    <row r="320" customFormat="false" ht="15" hidden="false" customHeight="false" outlineLevel="0" collapsed="false">
      <c r="A320" s="104" t="s">
        <v>682</v>
      </c>
      <c r="B320" s="174" t="str">
        <f aca="false">IFERROR(VLOOKUP(A320,CENTRO!$A$4:$L$548,12,0),"")</f>
        <v>MUITO ATRASADO</v>
      </c>
      <c r="C320" s="147" t="n">
        <f aca="false">IFERROR(VLOOKUP(A320,CENTRO!$A$4:$L$548,11,0),"")</f>
        <v>104.846975088968</v>
      </c>
      <c r="D320" s="119" t="b">
        <f aca="false">FALSE()</f>
        <v>0</v>
      </c>
      <c r="E320" s="122" t="s">
        <v>970</v>
      </c>
      <c r="F320" s="104"/>
      <c r="G320" s="119" t="s">
        <v>933</v>
      </c>
      <c r="H320" s="104"/>
      <c r="I320" s="104"/>
      <c r="J320" s="104"/>
      <c r="K320" s="104"/>
      <c r="L320" s="104"/>
      <c r="M320" s="104"/>
      <c r="N320" s="104"/>
      <c r="O320" s="104"/>
      <c r="P320" s="104"/>
      <c r="Q320" s="104"/>
      <c r="R320" s="104"/>
      <c r="S320" s="104"/>
      <c r="T320" s="104"/>
      <c r="U320" s="104"/>
      <c r="V320" s="104"/>
      <c r="W320" s="104"/>
      <c r="X320" s="104"/>
      <c r="Y320" s="104"/>
      <c r="Z320" s="116"/>
      <c r="AA320" s="116"/>
      <c r="AB320" s="116"/>
      <c r="AC320" s="116"/>
    </row>
    <row r="321" customFormat="false" ht="15" hidden="false" customHeight="false" outlineLevel="0" collapsed="false">
      <c r="A321" s="119" t="s">
        <v>264</v>
      </c>
      <c r="B321" s="104"/>
      <c r="C321" s="147"/>
      <c r="D321" s="119" t="b">
        <f aca="false">FALSE()</f>
        <v>0</v>
      </c>
      <c r="E321" s="122" t="s">
        <v>930</v>
      </c>
      <c r="F321" s="104"/>
      <c r="G321" s="119" t="s">
        <v>933</v>
      </c>
      <c r="H321" s="104"/>
      <c r="I321" s="104"/>
      <c r="J321" s="104"/>
      <c r="K321" s="104"/>
      <c r="L321" s="104"/>
      <c r="M321" s="104"/>
      <c r="N321" s="104"/>
      <c r="O321" s="104"/>
      <c r="P321" s="104"/>
      <c r="Q321" s="104"/>
      <c r="R321" s="104"/>
      <c r="S321" s="104"/>
      <c r="T321" s="104"/>
      <c r="U321" s="104"/>
      <c r="V321" s="104"/>
      <c r="W321" s="104"/>
      <c r="X321" s="104"/>
      <c r="Y321" s="104"/>
      <c r="Z321" s="116"/>
      <c r="AA321" s="116"/>
      <c r="AB321" s="116"/>
      <c r="AC321" s="116"/>
    </row>
    <row r="322" customFormat="false" ht="15" hidden="false" customHeight="false" outlineLevel="0" collapsed="false">
      <c r="A322" s="119" t="s">
        <v>730</v>
      </c>
      <c r="B322" s="174" t="str">
        <f aca="false">IFERROR(VLOOKUP(A322,CENTRO!$A$4:$L$548,12,0),"")</f>
        <v>MUITO ATRASADO</v>
      </c>
      <c r="C322" s="147" t="n">
        <f aca="false">IFERROR(VLOOKUP(A322,CENTRO!$A$4:$L$548,11,0),"")</f>
        <v>129.01211556384</v>
      </c>
      <c r="D322" s="119" t="b">
        <f aca="false">FALSE()</f>
        <v>0</v>
      </c>
      <c r="E322" s="122" t="s">
        <v>971</v>
      </c>
      <c r="F322" s="104"/>
      <c r="G322" s="119" t="s">
        <v>933</v>
      </c>
      <c r="H322" s="104"/>
      <c r="I322" s="104"/>
      <c r="J322" s="104"/>
      <c r="K322" s="104"/>
      <c r="L322" s="104"/>
      <c r="M322" s="104"/>
      <c r="N322" s="104"/>
      <c r="O322" s="104"/>
      <c r="P322" s="104"/>
      <c r="Q322" s="104"/>
      <c r="R322" s="104"/>
      <c r="S322" s="104"/>
      <c r="T322" s="104"/>
      <c r="U322" s="104"/>
      <c r="V322" s="104"/>
      <c r="W322" s="104"/>
      <c r="X322" s="104"/>
      <c r="Y322" s="104"/>
      <c r="Z322" s="116"/>
      <c r="AA322" s="116"/>
      <c r="AB322" s="116"/>
      <c r="AC322" s="116"/>
    </row>
    <row r="323" customFormat="false" ht="15" hidden="false" customHeight="false" outlineLevel="0" collapsed="false">
      <c r="A323" s="119" t="s">
        <v>56</v>
      </c>
      <c r="B323" s="174" t="str">
        <f aca="false">IFERROR(VLOOKUP(A323,CENTRO!$A$4:$L$548,12,0),"")</f>
        <v>MUITO ATRASADO</v>
      </c>
      <c r="C323" s="147" t="n">
        <f aca="false">IFERROR(VLOOKUP(A323,CENTRO!$A$4:$L$137,11,0),"")</f>
        <v>75.2747252747253</v>
      </c>
      <c r="D323" s="119" t="b">
        <f aca="false">FALSE()</f>
        <v>0</v>
      </c>
      <c r="E323" s="122" t="s">
        <v>970</v>
      </c>
      <c r="F323" s="104"/>
      <c r="G323" s="119" t="s">
        <v>933</v>
      </c>
      <c r="H323" s="104"/>
      <c r="I323" s="104"/>
      <c r="J323" s="104"/>
      <c r="K323" s="104"/>
      <c r="L323" s="104"/>
      <c r="M323" s="104"/>
      <c r="N323" s="104"/>
      <c r="O323" s="104"/>
      <c r="P323" s="104"/>
      <c r="Q323" s="104"/>
      <c r="R323" s="104"/>
      <c r="S323" s="104"/>
      <c r="T323" s="104"/>
      <c r="U323" s="104"/>
      <c r="V323" s="104"/>
      <c r="W323" s="104"/>
      <c r="X323" s="104"/>
      <c r="Y323" s="104"/>
      <c r="Z323" s="116"/>
      <c r="AA323" s="116"/>
      <c r="AB323" s="116"/>
      <c r="AC323" s="116"/>
    </row>
    <row r="324" customFormat="false" ht="15" hidden="false" customHeight="false" outlineLevel="0" collapsed="false">
      <c r="A324" s="119" t="s">
        <v>759</v>
      </c>
      <c r="B324" s="174" t="str">
        <f aca="false">IFERROR(VLOOKUP(A324,CENTRO!$A$4:$L$548,12,0),"")</f>
        <v>MUITO ATRASADO</v>
      </c>
      <c r="C324" s="147" t="n">
        <f aca="false">IFERROR(VLOOKUP(A324,CENTRO!$A$4:$L$548,11,0),"")</f>
        <v>152.244028405423</v>
      </c>
      <c r="D324" s="119" t="b">
        <f aca="false">FALSE()</f>
        <v>0</v>
      </c>
      <c r="E324" s="122" t="s">
        <v>922</v>
      </c>
      <c r="F324" s="104"/>
      <c r="G324" s="119" t="s">
        <v>933</v>
      </c>
      <c r="H324" s="104"/>
      <c r="I324" s="104"/>
      <c r="J324" s="104"/>
      <c r="K324" s="104"/>
      <c r="L324" s="104"/>
      <c r="M324" s="104"/>
      <c r="N324" s="104"/>
      <c r="O324" s="104"/>
      <c r="P324" s="104"/>
      <c r="Q324" s="104"/>
      <c r="R324" s="104"/>
      <c r="S324" s="104"/>
      <c r="T324" s="104"/>
      <c r="U324" s="104"/>
      <c r="V324" s="104"/>
      <c r="W324" s="104"/>
      <c r="X324" s="104"/>
      <c r="Y324" s="104"/>
      <c r="Z324" s="116"/>
      <c r="AA324" s="116"/>
      <c r="AB324" s="116"/>
      <c r="AC324" s="116"/>
    </row>
    <row r="325" customFormat="false" ht="15" hidden="false" customHeight="false" outlineLevel="0" collapsed="false">
      <c r="A325" s="119" t="s">
        <v>590</v>
      </c>
      <c r="B325" s="104"/>
      <c r="C325" s="147"/>
      <c r="D325" s="119" t="b">
        <f aca="false">FALSE()</f>
        <v>0</v>
      </c>
      <c r="E325" s="122" t="s">
        <v>1112</v>
      </c>
      <c r="F325" s="104"/>
      <c r="G325" s="119" t="s">
        <v>933</v>
      </c>
      <c r="H325" s="104"/>
      <c r="I325" s="104"/>
      <c r="J325" s="104"/>
      <c r="K325" s="104"/>
      <c r="L325" s="104"/>
      <c r="M325" s="104"/>
      <c r="N325" s="104"/>
      <c r="O325" s="104"/>
      <c r="P325" s="104"/>
      <c r="Q325" s="104"/>
      <c r="R325" s="104"/>
      <c r="S325" s="104"/>
      <c r="T325" s="104"/>
      <c r="U325" s="104"/>
      <c r="V325" s="104"/>
      <c r="W325" s="104"/>
      <c r="X325" s="104"/>
      <c r="Y325" s="104"/>
      <c r="Z325" s="116"/>
      <c r="AA325" s="116"/>
      <c r="AB325" s="116"/>
      <c r="AC325" s="116"/>
    </row>
    <row r="326" customFormat="false" ht="13.5" hidden="false" customHeight="true" outlineLevel="0" collapsed="false">
      <c r="A326" s="104" t="s">
        <v>258</v>
      </c>
      <c r="B326" s="174" t="str">
        <f aca="false">IFERROR(VLOOKUP(A326,CENTRO!$A$4:$L$548,12,0),"")</f>
        <v>MUITO ATRASADO</v>
      </c>
      <c r="C326" s="147" t="n">
        <f aca="false">IFERROR(VLOOKUP(A326,CENTRO!$A$4:$L$137,11,0),"")</f>
        <v>114.64490543014</v>
      </c>
      <c r="D326" s="119" t="b">
        <f aca="false">FALSE()</f>
        <v>0</v>
      </c>
      <c r="E326" s="122" t="s">
        <v>1113</v>
      </c>
      <c r="F326" s="104"/>
      <c r="G326" s="104" t="s">
        <v>933</v>
      </c>
      <c r="H326" s="104"/>
      <c r="I326" s="104"/>
      <c r="J326" s="104"/>
      <c r="K326" s="104"/>
      <c r="L326" s="104"/>
      <c r="M326" s="104"/>
      <c r="N326" s="104"/>
      <c r="O326" s="104"/>
      <c r="P326" s="104"/>
      <c r="Q326" s="104"/>
      <c r="R326" s="104"/>
      <c r="S326" s="104"/>
      <c r="T326" s="104"/>
      <c r="U326" s="104"/>
      <c r="V326" s="104"/>
      <c r="W326" s="104"/>
      <c r="X326" s="104"/>
      <c r="Y326" s="104"/>
      <c r="Z326" s="116"/>
      <c r="AA326" s="116"/>
      <c r="AB326" s="116"/>
      <c r="AC326" s="116"/>
    </row>
    <row r="327" customFormat="false" ht="13.5" hidden="false" customHeight="true" outlineLevel="0" collapsed="false">
      <c r="A327" s="119" t="s">
        <v>1114</v>
      </c>
      <c r="B327" s="174" t="str">
        <f aca="false">IFERROR(VLOOKUP(A327,CENTRO!$A$4:$L$548,12,0),"")</f>
        <v/>
      </c>
      <c r="C327" s="147" t="str">
        <f aca="false">IFERROR(VLOOKUP(A327,CENTRO!$A$4:$L$137,11,0),"")</f>
        <v/>
      </c>
      <c r="D327" s="119" t="b">
        <f aca="false">FALSE()</f>
        <v>0</v>
      </c>
      <c r="E327" s="122" t="s">
        <v>985</v>
      </c>
      <c r="F327" s="104"/>
      <c r="G327" s="119" t="s">
        <v>933</v>
      </c>
      <c r="H327" s="104"/>
      <c r="I327" s="104"/>
      <c r="J327" s="104"/>
      <c r="K327" s="104"/>
      <c r="L327" s="104"/>
      <c r="M327" s="104"/>
      <c r="N327" s="104"/>
      <c r="O327" s="104"/>
      <c r="P327" s="104"/>
      <c r="Q327" s="104"/>
      <c r="R327" s="104"/>
      <c r="S327" s="104"/>
      <c r="T327" s="104"/>
      <c r="U327" s="104"/>
      <c r="V327" s="104"/>
      <c r="W327" s="104"/>
      <c r="X327" s="104"/>
      <c r="Y327" s="104"/>
      <c r="Z327" s="116"/>
      <c r="AA327" s="116"/>
      <c r="AB327" s="116"/>
      <c r="AC327" s="116"/>
    </row>
    <row r="328" customFormat="false" ht="13.5" hidden="false" customHeight="true" outlineLevel="0" collapsed="false">
      <c r="A328" s="119" t="s">
        <v>174</v>
      </c>
      <c r="B328" s="174" t="str">
        <f aca="false">IFERROR(VLOOKUP(A328,CENTRO!$A$4:$L$548,12,0),"")</f>
        <v>MUITO ATRASADO</v>
      </c>
      <c r="C328" s="147" t="n">
        <f aca="false">IFERROR(VLOOKUP(A328,CENTRO!$A$4:$L$548,11,0),"")</f>
        <v>92.549019607843</v>
      </c>
      <c r="D328" s="119" t="b">
        <f aca="false">FALSE()</f>
        <v>0</v>
      </c>
      <c r="E328" s="122" t="s">
        <v>1115</v>
      </c>
      <c r="F328" s="104"/>
      <c r="G328" s="119" t="s">
        <v>933</v>
      </c>
      <c r="H328" s="104"/>
      <c r="I328" s="104"/>
      <c r="J328" s="104"/>
      <c r="K328" s="104"/>
      <c r="L328" s="104"/>
      <c r="M328" s="104"/>
      <c r="N328" s="104"/>
      <c r="O328" s="104"/>
      <c r="P328" s="104"/>
      <c r="Q328" s="104"/>
      <c r="R328" s="104"/>
      <c r="S328" s="104"/>
      <c r="T328" s="104"/>
      <c r="U328" s="104"/>
      <c r="V328" s="104"/>
      <c r="W328" s="104"/>
      <c r="X328" s="104"/>
      <c r="Y328" s="104"/>
      <c r="Z328" s="116"/>
      <c r="AA328" s="116"/>
      <c r="AB328" s="116"/>
      <c r="AC328" s="116"/>
    </row>
    <row r="329" customFormat="false" ht="13.5" hidden="false" customHeight="true" outlineLevel="0" collapsed="false">
      <c r="A329" s="119" t="s">
        <v>762</v>
      </c>
      <c r="B329" s="174" t="str">
        <f aca="false">IFERROR(VLOOKUP(A329,CENTRO!$A$4:$L$548,12,0),"")</f>
        <v>MUITO ATRASADO</v>
      </c>
      <c r="C329" s="147" t="str">
        <f aca="false">IFERROR(VLOOKUP(A329,CENTRO!$A$4:$L$137,11,0),"")</f>
        <v/>
      </c>
      <c r="D329" s="119" t="b">
        <f aca="false">FALSE()</f>
        <v>0</v>
      </c>
      <c r="E329" s="122" t="s">
        <v>1116</v>
      </c>
      <c r="F329" s="104"/>
      <c r="G329" s="119" t="s">
        <v>933</v>
      </c>
      <c r="H329" s="104"/>
      <c r="I329" s="104"/>
      <c r="J329" s="104"/>
      <c r="K329" s="104"/>
      <c r="L329" s="104"/>
      <c r="M329" s="104"/>
      <c r="N329" s="104"/>
      <c r="O329" s="104"/>
      <c r="P329" s="104"/>
      <c r="Q329" s="104"/>
      <c r="R329" s="104"/>
      <c r="S329" s="104"/>
      <c r="T329" s="104"/>
      <c r="U329" s="104"/>
      <c r="V329" s="104"/>
      <c r="W329" s="104"/>
      <c r="X329" s="104"/>
      <c r="Y329" s="104"/>
      <c r="Z329" s="116"/>
      <c r="AA329" s="116"/>
      <c r="AB329" s="116"/>
      <c r="AC329" s="116"/>
    </row>
    <row r="330" customFormat="false" ht="13.5" hidden="false" customHeight="true" outlineLevel="0" collapsed="false">
      <c r="A330" s="119" t="s">
        <v>279</v>
      </c>
      <c r="B330" s="174" t="str">
        <f aca="false">IFERROR(VLOOKUP(A330,CENTRO!$A$4:$L$548,12,0),"")</f>
        <v>MUITO ATRASADO</v>
      </c>
      <c r="C330" s="147" t="n">
        <f aca="false">IFERROR(VLOOKUP(A330,CENTRO!$A$4:$L$548,11,0),"")</f>
        <v>166.140975987607</v>
      </c>
      <c r="D330" s="119" t="b">
        <f aca="false">FALSE()</f>
        <v>0</v>
      </c>
      <c r="E330" s="122" t="s">
        <v>1117</v>
      </c>
      <c r="F330" s="104"/>
      <c r="G330" s="119" t="s">
        <v>933</v>
      </c>
      <c r="H330" s="104"/>
      <c r="I330" s="104"/>
      <c r="J330" s="104"/>
      <c r="K330" s="104"/>
      <c r="L330" s="104"/>
      <c r="M330" s="104"/>
      <c r="N330" s="104"/>
      <c r="O330" s="104"/>
      <c r="P330" s="104"/>
      <c r="Q330" s="104"/>
      <c r="R330" s="104"/>
      <c r="S330" s="104"/>
      <c r="T330" s="104"/>
      <c r="U330" s="104"/>
      <c r="V330" s="104"/>
      <c r="W330" s="104"/>
      <c r="X330" s="104"/>
      <c r="Y330" s="104"/>
      <c r="Z330" s="116"/>
      <c r="AA330" s="116"/>
      <c r="AB330" s="116"/>
      <c r="AC330" s="116"/>
    </row>
    <row r="331" customFormat="false" ht="15" hidden="false" customHeight="false" outlineLevel="0" collapsed="false">
      <c r="A331" s="119" t="s">
        <v>558</v>
      </c>
      <c r="B331" s="174" t="str">
        <f aca="false">IFERROR(VLOOKUP(A331,CENTRO!$A$4:$L$548,12,0),"")</f>
        <v>MUITO ATRASADO</v>
      </c>
      <c r="C331" s="147" t="n">
        <f aca="false">IFERROR(VLOOKUP(A331,CENTRO!$A$4:$L$548,11,0),"")</f>
        <v>115.995926680245</v>
      </c>
      <c r="D331" s="119" t="b">
        <f aca="false">FALSE()</f>
        <v>0</v>
      </c>
      <c r="E331" s="122" t="s">
        <v>1118</v>
      </c>
      <c r="F331" s="104"/>
      <c r="G331" s="119" t="s">
        <v>933</v>
      </c>
      <c r="H331" s="104"/>
      <c r="I331" s="104"/>
      <c r="J331" s="104"/>
      <c r="K331" s="104"/>
      <c r="L331" s="104"/>
      <c r="M331" s="104"/>
      <c r="N331" s="104"/>
      <c r="O331" s="104"/>
      <c r="P331" s="104"/>
      <c r="Q331" s="104"/>
      <c r="R331" s="104"/>
      <c r="S331" s="104"/>
      <c r="T331" s="104"/>
      <c r="U331" s="104"/>
      <c r="V331" s="104"/>
      <c r="W331" s="104"/>
      <c r="X331" s="104"/>
      <c r="Y331" s="104"/>
      <c r="Z331" s="116"/>
      <c r="AA331" s="116"/>
      <c r="AB331" s="116"/>
      <c r="AC331" s="116"/>
    </row>
    <row r="332" customFormat="false" ht="15" hidden="false" customHeight="false" outlineLevel="0" collapsed="false">
      <c r="A332" s="119" t="s">
        <v>594</v>
      </c>
      <c r="B332" s="174" t="str">
        <f aca="false">IFERROR(VLOOKUP(A332,CENTRO!$A$4:$L$548,12,0),"")</f>
        <v>MUITO ATRASADO</v>
      </c>
      <c r="C332" s="147" t="n">
        <f aca="false">IFERROR(VLOOKUP(A332,CENTRO!$A$4:$L$548,11,0),"")</f>
        <v>117.905511811024</v>
      </c>
      <c r="D332" s="119" t="b">
        <f aca="false">FALSE()</f>
        <v>0</v>
      </c>
      <c r="E332" s="122" t="s">
        <v>922</v>
      </c>
      <c r="F332" s="104"/>
      <c r="G332" s="119" t="s">
        <v>933</v>
      </c>
      <c r="H332" s="104"/>
      <c r="I332" s="104"/>
      <c r="J332" s="104"/>
      <c r="K332" s="104"/>
      <c r="L332" s="104"/>
      <c r="M332" s="104"/>
      <c r="N332" s="104"/>
      <c r="O332" s="104"/>
      <c r="P332" s="104"/>
      <c r="Q332" s="104"/>
      <c r="R332" s="104"/>
      <c r="S332" s="104"/>
      <c r="T332" s="104"/>
      <c r="U332" s="104"/>
      <c r="V332" s="104"/>
      <c r="W332" s="104"/>
      <c r="X332" s="104"/>
      <c r="Y332" s="104"/>
      <c r="Z332" s="116"/>
      <c r="AA332" s="116"/>
      <c r="AB332" s="116"/>
      <c r="AC332" s="116"/>
    </row>
    <row r="333" customFormat="false" ht="15" hidden="false" customHeight="false" outlineLevel="0" collapsed="false">
      <c r="A333" s="119" t="s">
        <v>1119</v>
      </c>
      <c r="B333" s="104"/>
      <c r="C333" s="104"/>
      <c r="D333" s="119" t="b">
        <f aca="false">FALSE()</f>
        <v>0</v>
      </c>
      <c r="E333" s="122" t="s">
        <v>922</v>
      </c>
      <c r="F333" s="104"/>
      <c r="G333" s="119" t="s">
        <v>933</v>
      </c>
      <c r="H333" s="104"/>
      <c r="I333" s="104"/>
      <c r="J333" s="104"/>
      <c r="K333" s="104"/>
      <c r="L333" s="104"/>
      <c r="M333" s="104"/>
      <c r="N333" s="104"/>
      <c r="O333" s="104"/>
      <c r="P333" s="104"/>
      <c r="Q333" s="104"/>
      <c r="R333" s="104"/>
      <c r="S333" s="104"/>
      <c r="T333" s="104"/>
      <c r="U333" s="104"/>
      <c r="V333" s="104"/>
      <c r="W333" s="104"/>
      <c r="X333" s="104"/>
      <c r="Y333" s="104"/>
      <c r="Z333" s="116"/>
      <c r="AA333" s="116"/>
      <c r="AB333" s="116"/>
      <c r="AC333" s="116"/>
    </row>
    <row r="334" customFormat="false" ht="14.25" hidden="false" customHeight="true" outlineLevel="0" collapsed="false">
      <c r="A334" s="119" t="s">
        <v>640</v>
      </c>
      <c r="B334" s="174" t="str">
        <f aca="false">IFERROR(VLOOKUP(A334,CENTRO!$A$4:$L$548,12,0),"")</f>
        <v>MUITO ATRASADO</v>
      </c>
      <c r="C334" s="147" t="str">
        <f aca="false">IFERROR(VLOOKUP(A334,CENTRO!$A$4:$L$137,11,0),"")</f>
        <v/>
      </c>
      <c r="D334" s="119" t="b">
        <f aca="false">FALSE()</f>
        <v>0</v>
      </c>
      <c r="E334" s="122" t="s">
        <v>1075</v>
      </c>
      <c r="F334" s="104"/>
      <c r="G334" s="119" t="s">
        <v>933</v>
      </c>
      <c r="H334" s="104"/>
      <c r="I334" s="104"/>
      <c r="J334" s="104"/>
      <c r="K334" s="104"/>
      <c r="L334" s="104"/>
      <c r="M334" s="104"/>
      <c r="N334" s="104"/>
      <c r="O334" s="104"/>
      <c r="P334" s="104"/>
      <c r="Q334" s="104"/>
      <c r="R334" s="104"/>
      <c r="S334" s="104"/>
      <c r="T334" s="104"/>
      <c r="U334" s="104"/>
      <c r="V334" s="104"/>
      <c r="W334" s="104"/>
      <c r="X334" s="104"/>
      <c r="Y334" s="104"/>
      <c r="Z334" s="116"/>
      <c r="AA334" s="116"/>
      <c r="AB334" s="116"/>
      <c r="AC334" s="116"/>
    </row>
    <row r="335" customFormat="false" ht="15" hidden="false" customHeight="false" outlineLevel="0" collapsed="false">
      <c r="A335" s="104" t="s">
        <v>573</v>
      </c>
      <c r="B335" s="174" t="str">
        <f aca="false">IFERROR(VLOOKUP(A335,CENTRO!$A$4:$L$548,12,0),"")</f>
        <v>MUITO ATRASADO</v>
      </c>
      <c r="C335" s="147" t="n">
        <f aca="false">IFERROR(VLOOKUP(A335,CENTRO!$A$4:$L$548,11,0),"")</f>
        <v>104.289308176101</v>
      </c>
      <c r="D335" s="104" t="b">
        <f aca="false">FALSE()</f>
        <v>0</v>
      </c>
      <c r="E335" s="122" t="s">
        <v>922</v>
      </c>
      <c r="F335" s="104"/>
      <c r="G335" s="119" t="s">
        <v>933</v>
      </c>
      <c r="H335" s="104"/>
      <c r="I335" s="104"/>
      <c r="J335" s="104"/>
      <c r="K335" s="104"/>
      <c r="L335" s="104"/>
      <c r="M335" s="104"/>
      <c r="N335" s="104"/>
      <c r="O335" s="104"/>
      <c r="P335" s="104"/>
      <c r="Q335" s="104"/>
      <c r="R335" s="104"/>
      <c r="S335" s="104"/>
      <c r="T335" s="104"/>
      <c r="U335" s="104"/>
      <c r="V335" s="104"/>
      <c r="W335" s="104"/>
      <c r="X335" s="104"/>
      <c r="Y335" s="104"/>
      <c r="Z335" s="116"/>
      <c r="AA335" s="116"/>
      <c r="AB335" s="116"/>
      <c r="AC335" s="116"/>
    </row>
    <row r="336" customFormat="false" ht="15" hidden="false" customHeight="false" outlineLevel="0" collapsed="false">
      <c r="A336" s="119" t="s">
        <v>99</v>
      </c>
      <c r="B336" s="104"/>
      <c r="C336" s="104"/>
      <c r="D336" s="119" t="b">
        <f aca="false">FALSE()</f>
        <v>0</v>
      </c>
      <c r="E336" s="122" t="s">
        <v>930</v>
      </c>
      <c r="F336" s="104"/>
      <c r="G336" s="119" t="s">
        <v>933</v>
      </c>
      <c r="H336" s="104"/>
      <c r="I336" s="104"/>
      <c r="J336" s="104"/>
      <c r="K336" s="104"/>
      <c r="L336" s="104"/>
      <c r="M336" s="104"/>
      <c r="N336" s="104"/>
      <c r="O336" s="104"/>
      <c r="P336" s="104"/>
      <c r="Q336" s="104"/>
      <c r="R336" s="104"/>
      <c r="S336" s="104"/>
      <c r="T336" s="104"/>
      <c r="U336" s="104"/>
      <c r="V336" s="104"/>
      <c r="W336" s="104"/>
      <c r="X336" s="104"/>
      <c r="Y336" s="104"/>
      <c r="Z336" s="116"/>
      <c r="AA336" s="116"/>
      <c r="AB336" s="116"/>
      <c r="AC336" s="116"/>
    </row>
    <row r="337" customFormat="false" ht="15" hidden="false" customHeight="false" outlineLevel="0" collapsed="false">
      <c r="A337" s="119" t="s">
        <v>622</v>
      </c>
      <c r="B337" s="119"/>
      <c r="C337" s="121"/>
      <c r="D337" s="119" t="b">
        <f aca="false">FALSE()</f>
        <v>0</v>
      </c>
      <c r="E337" s="122" t="s">
        <v>970</v>
      </c>
      <c r="F337" s="119"/>
      <c r="G337" s="119" t="s">
        <v>933</v>
      </c>
      <c r="H337" s="104"/>
      <c r="I337" s="104"/>
      <c r="J337" s="104"/>
      <c r="K337" s="104"/>
      <c r="L337" s="104"/>
      <c r="M337" s="104"/>
      <c r="N337" s="104"/>
      <c r="O337" s="104"/>
      <c r="P337" s="104"/>
      <c r="Q337" s="104"/>
      <c r="R337" s="104"/>
      <c r="S337" s="104"/>
      <c r="T337" s="104"/>
      <c r="U337" s="104"/>
      <c r="V337" s="104"/>
      <c r="W337" s="104"/>
      <c r="X337" s="104"/>
      <c r="Y337" s="104"/>
      <c r="Z337" s="116"/>
      <c r="AA337" s="116"/>
      <c r="AB337" s="116"/>
      <c r="AC337" s="116"/>
    </row>
    <row r="338" customFormat="false" ht="15" hidden="false" customHeight="false" outlineLevel="0" collapsed="false">
      <c r="A338" s="119" t="s">
        <v>740</v>
      </c>
      <c r="B338" s="120" t="str">
        <f aca="false">IFERROR(VLOOKUP(A338,CENTRO!$A$4:$L$548,12,0),"")</f>
        <v>MUITO ATRASADO</v>
      </c>
      <c r="C338" s="121" t="n">
        <f aca="false">IFERROR(VLOOKUP(A338,CENTRO!$A$4:$L$548,11,0),"")</f>
        <v>140.044642857143</v>
      </c>
      <c r="D338" s="119" t="b">
        <f aca="false">FALSE()</f>
        <v>0</v>
      </c>
      <c r="E338" s="122" t="s">
        <v>970</v>
      </c>
      <c r="F338" s="119"/>
      <c r="G338" s="119" t="s">
        <v>933</v>
      </c>
      <c r="H338" s="104"/>
      <c r="I338" s="104"/>
      <c r="J338" s="104"/>
      <c r="K338" s="104"/>
      <c r="L338" s="104"/>
      <c r="M338" s="104"/>
      <c r="N338" s="104"/>
      <c r="O338" s="104"/>
      <c r="P338" s="104"/>
      <c r="Q338" s="104"/>
      <c r="R338" s="104"/>
      <c r="S338" s="104"/>
      <c r="T338" s="104"/>
      <c r="U338" s="104"/>
      <c r="V338" s="104"/>
      <c r="W338" s="104"/>
      <c r="X338" s="104"/>
      <c r="Y338" s="104"/>
      <c r="Z338" s="116"/>
      <c r="AA338" s="116"/>
      <c r="AB338" s="116"/>
      <c r="AC338" s="116"/>
    </row>
    <row r="339" customFormat="false" ht="15" hidden="false" customHeight="false" outlineLevel="0" collapsed="false">
      <c r="A339" s="119" t="s">
        <v>1120</v>
      </c>
      <c r="B339" s="120" t="str">
        <f aca="false">IFERROR(VLOOKUP(A339,CENTRO!$A$4:$L$548,12,0),"")</f>
        <v/>
      </c>
      <c r="C339" s="121" t="str">
        <f aca="false">IFERROR(VLOOKUP(A339,CENTRO!$A$4:$L$137,11,0),"")</f>
        <v/>
      </c>
      <c r="D339" s="104" t="b">
        <f aca="false">FALSE()</f>
        <v>0</v>
      </c>
      <c r="E339" s="122" t="s">
        <v>1121</v>
      </c>
      <c r="F339" s="119"/>
      <c r="G339" s="119" t="s">
        <v>933</v>
      </c>
      <c r="H339" s="104"/>
      <c r="I339" s="104"/>
      <c r="J339" s="104"/>
      <c r="K339" s="104"/>
      <c r="L339" s="104"/>
      <c r="M339" s="104"/>
      <c r="N339" s="104"/>
      <c r="O339" s="104"/>
      <c r="P339" s="104"/>
      <c r="Q339" s="104"/>
      <c r="R339" s="104"/>
      <c r="S339" s="104"/>
      <c r="T339" s="104"/>
      <c r="U339" s="104"/>
      <c r="V339" s="104"/>
      <c r="W339" s="104"/>
      <c r="X339" s="104"/>
      <c r="Y339" s="104"/>
      <c r="Z339" s="116"/>
      <c r="AA339" s="116"/>
      <c r="AB339" s="116"/>
      <c r="AC339" s="116"/>
    </row>
    <row r="340" customFormat="false" ht="15" hidden="false" customHeight="false" outlineLevel="0" collapsed="false">
      <c r="A340" s="119" t="s">
        <v>596</v>
      </c>
      <c r="B340" s="120" t="str">
        <f aca="false">IFERROR(VLOOKUP(A340,CENTRO!$A$4:$L$548,12,0),"")</f>
        <v>MUITO ATRASADO</v>
      </c>
      <c r="C340" s="121" t="n">
        <f aca="false">IFERROR(VLOOKUP(A340,CENTRO!$A$4:$L$548,11,0),"")</f>
        <v>107.090211132438</v>
      </c>
      <c r="D340" s="119" t="b">
        <f aca="false">FALSE()</f>
        <v>0</v>
      </c>
      <c r="E340" s="122" t="s">
        <v>970</v>
      </c>
      <c r="F340" s="119"/>
      <c r="G340" s="119" t="s">
        <v>933</v>
      </c>
      <c r="H340" s="104"/>
      <c r="I340" s="104"/>
      <c r="J340" s="104"/>
      <c r="K340" s="104"/>
      <c r="L340" s="104"/>
      <c r="M340" s="104"/>
      <c r="N340" s="104"/>
      <c r="O340" s="104"/>
      <c r="P340" s="104"/>
      <c r="Q340" s="104"/>
      <c r="R340" s="104"/>
      <c r="S340" s="104"/>
      <c r="T340" s="104"/>
      <c r="U340" s="104"/>
      <c r="V340" s="104"/>
      <c r="W340" s="104"/>
      <c r="X340" s="104"/>
      <c r="Y340" s="104"/>
      <c r="Z340" s="116"/>
      <c r="AA340" s="116"/>
      <c r="AB340" s="116"/>
      <c r="AC340" s="116"/>
    </row>
    <row r="341" customFormat="false" ht="15" hidden="false" customHeight="false" outlineLevel="0" collapsed="false">
      <c r="A341" s="119" t="s">
        <v>729</v>
      </c>
      <c r="B341" s="120" t="str">
        <f aca="false">IFERROR(VLOOKUP(A341,CENTRO!$A$4:$L$548,12,0),"")</f>
        <v>MUITO ATRASADO</v>
      </c>
      <c r="C341" s="121" t="n">
        <f aca="false">IFERROR(VLOOKUP(A341,CENTRO!$A$4:$L$548,11,0),"")</f>
        <v>121.016129032258</v>
      </c>
      <c r="D341" s="119" t="b">
        <f aca="false">FALSE()</f>
        <v>0</v>
      </c>
      <c r="E341" s="122" t="s">
        <v>970</v>
      </c>
      <c r="F341" s="119"/>
      <c r="G341" s="119" t="s">
        <v>933</v>
      </c>
      <c r="H341" s="104"/>
      <c r="I341" s="104"/>
      <c r="J341" s="104"/>
      <c r="K341" s="104"/>
      <c r="L341" s="104"/>
      <c r="M341" s="104"/>
      <c r="N341" s="104"/>
      <c r="O341" s="104"/>
      <c r="P341" s="104"/>
      <c r="Q341" s="104"/>
      <c r="R341" s="104"/>
      <c r="S341" s="104"/>
      <c r="T341" s="104"/>
      <c r="U341" s="104"/>
      <c r="V341" s="104"/>
      <c r="W341" s="104"/>
      <c r="X341" s="104"/>
      <c r="Y341" s="104"/>
      <c r="Z341" s="116"/>
      <c r="AA341" s="116"/>
      <c r="AB341" s="116"/>
      <c r="AC341" s="116"/>
    </row>
    <row r="342" customFormat="false" ht="15" hidden="false" customHeight="false" outlineLevel="0" collapsed="false">
      <c r="A342" s="119" t="s">
        <v>88</v>
      </c>
      <c r="B342" s="120" t="str">
        <f aca="false">IFERROR(VLOOKUP(A342,CENTRO!$A$4:$L$548,12,0),"")</f>
        <v/>
      </c>
      <c r="C342" s="121" t="str">
        <f aca="false">IFERROR(VLOOKUP(A342,CENTRO!$A$4:$L$137,11,0),"")</f>
        <v/>
      </c>
      <c r="D342" s="104" t="b">
        <f aca="false">FALSE()</f>
        <v>0</v>
      </c>
      <c r="E342" s="122" t="s">
        <v>970</v>
      </c>
      <c r="F342" s="119"/>
      <c r="G342" s="119" t="s">
        <v>933</v>
      </c>
      <c r="H342" s="104"/>
      <c r="I342" s="104"/>
      <c r="J342" s="104"/>
      <c r="K342" s="104"/>
      <c r="L342" s="104"/>
      <c r="M342" s="104"/>
      <c r="N342" s="104"/>
      <c r="O342" s="104"/>
      <c r="P342" s="104"/>
      <c r="Q342" s="104"/>
      <c r="R342" s="104"/>
      <c r="S342" s="104"/>
      <c r="T342" s="104"/>
      <c r="U342" s="104"/>
      <c r="V342" s="104"/>
      <c r="W342" s="104"/>
      <c r="X342" s="104"/>
      <c r="Y342" s="104"/>
      <c r="Z342" s="116"/>
      <c r="AA342" s="116"/>
      <c r="AB342" s="116"/>
      <c r="AC342" s="116"/>
    </row>
    <row r="343" customFormat="false" ht="15" hidden="false" customHeight="false" outlineLevel="0" collapsed="false">
      <c r="A343" s="119" t="s">
        <v>611</v>
      </c>
      <c r="B343" s="120" t="str">
        <f aca="false">IFERROR(VLOOKUP(A343,CENTRO!$A$4:$L$548,12,0),"")</f>
        <v>MUITO ATRASADO</v>
      </c>
      <c r="C343" s="121" t="n">
        <f aca="false">IFERROR(VLOOKUP(A343,CENTRO!$A$4:$L$548,11,0),"")</f>
        <v>221.473498233216</v>
      </c>
      <c r="D343" s="119" t="b">
        <f aca="false">FALSE()</f>
        <v>0</v>
      </c>
      <c r="E343" s="122" t="s">
        <v>978</v>
      </c>
      <c r="F343" s="119"/>
      <c r="G343" s="119" t="s">
        <v>933</v>
      </c>
      <c r="H343" s="104"/>
      <c r="I343" s="104"/>
      <c r="J343" s="104"/>
      <c r="K343" s="104"/>
      <c r="L343" s="104"/>
      <c r="M343" s="104"/>
      <c r="N343" s="104"/>
      <c r="O343" s="104"/>
      <c r="P343" s="104"/>
      <c r="Q343" s="104"/>
      <c r="R343" s="104"/>
      <c r="S343" s="104"/>
      <c r="T343" s="104"/>
      <c r="U343" s="104"/>
      <c r="V343" s="104"/>
      <c r="W343" s="104"/>
      <c r="X343" s="104"/>
      <c r="Y343" s="104"/>
      <c r="Z343" s="116"/>
      <c r="AA343" s="116"/>
      <c r="AB343" s="116"/>
      <c r="AC343" s="116"/>
    </row>
    <row r="344" customFormat="false" ht="15" hidden="false" customHeight="false" outlineLevel="0" collapsed="false">
      <c r="A344" s="119" t="s">
        <v>575</v>
      </c>
      <c r="B344" s="120" t="str">
        <f aca="false">IFERROR(VLOOKUP(A344,CENTRO!$A$4:$L$548,12,0),"")</f>
        <v>MUITO ATRASADO</v>
      </c>
      <c r="C344" s="121" t="n">
        <f aca="false">IFERROR(VLOOKUP(A344,CENTRO!$A$4:$L$137,11,0),"")</f>
        <v>209.284688995216</v>
      </c>
      <c r="D344" s="119" t="b">
        <f aca="false">FALSE()</f>
        <v>0</v>
      </c>
      <c r="E344" s="122" t="s">
        <v>994</v>
      </c>
      <c r="F344" s="119"/>
      <c r="G344" s="119" t="s">
        <v>933</v>
      </c>
      <c r="H344" s="104"/>
      <c r="I344" s="104"/>
      <c r="J344" s="104"/>
      <c r="K344" s="104"/>
      <c r="L344" s="104"/>
      <c r="M344" s="104"/>
      <c r="N344" s="104"/>
      <c r="O344" s="104"/>
      <c r="P344" s="104"/>
      <c r="Q344" s="104"/>
      <c r="R344" s="104"/>
      <c r="S344" s="104"/>
      <c r="T344" s="104"/>
      <c r="U344" s="104"/>
      <c r="V344" s="104"/>
      <c r="W344" s="104"/>
      <c r="X344" s="104"/>
      <c r="Y344" s="104"/>
      <c r="Z344" s="116"/>
      <c r="AA344" s="116"/>
      <c r="AB344" s="116"/>
      <c r="AC344" s="116"/>
    </row>
    <row r="345" customFormat="false" ht="15" hidden="false" customHeight="false" outlineLevel="0" collapsed="false">
      <c r="A345" s="119" t="s">
        <v>767</v>
      </c>
      <c r="B345" s="120" t="str">
        <f aca="false">IFERROR(VLOOKUP(A345,CENTRO!$A$4:$L$548,12,0),"")</f>
        <v>MUITO ATRASADO</v>
      </c>
      <c r="C345" s="121" t="n">
        <f aca="false">IFERROR(VLOOKUP(A345,CENTRO!$A$4:$L$548,11,0),"")</f>
        <v>139.210160055672</v>
      </c>
      <c r="D345" s="119" t="b">
        <f aca="false">FALSE()</f>
        <v>0</v>
      </c>
      <c r="E345" s="122" t="s">
        <v>1122</v>
      </c>
      <c r="F345" s="119"/>
      <c r="G345" s="119" t="s">
        <v>933</v>
      </c>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row>
    <row r="346" customFormat="false" ht="15" hidden="false" customHeight="false" outlineLevel="0" collapsed="false">
      <c r="A346" s="119" t="s">
        <v>104</v>
      </c>
      <c r="B346" s="119"/>
      <c r="C346" s="121"/>
      <c r="D346" s="119" t="b">
        <f aca="false">FALSE()</f>
        <v>0</v>
      </c>
      <c r="E346" s="122" t="s">
        <v>970</v>
      </c>
      <c r="F346" s="119"/>
      <c r="G346" s="119" t="s">
        <v>933</v>
      </c>
      <c r="H346" s="104"/>
      <c r="I346" s="104"/>
      <c r="J346" s="104"/>
      <c r="K346" s="104"/>
      <c r="L346" s="104"/>
      <c r="M346" s="104"/>
      <c r="N346" s="104"/>
      <c r="O346" s="104"/>
      <c r="P346" s="104"/>
      <c r="Q346" s="104"/>
      <c r="R346" s="104"/>
      <c r="S346" s="104"/>
      <c r="T346" s="104"/>
      <c r="U346" s="104"/>
      <c r="V346" s="104"/>
      <c r="W346" s="104"/>
      <c r="X346" s="104"/>
      <c r="Y346" s="104"/>
      <c r="Z346" s="116"/>
      <c r="AA346" s="116"/>
      <c r="AB346" s="116"/>
      <c r="AC346" s="116"/>
    </row>
    <row r="347" customFormat="false" ht="15" hidden="false" customHeight="false" outlineLevel="0" collapsed="false">
      <c r="A347" s="170" t="s">
        <v>1123</v>
      </c>
      <c r="B347" s="175" t="str">
        <f aca="false">IFERROR(VLOOKUP(A347,CENTRO!$A$4:$L$548,12,0),"")</f>
        <v/>
      </c>
      <c r="C347" s="176" t="str">
        <f aca="false">IFERROR(VLOOKUP(A347,CENTRO!$A$4:$L$137,11,0),"")</f>
        <v/>
      </c>
      <c r="D347" s="119" t="b">
        <f aca="false">FALSE()</f>
        <v>0</v>
      </c>
      <c r="E347" s="163" t="s">
        <v>918</v>
      </c>
      <c r="F347" s="170"/>
      <c r="G347" s="119" t="s">
        <v>933</v>
      </c>
      <c r="H347" s="104"/>
      <c r="I347" s="104"/>
      <c r="J347" s="104"/>
      <c r="K347" s="104"/>
      <c r="L347" s="104"/>
      <c r="M347" s="104"/>
      <c r="N347" s="104"/>
      <c r="O347" s="104"/>
      <c r="P347" s="104"/>
      <c r="Q347" s="104"/>
      <c r="R347" s="104"/>
      <c r="S347" s="104"/>
      <c r="T347" s="104"/>
      <c r="U347" s="104"/>
      <c r="V347" s="104"/>
      <c r="W347" s="104"/>
      <c r="X347" s="104"/>
      <c r="Y347" s="104"/>
      <c r="Z347" s="116"/>
      <c r="AA347" s="116"/>
      <c r="AB347" s="116"/>
      <c r="AC347" s="116"/>
    </row>
    <row r="348" customFormat="false" ht="15" hidden="false" customHeight="false" outlineLevel="0" collapsed="false">
      <c r="A348" s="119" t="s">
        <v>637</v>
      </c>
      <c r="B348" s="120" t="str">
        <f aca="false">IFERROR(VLOOKUP(A348,CENTRO!$A$4:$L$548,12,0),"")</f>
        <v>MUITO ATRASADO</v>
      </c>
      <c r="C348" s="121" t="str">
        <f aca="false">IFERROR(VLOOKUP(A348,CENTRO!$A$4:$L$137,11,0),"")</f>
        <v/>
      </c>
      <c r="D348" s="119" t="b">
        <f aca="false">FALSE()</f>
        <v>0</v>
      </c>
      <c r="E348" s="122" t="s">
        <v>1124</v>
      </c>
      <c r="F348" s="119"/>
      <c r="G348" s="119" t="s">
        <v>933</v>
      </c>
      <c r="H348" s="104"/>
      <c r="I348" s="104"/>
      <c r="J348" s="104"/>
      <c r="K348" s="104"/>
      <c r="L348" s="104"/>
      <c r="M348" s="104"/>
      <c r="N348" s="104"/>
      <c r="O348" s="104"/>
      <c r="P348" s="104"/>
      <c r="Q348" s="104"/>
      <c r="R348" s="104"/>
      <c r="S348" s="104"/>
      <c r="T348" s="104"/>
      <c r="U348" s="104"/>
      <c r="V348" s="104"/>
      <c r="W348" s="104"/>
      <c r="X348" s="104"/>
      <c r="Y348" s="104"/>
      <c r="Z348" s="116"/>
      <c r="AA348" s="116"/>
      <c r="AB348" s="116"/>
      <c r="AC348" s="116"/>
    </row>
    <row r="349" customFormat="false" ht="15" hidden="false" customHeight="false" outlineLevel="0" collapsed="false">
      <c r="A349" s="119" t="s">
        <v>784</v>
      </c>
      <c r="B349" s="120" t="str">
        <f aca="false">IFERROR(VLOOKUP(A349,CENTRO!$A$4:$L$548,12,0),"")</f>
        <v>MUITO ATRASADO</v>
      </c>
      <c r="C349" s="121" t="n">
        <f aca="false">IFERROR(VLOOKUP(A349,CENTRO!$A$4:$L$548,11,0),"")</f>
        <v>162.444444444444</v>
      </c>
      <c r="D349" s="119" t="b">
        <f aca="false">FALSE()</f>
        <v>0</v>
      </c>
      <c r="E349" s="122" t="s">
        <v>985</v>
      </c>
      <c r="F349" s="119"/>
      <c r="G349" s="119" t="s">
        <v>1125</v>
      </c>
      <c r="H349" s="104"/>
      <c r="I349" s="104"/>
      <c r="J349" s="104"/>
      <c r="K349" s="104"/>
      <c r="L349" s="104"/>
      <c r="M349" s="104"/>
      <c r="N349" s="104"/>
      <c r="O349" s="104"/>
      <c r="P349" s="104"/>
      <c r="Q349" s="104"/>
      <c r="R349" s="104"/>
      <c r="S349" s="104"/>
      <c r="T349" s="104"/>
      <c r="U349" s="104"/>
      <c r="V349" s="104"/>
      <c r="W349" s="104"/>
      <c r="X349" s="104"/>
      <c r="Y349" s="104"/>
      <c r="Z349" s="116"/>
      <c r="AA349" s="116"/>
      <c r="AB349" s="116"/>
      <c r="AC349" s="116"/>
    </row>
    <row r="350" customFormat="false" ht="15" hidden="false" customHeight="false" outlineLevel="0" collapsed="false">
      <c r="A350" s="119" t="s">
        <v>810</v>
      </c>
      <c r="B350" s="120" t="str">
        <f aca="false">IFERROR(VLOOKUP(A350,CENTRO!$A$4:$L$548,12,0),"")</f>
        <v>MUITO ATRASADO</v>
      </c>
      <c r="C350" s="121" t="str">
        <f aca="false">IFERROR(VLOOKUP(A350,CENTRO!$A$4:$L$137,11,0),"")</f>
        <v/>
      </c>
      <c r="D350" s="119" t="b">
        <f aca="false">FALSE()</f>
        <v>0</v>
      </c>
      <c r="E350" s="122" t="s">
        <v>986</v>
      </c>
      <c r="F350" s="119"/>
      <c r="G350" s="119" t="s">
        <v>933</v>
      </c>
      <c r="H350" s="104"/>
      <c r="I350" s="104"/>
      <c r="J350" s="104"/>
      <c r="K350" s="104"/>
      <c r="L350" s="104"/>
      <c r="M350" s="104"/>
      <c r="N350" s="104"/>
      <c r="O350" s="104"/>
      <c r="P350" s="104"/>
      <c r="Q350" s="104"/>
      <c r="R350" s="104"/>
      <c r="S350" s="104"/>
      <c r="T350" s="104"/>
      <c r="U350" s="104"/>
      <c r="V350" s="104"/>
      <c r="W350" s="104"/>
      <c r="X350" s="104"/>
      <c r="Y350" s="104"/>
      <c r="Z350" s="116"/>
      <c r="AA350" s="116"/>
      <c r="AB350" s="116"/>
      <c r="AC350" s="116"/>
    </row>
    <row r="351" customFormat="false" ht="15" hidden="false" customHeight="false" outlineLevel="0" collapsed="false">
      <c r="A351" s="119" t="s">
        <v>467</v>
      </c>
      <c r="B351" s="120" t="str">
        <f aca="false">IFERROR(VLOOKUP(A351,CENTRO!$A$4:$L$548,12,0),"")</f>
        <v>MUITO ATRASADO</v>
      </c>
      <c r="C351" s="121" t="str">
        <f aca="false">IFERROR(VLOOKUP(A351,CENTRO!$A$4:$L$137,11,0),"")</f>
        <v/>
      </c>
      <c r="D351" s="119" t="b">
        <f aca="false">FALSE()</f>
        <v>0</v>
      </c>
      <c r="E351" s="122" t="s">
        <v>985</v>
      </c>
      <c r="F351" s="119"/>
      <c r="G351" s="119" t="s">
        <v>933</v>
      </c>
      <c r="H351" s="104"/>
      <c r="I351" s="104"/>
      <c r="J351" s="104"/>
      <c r="K351" s="104"/>
      <c r="L351" s="104"/>
      <c r="M351" s="104"/>
      <c r="N351" s="104"/>
      <c r="O351" s="104"/>
      <c r="P351" s="104"/>
      <c r="Q351" s="104"/>
      <c r="R351" s="104"/>
      <c r="S351" s="104"/>
      <c r="T351" s="104"/>
      <c r="U351" s="104"/>
      <c r="V351" s="104"/>
      <c r="W351" s="104"/>
      <c r="X351" s="104"/>
      <c r="Y351" s="104"/>
      <c r="Z351" s="116"/>
      <c r="AA351" s="116"/>
      <c r="AB351" s="116"/>
      <c r="AC351" s="116"/>
    </row>
    <row r="352" customFormat="false" ht="15" hidden="false" customHeight="false" outlineLevel="0" collapsed="false">
      <c r="A352" s="119" t="s">
        <v>1126</v>
      </c>
      <c r="B352" s="120" t="str">
        <f aca="false">IFERROR(VLOOKUP(A352,CENTRO!$A$4:$L$548,12,0),"")</f>
        <v/>
      </c>
      <c r="C352" s="121" t="str">
        <f aca="false">IFERROR(VLOOKUP(A352,CENTRO!$A$4:$L$137,11,0),"")</f>
        <v/>
      </c>
      <c r="D352" s="119" t="b">
        <f aca="false">FALSE()</f>
        <v>0</v>
      </c>
      <c r="E352" s="122" t="s">
        <v>1127</v>
      </c>
      <c r="F352" s="119"/>
      <c r="G352" s="119" t="s">
        <v>933</v>
      </c>
      <c r="H352" s="104"/>
      <c r="I352" s="104"/>
      <c r="J352" s="104"/>
      <c r="K352" s="104"/>
      <c r="L352" s="104"/>
      <c r="M352" s="104"/>
      <c r="N352" s="104"/>
      <c r="O352" s="104"/>
      <c r="P352" s="104"/>
      <c r="Q352" s="104"/>
      <c r="R352" s="104"/>
      <c r="S352" s="104"/>
      <c r="T352" s="104"/>
      <c r="U352" s="104"/>
      <c r="V352" s="104"/>
      <c r="W352" s="104"/>
      <c r="X352" s="104"/>
      <c r="Y352" s="104"/>
      <c r="Z352" s="116"/>
      <c r="AA352" s="116"/>
      <c r="AB352" s="116"/>
      <c r="AC352" s="116"/>
    </row>
    <row r="353" customFormat="false" ht="15" hidden="false" customHeight="false" outlineLevel="0" collapsed="false">
      <c r="A353" s="119" t="s">
        <v>629</v>
      </c>
      <c r="B353" s="120" t="str">
        <f aca="false">IFERROR(VLOOKUP(A353,CENTRO!$A$4:$L$548,12,0),"")</f>
        <v>MUITO ATRASADO</v>
      </c>
      <c r="C353" s="121" t="n">
        <f aca="false">IFERROR(VLOOKUP(A353,CENTRO!$A$4:$L$548,11,0),"")</f>
        <v>172.232848232848</v>
      </c>
      <c r="D353" s="119" t="b">
        <f aca="false">FALSE()</f>
        <v>0</v>
      </c>
      <c r="E353" s="122" t="s">
        <v>1128</v>
      </c>
      <c r="F353" s="119"/>
      <c r="G353" s="119" t="s">
        <v>933</v>
      </c>
      <c r="H353" s="104"/>
      <c r="I353" s="104"/>
      <c r="J353" s="104"/>
      <c r="K353" s="104"/>
      <c r="L353" s="104"/>
      <c r="M353" s="104"/>
      <c r="N353" s="104"/>
      <c r="O353" s="104"/>
      <c r="P353" s="104"/>
      <c r="Q353" s="104"/>
      <c r="R353" s="104"/>
      <c r="S353" s="104"/>
      <c r="T353" s="104"/>
      <c r="U353" s="104"/>
      <c r="V353" s="104"/>
      <c r="W353" s="104"/>
      <c r="X353" s="104"/>
      <c r="Y353" s="104"/>
      <c r="Z353" s="116"/>
      <c r="AA353" s="116"/>
      <c r="AB353" s="116"/>
      <c r="AC353" s="116"/>
    </row>
    <row r="354" customFormat="false" ht="15" hidden="false" customHeight="false" outlineLevel="0" collapsed="false">
      <c r="A354" s="119" t="s">
        <v>777</v>
      </c>
      <c r="B354" s="119"/>
      <c r="C354" s="119"/>
      <c r="D354" s="119" t="b">
        <f aca="false">FALSE()</f>
        <v>0</v>
      </c>
      <c r="E354" s="122" t="s">
        <v>930</v>
      </c>
      <c r="F354" s="119"/>
      <c r="G354" s="119" t="s">
        <v>933</v>
      </c>
      <c r="H354" s="104"/>
      <c r="I354" s="104"/>
      <c r="J354" s="104"/>
      <c r="K354" s="104"/>
      <c r="L354" s="104"/>
      <c r="M354" s="104"/>
      <c r="N354" s="104"/>
      <c r="O354" s="104"/>
      <c r="P354" s="104"/>
      <c r="Q354" s="104"/>
      <c r="R354" s="104"/>
      <c r="S354" s="104"/>
      <c r="T354" s="104"/>
      <c r="U354" s="104"/>
      <c r="V354" s="104"/>
      <c r="W354" s="104"/>
      <c r="X354" s="104"/>
      <c r="Y354" s="104"/>
      <c r="Z354" s="116"/>
      <c r="AA354" s="116"/>
      <c r="AB354" s="116"/>
      <c r="AC354" s="116"/>
    </row>
    <row r="355" customFormat="false" ht="15" hidden="false" customHeight="false" outlineLevel="0" collapsed="false">
      <c r="A355" s="119" t="s">
        <v>1129</v>
      </c>
      <c r="B355" s="119"/>
      <c r="C355" s="119"/>
      <c r="D355" s="119" t="b">
        <f aca="false">FALSE()</f>
        <v>0</v>
      </c>
      <c r="E355" s="122" t="s">
        <v>930</v>
      </c>
      <c r="F355" s="119"/>
      <c r="G355" s="119" t="s">
        <v>933</v>
      </c>
      <c r="H355" s="104"/>
      <c r="I355" s="104"/>
      <c r="J355" s="104"/>
      <c r="K355" s="104"/>
      <c r="L355" s="104"/>
      <c r="M355" s="104"/>
      <c r="N355" s="104"/>
      <c r="O355" s="104"/>
      <c r="P355" s="104"/>
      <c r="Q355" s="104"/>
      <c r="R355" s="104"/>
      <c r="S355" s="104"/>
      <c r="T355" s="104"/>
      <c r="U355" s="104"/>
      <c r="V355" s="104"/>
      <c r="W355" s="104"/>
      <c r="X355" s="104"/>
      <c r="Y355" s="104"/>
      <c r="Z355" s="116"/>
      <c r="AA355" s="116"/>
      <c r="AB355" s="116"/>
      <c r="AC355" s="116"/>
    </row>
    <row r="356" customFormat="false" ht="15" hidden="false" customHeight="false" outlineLevel="0" collapsed="false">
      <c r="A356" s="119" t="s">
        <v>751</v>
      </c>
      <c r="B356" s="119"/>
      <c r="C356" s="119"/>
      <c r="D356" s="119" t="b">
        <f aca="false">FALSE()</f>
        <v>0</v>
      </c>
      <c r="E356" s="122" t="s">
        <v>930</v>
      </c>
      <c r="F356" s="119"/>
      <c r="G356" s="119" t="s">
        <v>933</v>
      </c>
      <c r="H356" s="104"/>
      <c r="I356" s="104"/>
      <c r="J356" s="104"/>
      <c r="K356" s="104"/>
      <c r="L356" s="104"/>
      <c r="M356" s="104"/>
      <c r="N356" s="104"/>
      <c r="O356" s="104"/>
      <c r="P356" s="104"/>
      <c r="Q356" s="104"/>
      <c r="R356" s="104"/>
      <c r="S356" s="104"/>
      <c r="T356" s="104"/>
      <c r="U356" s="104"/>
      <c r="V356" s="104"/>
      <c r="W356" s="104"/>
      <c r="X356" s="104"/>
      <c r="Y356" s="104"/>
      <c r="Z356" s="116"/>
      <c r="AA356" s="116"/>
      <c r="AB356" s="116"/>
      <c r="AC356" s="116"/>
    </row>
    <row r="357" customFormat="false" ht="15" hidden="false" customHeight="false" outlineLevel="0" collapsed="false">
      <c r="A357" s="165" t="s">
        <v>1130</v>
      </c>
      <c r="B357" s="119"/>
      <c r="C357" s="119"/>
      <c r="D357" s="119" t="b">
        <f aca="false">FALSE()</f>
        <v>0</v>
      </c>
      <c r="E357" s="122" t="s">
        <v>930</v>
      </c>
      <c r="F357" s="119"/>
      <c r="G357" s="119" t="s">
        <v>933</v>
      </c>
      <c r="H357" s="104"/>
      <c r="I357" s="104"/>
      <c r="J357" s="104"/>
      <c r="K357" s="104"/>
      <c r="L357" s="104"/>
      <c r="M357" s="104"/>
      <c r="N357" s="104"/>
      <c r="O357" s="104"/>
      <c r="P357" s="104"/>
      <c r="Q357" s="104"/>
      <c r="R357" s="104"/>
      <c r="S357" s="104"/>
      <c r="T357" s="104"/>
      <c r="U357" s="104"/>
      <c r="V357" s="104"/>
      <c r="W357" s="104"/>
      <c r="X357" s="104"/>
      <c r="Y357" s="104"/>
      <c r="Z357" s="116"/>
      <c r="AA357" s="116"/>
      <c r="AB357" s="116"/>
      <c r="AC357" s="116"/>
    </row>
    <row r="358" customFormat="false" ht="15" hidden="false" customHeight="false" outlineLevel="0" collapsed="false">
      <c r="A358" s="119" t="s">
        <v>582</v>
      </c>
      <c r="B358" s="119"/>
      <c r="C358" s="119"/>
      <c r="D358" s="119" t="b">
        <f aca="false">FALSE()</f>
        <v>0</v>
      </c>
      <c r="E358" s="122" t="s">
        <v>930</v>
      </c>
      <c r="F358" s="119"/>
      <c r="G358" s="119" t="s">
        <v>933</v>
      </c>
      <c r="H358" s="104"/>
      <c r="I358" s="104"/>
      <c r="J358" s="104"/>
      <c r="K358" s="104"/>
      <c r="L358" s="104"/>
      <c r="M358" s="104"/>
      <c r="N358" s="104"/>
      <c r="O358" s="104"/>
      <c r="P358" s="104"/>
      <c r="Q358" s="104"/>
      <c r="R358" s="104"/>
      <c r="S358" s="104"/>
      <c r="T358" s="104"/>
      <c r="U358" s="104"/>
      <c r="V358" s="104"/>
      <c r="W358" s="104"/>
      <c r="X358" s="104"/>
      <c r="Y358" s="104"/>
      <c r="Z358" s="116"/>
      <c r="AA358" s="116"/>
      <c r="AC358" s="116"/>
    </row>
    <row r="359" customFormat="false" ht="15" hidden="false" customHeight="false" outlineLevel="0" collapsed="false">
      <c r="A359" s="119" t="s">
        <v>461</v>
      </c>
      <c r="B359" s="119"/>
      <c r="C359" s="121"/>
      <c r="D359" s="119" t="b">
        <f aca="false">FALSE()</f>
        <v>0</v>
      </c>
      <c r="E359" s="122" t="s">
        <v>922</v>
      </c>
      <c r="F359" s="119"/>
      <c r="G359" s="119" t="s">
        <v>933</v>
      </c>
      <c r="H359" s="145"/>
      <c r="I359" s="145"/>
      <c r="J359" s="145"/>
      <c r="K359" s="145"/>
      <c r="L359" s="145"/>
      <c r="M359" s="145"/>
      <c r="N359" s="145"/>
      <c r="O359" s="145"/>
      <c r="P359" s="145"/>
      <c r="Q359" s="145"/>
      <c r="R359" s="145"/>
      <c r="S359" s="145"/>
      <c r="T359" s="145"/>
      <c r="U359" s="145"/>
      <c r="V359" s="145"/>
      <c r="W359" s="145"/>
      <c r="X359" s="145"/>
      <c r="Y359" s="145"/>
      <c r="Z359" s="146"/>
      <c r="AA359" s="146"/>
      <c r="AC359" s="146"/>
    </row>
    <row r="360" customFormat="false" ht="15" hidden="false" customHeight="false" outlineLevel="0" collapsed="false">
      <c r="A360" s="119" t="s">
        <v>776</v>
      </c>
      <c r="B360" s="119"/>
      <c r="C360" s="121"/>
      <c r="D360" s="119" t="b">
        <f aca="false">FALSE()</f>
        <v>0</v>
      </c>
      <c r="E360" s="122" t="s">
        <v>970</v>
      </c>
      <c r="F360" s="119"/>
      <c r="G360" s="119" t="s">
        <v>933</v>
      </c>
      <c r="H360" s="104"/>
      <c r="I360" s="104"/>
      <c r="J360" s="104"/>
      <c r="K360" s="104"/>
      <c r="L360" s="104"/>
      <c r="M360" s="104"/>
      <c r="N360" s="104"/>
      <c r="O360" s="104"/>
      <c r="P360" s="104"/>
      <c r="Q360" s="104"/>
      <c r="R360" s="104"/>
      <c r="S360" s="104"/>
      <c r="T360" s="104"/>
      <c r="U360" s="104"/>
      <c r="V360" s="104"/>
      <c r="W360" s="104"/>
      <c r="X360" s="104"/>
      <c r="Y360" s="104"/>
      <c r="Z360" s="116"/>
      <c r="AA360" s="116"/>
      <c r="AC360" s="116"/>
    </row>
    <row r="361" customFormat="false" ht="15" hidden="false" customHeight="false" outlineLevel="0" collapsed="false">
      <c r="A361" s="119" t="s">
        <v>670</v>
      </c>
      <c r="B361" s="119"/>
      <c r="C361" s="119"/>
      <c r="D361" s="104" t="b">
        <f aca="false">FALSE()</f>
        <v>0</v>
      </c>
      <c r="E361" s="122" t="s">
        <v>922</v>
      </c>
      <c r="F361" s="119"/>
      <c r="G361" s="119" t="s">
        <v>933</v>
      </c>
      <c r="H361" s="104"/>
      <c r="I361" s="104"/>
      <c r="J361" s="104"/>
      <c r="K361" s="104"/>
      <c r="L361" s="104"/>
      <c r="M361" s="104"/>
      <c r="N361" s="104"/>
      <c r="O361" s="104"/>
      <c r="P361" s="104"/>
      <c r="Q361" s="104"/>
      <c r="R361" s="104"/>
      <c r="S361" s="104"/>
      <c r="T361" s="104"/>
      <c r="U361" s="104"/>
      <c r="V361" s="104"/>
      <c r="W361" s="104"/>
      <c r="X361" s="104"/>
      <c r="Y361" s="104"/>
      <c r="Z361" s="116"/>
      <c r="AA361" s="116"/>
      <c r="AC361" s="116"/>
    </row>
    <row r="362" customFormat="false" ht="18" hidden="false" customHeight="true" outlineLevel="0" collapsed="false">
      <c r="A362" s="136" t="s">
        <v>635</v>
      </c>
      <c r="B362" s="136"/>
      <c r="C362" s="137"/>
      <c r="D362" s="119" t="b">
        <f aca="false">FALSE()</f>
        <v>0</v>
      </c>
      <c r="E362" s="122" t="s">
        <v>922</v>
      </c>
      <c r="F362" s="136"/>
      <c r="G362" s="119" t="s">
        <v>933</v>
      </c>
      <c r="H362" s="104"/>
      <c r="I362" s="104"/>
      <c r="J362" s="104"/>
      <c r="K362" s="104"/>
      <c r="L362" s="104"/>
      <c r="M362" s="104"/>
      <c r="N362" s="104"/>
      <c r="O362" s="104"/>
      <c r="P362" s="104"/>
      <c r="Q362" s="104"/>
      <c r="R362" s="104"/>
      <c r="S362" s="104"/>
      <c r="T362" s="104"/>
      <c r="U362" s="104"/>
      <c r="V362" s="104"/>
      <c r="W362" s="104"/>
      <c r="X362" s="104"/>
      <c r="Y362" s="104"/>
      <c r="Z362" s="116"/>
      <c r="AA362" s="116"/>
      <c r="AC362" s="116"/>
    </row>
    <row r="363" customFormat="false" ht="15" hidden="false" customHeight="false" outlineLevel="0" collapsed="false">
      <c r="A363" s="119" t="s">
        <v>648</v>
      </c>
      <c r="B363" s="120" t="str">
        <f aca="false">IFERROR(VLOOKUP(A363,CENTRO!$A$4:$L$548,12,0),"")</f>
        <v>MUITO ATRASADO</v>
      </c>
      <c r="C363" s="121" t="str">
        <f aca="false">IFERROR(VLOOKUP(A363,CENTRO!$A$4:$L$137,11,0),"")</f>
        <v/>
      </c>
      <c r="D363" s="119" t="b">
        <f aca="false">FALSE()</f>
        <v>0</v>
      </c>
      <c r="E363" s="122" t="s">
        <v>918</v>
      </c>
      <c r="F363" s="119"/>
      <c r="G363" s="119" t="s">
        <v>933</v>
      </c>
      <c r="H363" s="104"/>
      <c r="I363" s="104"/>
      <c r="J363" s="104"/>
      <c r="K363" s="104"/>
      <c r="L363" s="104"/>
      <c r="M363" s="104"/>
      <c r="N363" s="104"/>
      <c r="O363" s="104"/>
      <c r="P363" s="104"/>
      <c r="Q363" s="104"/>
      <c r="R363" s="104"/>
      <c r="S363" s="104"/>
      <c r="T363" s="104"/>
      <c r="U363" s="104"/>
      <c r="V363" s="104"/>
      <c r="W363" s="104"/>
      <c r="X363" s="104"/>
      <c r="Y363" s="104"/>
      <c r="Z363" s="116"/>
      <c r="AA363" s="116"/>
      <c r="AC363" s="116"/>
    </row>
    <row r="364" customFormat="false" ht="15" hidden="false" customHeight="false" outlineLevel="0" collapsed="false">
      <c r="A364" s="119" t="s">
        <v>783</v>
      </c>
      <c r="B364" s="119"/>
      <c r="C364" s="121"/>
      <c r="D364" s="119" t="b">
        <f aca="false">FALSE()</f>
        <v>0</v>
      </c>
      <c r="E364" s="122" t="s">
        <v>1131</v>
      </c>
      <c r="F364" s="119"/>
      <c r="G364" s="119" t="s">
        <v>933</v>
      </c>
      <c r="H364" s="104"/>
      <c r="I364" s="104"/>
      <c r="J364" s="104"/>
      <c r="K364" s="104"/>
      <c r="L364" s="104"/>
      <c r="M364" s="104"/>
      <c r="N364" s="104"/>
      <c r="O364" s="104"/>
      <c r="P364" s="104"/>
      <c r="Q364" s="104"/>
      <c r="R364" s="104"/>
      <c r="S364" s="104"/>
      <c r="T364" s="104"/>
      <c r="U364" s="104"/>
      <c r="V364" s="104"/>
      <c r="W364" s="104"/>
      <c r="X364" s="104"/>
      <c r="Y364" s="104"/>
      <c r="Z364" s="116"/>
      <c r="AA364" s="116"/>
      <c r="AC364" s="116"/>
    </row>
    <row r="365" customFormat="false" ht="15" hidden="false" customHeight="false" outlineLevel="0" collapsed="false">
      <c r="A365" s="177" t="s">
        <v>720</v>
      </c>
      <c r="B365" s="177" t="str">
        <f aca="false">IFERROR(VLOOKUP(A365,CENTRO!$A$4:$L$548,12,0),"")</f>
        <v>MUITO ATRASADO</v>
      </c>
      <c r="C365" s="110" t="n">
        <f aca="false">IFERROR(VLOOKUP(A365,CENTRO!$A$4:$L$548,11,0),"")</f>
        <v>133.004860267314</v>
      </c>
      <c r="D365" s="177" t="n">
        <f aca="false">TRUE()</f>
        <v>1</v>
      </c>
      <c r="E365" s="178" t="s">
        <v>1042</v>
      </c>
      <c r="F365" s="177"/>
      <c r="G365" s="177" t="s">
        <v>933</v>
      </c>
      <c r="H365" s="179"/>
      <c r="I365" s="179"/>
      <c r="J365" s="179"/>
      <c r="K365" s="179"/>
      <c r="L365" s="179"/>
      <c r="M365" s="179"/>
      <c r="N365" s="179"/>
      <c r="O365" s="179"/>
      <c r="P365" s="179"/>
      <c r="Q365" s="179"/>
      <c r="R365" s="179"/>
      <c r="S365" s="179"/>
      <c r="T365" s="179"/>
      <c r="U365" s="179"/>
      <c r="V365" s="179"/>
      <c r="W365" s="179"/>
      <c r="X365" s="179"/>
      <c r="Y365" s="179"/>
      <c r="Z365" s="179"/>
      <c r="AA365" s="179"/>
      <c r="AC365" s="179"/>
    </row>
    <row r="366" customFormat="false" ht="15" hidden="false" customHeight="false" outlineLevel="0" collapsed="false">
      <c r="A366" s="119" t="s">
        <v>1132</v>
      </c>
      <c r="B366" s="119"/>
      <c r="C366" s="119"/>
      <c r="D366" s="119" t="b">
        <f aca="false">FALSE()</f>
        <v>0</v>
      </c>
      <c r="E366" s="122" t="s">
        <v>930</v>
      </c>
      <c r="F366" s="119"/>
      <c r="G366" s="119" t="s">
        <v>933</v>
      </c>
      <c r="H366" s="104"/>
      <c r="I366" s="104"/>
      <c r="J366" s="104"/>
      <c r="K366" s="104"/>
      <c r="L366" s="104"/>
      <c r="M366" s="104"/>
      <c r="N366" s="104"/>
      <c r="O366" s="104"/>
      <c r="P366" s="104"/>
      <c r="Q366" s="104"/>
      <c r="R366" s="104"/>
      <c r="S366" s="104"/>
      <c r="T366" s="104"/>
      <c r="U366" s="104"/>
      <c r="V366" s="104"/>
      <c r="W366" s="104"/>
      <c r="X366" s="104"/>
      <c r="Y366" s="104"/>
      <c r="Z366" s="116"/>
      <c r="AA366" s="116"/>
      <c r="AC366" s="116"/>
    </row>
    <row r="367" customFormat="false" ht="15" hidden="false" customHeight="false" outlineLevel="0" collapsed="false">
      <c r="A367" s="119" t="s">
        <v>1133</v>
      </c>
      <c r="B367" s="119"/>
      <c r="C367" s="119"/>
      <c r="D367" s="119" t="b">
        <f aca="false">FALSE()</f>
        <v>0</v>
      </c>
      <c r="E367" s="122" t="s">
        <v>930</v>
      </c>
      <c r="F367" s="119"/>
      <c r="G367" s="119" t="s">
        <v>933</v>
      </c>
      <c r="H367" s="104"/>
      <c r="I367" s="104"/>
      <c r="J367" s="104"/>
      <c r="K367" s="104"/>
      <c r="L367" s="104"/>
      <c r="M367" s="104"/>
      <c r="N367" s="104"/>
      <c r="O367" s="104"/>
      <c r="P367" s="104"/>
      <c r="Q367" s="104"/>
      <c r="R367" s="104"/>
      <c r="S367" s="104"/>
      <c r="T367" s="104"/>
      <c r="U367" s="104"/>
      <c r="V367" s="104"/>
      <c r="W367" s="104"/>
      <c r="X367" s="104"/>
      <c r="Y367" s="104"/>
      <c r="Z367" s="104"/>
      <c r="AA367" s="104"/>
      <c r="AC367" s="104"/>
    </row>
    <row r="368" customFormat="false" ht="15" hidden="false" customHeight="false" outlineLevel="0" collapsed="false">
      <c r="A368" s="119" t="s">
        <v>1134</v>
      </c>
      <c r="B368" s="120" t="str">
        <f aca="false">IFERROR(VLOOKUP(A368,CENTRO!$A$4:$L$548,12,0),"")</f>
        <v/>
      </c>
      <c r="C368" s="121" t="str">
        <f aca="false">IFERROR(VLOOKUP(A368,CENTRO!$A$4:$L$137,11,0),"")</f>
        <v/>
      </c>
      <c r="D368" s="119" t="b">
        <f aca="false">FALSE()</f>
        <v>0</v>
      </c>
      <c r="E368" s="122" t="s">
        <v>986</v>
      </c>
      <c r="F368" s="119"/>
      <c r="G368" s="119" t="s">
        <v>933</v>
      </c>
      <c r="H368" s="104"/>
      <c r="I368" s="104"/>
      <c r="J368" s="104"/>
      <c r="K368" s="104"/>
      <c r="L368" s="104"/>
      <c r="M368" s="104"/>
      <c r="N368" s="104"/>
      <c r="O368" s="104"/>
      <c r="P368" s="104"/>
      <c r="Q368" s="104"/>
      <c r="R368" s="104"/>
      <c r="S368" s="104"/>
      <c r="T368" s="104"/>
      <c r="U368" s="104"/>
      <c r="V368" s="104"/>
      <c r="W368" s="104"/>
      <c r="X368" s="104"/>
      <c r="Y368" s="104"/>
      <c r="Z368" s="114"/>
      <c r="AA368" s="114"/>
      <c r="AC368" s="114"/>
    </row>
    <row r="369" customFormat="false" ht="15" hidden="false" customHeight="false" outlineLevel="0" collapsed="false">
      <c r="A369" s="119" t="s">
        <v>570</v>
      </c>
      <c r="B369" s="119"/>
      <c r="C369" s="119"/>
      <c r="D369" s="119" t="b">
        <f aca="false">FALSE()</f>
        <v>0</v>
      </c>
      <c r="E369" s="122" t="s">
        <v>1135</v>
      </c>
      <c r="F369" s="119"/>
      <c r="G369" s="119" t="s">
        <v>933</v>
      </c>
      <c r="H369" s="104"/>
      <c r="I369" s="104"/>
      <c r="J369" s="104"/>
      <c r="K369" s="104"/>
      <c r="L369" s="104"/>
      <c r="M369" s="104"/>
      <c r="N369" s="104"/>
      <c r="O369" s="104"/>
      <c r="P369" s="104"/>
      <c r="Q369" s="104"/>
      <c r="R369" s="104"/>
      <c r="S369" s="104"/>
      <c r="T369" s="104"/>
      <c r="U369" s="104"/>
      <c r="V369" s="104"/>
      <c r="W369" s="104"/>
      <c r="X369" s="104"/>
      <c r="Y369" s="104"/>
      <c r="Z369" s="116"/>
      <c r="AA369" s="116"/>
      <c r="AC369" s="116"/>
    </row>
    <row r="370" customFormat="false" ht="15" hidden="false" customHeight="false" outlineLevel="0" collapsed="false">
      <c r="A370" s="144" t="s">
        <v>836</v>
      </c>
      <c r="B370" s="120" t="str">
        <f aca="false">IFERROR(VLOOKUP(A370,CENTRO!$A$4:$L$548,12,0),"")</f>
        <v>MUITO ATRASADO</v>
      </c>
      <c r="C370" s="121" t="str">
        <f aca="false">IFERROR(VLOOKUP(A370,CENTRO!$A$4:$L$137,11,0),"")</f>
        <v/>
      </c>
      <c r="D370" s="119" t="b">
        <f aca="false">FALSE()</f>
        <v>0</v>
      </c>
      <c r="E370" s="122" t="s">
        <v>1136</v>
      </c>
      <c r="F370" s="180" t="s">
        <v>1137</v>
      </c>
      <c r="G370" s="119" t="s">
        <v>933</v>
      </c>
      <c r="H370" s="104"/>
      <c r="I370" s="104"/>
      <c r="J370" s="104"/>
      <c r="K370" s="104"/>
      <c r="L370" s="104"/>
      <c r="M370" s="104"/>
      <c r="N370" s="104"/>
      <c r="O370" s="104"/>
      <c r="P370" s="104"/>
      <c r="Q370" s="104"/>
      <c r="R370" s="104"/>
      <c r="S370" s="104"/>
      <c r="T370" s="104"/>
      <c r="U370" s="104"/>
      <c r="V370" s="104"/>
      <c r="W370" s="104"/>
      <c r="X370" s="104"/>
      <c r="Y370" s="104"/>
      <c r="Z370" s="104"/>
      <c r="AA370" s="104"/>
      <c r="AC370" s="104"/>
    </row>
    <row r="371" customFormat="false" ht="15" hidden="false" customHeight="false" outlineLevel="0" collapsed="false">
      <c r="A371" s="119" t="s">
        <v>703</v>
      </c>
      <c r="B371" s="120" t="str">
        <f aca="false">IFERROR(VLOOKUP(A371,CENTRO!$A$4:$L$548,12,0),"")</f>
        <v>MUITO ATRASADO</v>
      </c>
      <c r="C371" s="121" t="str">
        <f aca="false">IFERROR(VLOOKUP(A371,CENTRO!$A$4:$L$137,11,0),"")</f>
        <v/>
      </c>
      <c r="D371" s="119" t="b">
        <f aca="false">FALSE()</f>
        <v>0</v>
      </c>
      <c r="E371" s="122" t="s">
        <v>1138</v>
      </c>
      <c r="F371" s="119"/>
      <c r="G371" s="119" t="s">
        <v>933</v>
      </c>
      <c r="H371" s="104"/>
      <c r="I371" s="104"/>
      <c r="J371" s="104"/>
      <c r="K371" s="104"/>
      <c r="L371" s="104"/>
      <c r="M371" s="104"/>
      <c r="N371" s="104"/>
      <c r="O371" s="104"/>
      <c r="P371" s="104"/>
      <c r="Q371" s="104"/>
      <c r="R371" s="104"/>
      <c r="S371" s="104"/>
      <c r="T371" s="104"/>
      <c r="U371" s="104"/>
      <c r="V371" s="104"/>
      <c r="W371" s="104"/>
      <c r="X371" s="104"/>
      <c r="Y371" s="104"/>
      <c r="Z371" s="116"/>
      <c r="AA371" s="116"/>
      <c r="AC371" s="116"/>
    </row>
    <row r="372" customFormat="false" ht="15" hidden="false" customHeight="false" outlineLevel="0" collapsed="false">
      <c r="A372" s="136" t="s">
        <v>768</v>
      </c>
      <c r="B372" s="136"/>
      <c r="C372" s="137"/>
      <c r="D372" s="119" t="b">
        <f aca="false">FALSE()</f>
        <v>0</v>
      </c>
      <c r="E372" s="122" t="s">
        <v>922</v>
      </c>
      <c r="F372" s="136"/>
      <c r="G372" s="119" t="s">
        <v>933</v>
      </c>
      <c r="H372" s="104"/>
      <c r="I372" s="104"/>
      <c r="J372" s="104"/>
      <c r="K372" s="104"/>
      <c r="L372" s="104"/>
      <c r="M372" s="104"/>
      <c r="N372" s="104"/>
      <c r="O372" s="104"/>
      <c r="P372" s="104"/>
      <c r="Q372" s="104"/>
      <c r="R372" s="104"/>
      <c r="S372" s="104"/>
      <c r="T372" s="104"/>
      <c r="U372" s="104"/>
      <c r="V372" s="104"/>
      <c r="W372" s="104"/>
      <c r="X372" s="104"/>
      <c r="Y372" s="104"/>
      <c r="Z372" s="116"/>
      <c r="AA372" s="116"/>
      <c r="AC372" s="116"/>
    </row>
    <row r="373" customFormat="false" ht="15" hidden="false" customHeight="false" outlineLevel="0" collapsed="false">
      <c r="A373" s="119" t="s">
        <v>1139</v>
      </c>
      <c r="B373" s="120" t="str">
        <f aca="false">IFERROR(VLOOKUP(A373,CENTRO!$A$4:$L$548,12,0),"")</f>
        <v/>
      </c>
      <c r="C373" s="121" t="str">
        <f aca="false">IFERROR(VLOOKUP(A373,CENTRO!$A$4:$L$137,11,0),"")</f>
        <v/>
      </c>
      <c r="D373" s="119" t="b">
        <f aca="false">FALSE()</f>
        <v>0</v>
      </c>
      <c r="E373" s="122" t="s">
        <v>986</v>
      </c>
      <c r="F373" s="119"/>
      <c r="G373" s="119" t="s">
        <v>933</v>
      </c>
      <c r="H373" s="104"/>
      <c r="I373" s="104"/>
      <c r="J373" s="104"/>
      <c r="K373" s="104"/>
      <c r="L373" s="104"/>
      <c r="M373" s="104"/>
      <c r="N373" s="104"/>
      <c r="O373" s="104"/>
      <c r="P373" s="104"/>
      <c r="Q373" s="104"/>
      <c r="R373" s="104"/>
      <c r="S373" s="104"/>
      <c r="T373" s="104"/>
      <c r="U373" s="104"/>
      <c r="V373" s="104"/>
      <c r="W373" s="104"/>
      <c r="X373" s="104"/>
      <c r="Y373" s="104"/>
      <c r="Z373" s="116"/>
      <c r="AA373" s="116"/>
      <c r="AC373" s="116"/>
    </row>
    <row r="374" customFormat="false" ht="15" hidden="false" customHeight="false" outlineLevel="0" collapsed="false">
      <c r="A374" s="119" t="s">
        <v>340</v>
      </c>
      <c r="B374" s="120" t="str">
        <f aca="false">IFERROR(VLOOKUP(A374,CENTRO!$A$4:$L$548,12,0),"")</f>
        <v>MUITO ATRASADO</v>
      </c>
      <c r="C374" s="121" t="str">
        <f aca="false">IFERROR(VLOOKUP(A374,CENTRO!$A$4:$L$137,11,0),"")</f>
        <v/>
      </c>
      <c r="D374" s="119" t="b">
        <f aca="false">FALSE()</f>
        <v>0</v>
      </c>
      <c r="E374" s="122" t="s">
        <v>1140</v>
      </c>
      <c r="F374" s="119"/>
      <c r="G374" s="119" t="s">
        <v>924</v>
      </c>
      <c r="H374" s="104"/>
      <c r="I374" s="104"/>
      <c r="J374" s="104"/>
      <c r="K374" s="104"/>
      <c r="L374" s="104"/>
      <c r="M374" s="104"/>
      <c r="N374" s="104"/>
      <c r="O374" s="104"/>
      <c r="P374" s="104"/>
      <c r="Q374" s="104"/>
      <c r="R374" s="104"/>
      <c r="S374" s="104"/>
      <c r="T374" s="104"/>
      <c r="U374" s="104"/>
      <c r="V374" s="104"/>
      <c r="W374" s="104"/>
      <c r="X374" s="104"/>
      <c r="Y374" s="104"/>
      <c r="Z374" s="116"/>
      <c r="AA374" s="116"/>
      <c r="AC374" s="116"/>
    </row>
    <row r="375" customFormat="false" ht="15" hidden="false" customHeight="false" outlineLevel="0" collapsed="false">
      <c r="A375" s="119" t="s">
        <v>644</v>
      </c>
      <c r="B375" s="120" t="str">
        <f aca="false">IFERROR(VLOOKUP(A375,CENTRO!$A$4:$L$548,12,0),"")</f>
        <v>MUITO ATRASADO</v>
      </c>
      <c r="C375" s="121" t="str">
        <f aca="false">IFERROR(VLOOKUP(A375,CENTRO!$A$4:$L$137,11,0),"")</f>
        <v/>
      </c>
      <c r="D375" s="119" t="b">
        <f aca="false">FALSE()</f>
        <v>0</v>
      </c>
      <c r="E375" s="122" t="s">
        <v>918</v>
      </c>
      <c r="F375" s="119"/>
      <c r="G375" s="119" t="s">
        <v>933</v>
      </c>
      <c r="H375" s="104"/>
      <c r="I375" s="104"/>
      <c r="J375" s="104"/>
      <c r="K375" s="104"/>
      <c r="L375" s="104"/>
      <c r="M375" s="104"/>
      <c r="N375" s="104"/>
      <c r="O375" s="104"/>
      <c r="P375" s="104"/>
      <c r="Q375" s="104"/>
      <c r="R375" s="104"/>
      <c r="S375" s="104"/>
      <c r="T375" s="104"/>
      <c r="U375" s="104"/>
      <c r="V375" s="104"/>
      <c r="W375" s="104"/>
      <c r="X375" s="104"/>
      <c r="Y375" s="104"/>
      <c r="Z375" s="116"/>
      <c r="AA375" s="116"/>
      <c r="AC375" s="116"/>
    </row>
    <row r="376" customFormat="false" ht="15" hidden="false" customHeight="false" outlineLevel="0" collapsed="false">
      <c r="A376" s="119" t="s">
        <v>301</v>
      </c>
      <c r="B376" s="120" t="str">
        <f aca="false">IFERROR(VLOOKUP(A376,CENTRO!$A$4:$L$548,12,0),"")</f>
        <v>MUITO ATRASADO</v>
      </c>
      <c r="C376" s="121" t="n">
        <f aca="false">IFERROR(VLOOKUP(A376,CENTRO!$A$4:$L$548,11,0),"")</f>
        <v>158.657208588957</v>
      </c>
      <c r="D376" s="119" t="b">
        <f aca="false">FALSE()</f>
        <v>0</v>
      </c>
      <c r="E376" s="122" t="s">
        <v>918</v>
      </c>
      <c r="F376" s="119"/>
      <c r="G376" s="119" t="s">
        <v>933</v>
      </c>
      <c r="H376" s="104"/>
      <c r="I376" s="104"/>
      <c r="J376" s="104"/>
      <c r="K376" s="104"/>
      <c r="L376" s="104"/>
      <c r="M376" s="104"/>
      <c r="N376" s="104"/>
      <c r="O376" s="104"/>
      <c r="P376" s="104"/>
      <c r="Q376" s="104"/>
      <c r="R376" s="104"/>
      <c r="S376" s="104"/>
      <c r="T376" s="104"/>
      <c r="U376" s="104"/>
      <c r="V376" s="104"/>
      <c r="W376" s="104"/>
      <c r="X376" s="104"/>
      <c r="Y376" s="104"/>
      <c r="Z376" s="116"/>
      <c r="AA376" s="116"/>
      <c r="AC376" s="116"/>
    </row>
    <row r="377" customFormat="false" ht="15" hidden="false" customHeight="false" outlineLevel="0" collapsed="false">
      <c r="A377" s="119" t="s">
        <v>310</v>
      </c>
      <c r="B377" s="120" t="str">
        <f aca="false">IFERROR(VLOOKUP(A377,CENTRO!$A$4:$L$548,12,0),"")</f>
        <v>MUITO ATRASADO</v>
      </c>
      <c r="C377" s="121" t="str">
        <f aca="false">IFERROR(VLOOKUP(A377,CENTRO!$A$4:$L$137,11,0),"")</f>
        <v/>
      </c>
      <c r="D377" s="119" t="b">
        <f aca="false">FALSE()</f>
        <v>0</v>
      </c>
      <c r="E377" s="122" t="s">
        <v>918</v>
      </c>
      <c r="F377" s="119"/>
      <c r="G377" s="119" t="s">
        <v>933</v>
      </c>
      <c r="H377" s="104"/>
      <c r="I377" s="104"/>
      <c r="J377" s="104"/>
      <c r="K377" s="104"/>
      <c r="L377" s="104"/>
      <c r="M377" s="104"/>
      <c r="N377" s="104"/>
      <c r="O377" s="104"/>
      <c r="P377" s="104"/>
      <c r="Q377" s="104"/>
      <c r="R377" s="104"/>
      <c r="S377" s="104"/>
      <c r="T377" s="104"/>
      <c r="U377" s="104"/>
      <c r="V377" s="104"/>
      <c r="W377" s="104"/>
      <c r="X377" s="104"/>
      <c r="Y377" s="104"/>
      <c r="Z377" s="104"/>
      <c r="AA377" s="104"/>
      <c r="AC377" s="104"/>
    </row>
    <row r="378" customFormat="false" ht="15" hidden="false" customHeight="false" outlineLevel="0" collapsed="false">
      <c r="A378" s="119" t="s">
        <v>465</v>
      </c>
      <c r="B378" s="120" t="str">
        <f aca="false">IFERROR(VLOOKUP(A378,CENTRO!$A$4:$L$548,12,0),"")</f>
        <v>MUITO ATRASADO</v>
      </c>
      <c r="C378" s="121" t="n">
        <f aca="false">IFERROR(VLOOKUP(A378,CENTRO!$A$4:$L$137,11,0),"")</f>
        <v>162.623630672926</v>
      </c>
      <c r="D378" s="119" t="b">
        <f aca="false">FALSE()</f>
        <v>0</v>
      </c>
      <c r="E378" s="122" t="s">
        <v>970</v>
      </c>
      <c r="F378" s="119"/>
      <c r="G378" s="119" t="s">
        <v>933</v>
      </c>
      <c r="H378" s="104"/>
      <c r="I378" s="104"/>
      <c r="J378" s="104"/>
      <c r="K378" s="104"/>
      <c r="L378" s="104"/>
      <c r="M378" s="104"/>
      <c r="N378" s="104"/>
      <c r="O378" s="104"/>
      <c r="P378" s="104"/>
      <c r="Q378" s="104"/>
      <c r="R378" s="104"/>
      <c r="S378" s="104"/>
      <c r="T378" s="104"/>
      <c r="U378" s="104"/>
      <c r="V378" s="104"/>
      <c r="W378" s="104"/>
      <c r="X378" s="104"/>
      <c r="Y378" s="104"/>
      <c r="Z378" s="116"/>
      <c r="AA378" s="116"/>
      <c r="AC378" s="116"/>
    </row>
    <row r="379" customFormat="false" ht="15" hidden="false" customHeight="false" outlineLevel="0" collapsed="false">
      <c r="A379" s="119" t="s">
        <v>554</v>
      </c>
      <c r="B379" s="120" t="str">
        <f aca="false">IFERROR(VLOOKUP(A379,CENTRO!$A$4:$L$548,12,0),"")</f>
        <v>MUITO ATRASADO</v>
      </c>
      <c r="C379" s="121" t="n">
        <f aca="false">IFERROR(VLOOKUP(A379,CENTRO!$A$4:$L$137,11,0),"")</f>
        <v>192.644757433489</v>
      </c>
      <c r="D379" s="119" t="b">
        <f aca="false">FALSE()</f>
        <v>0</v>
      </c>
      <c r="E379" s="122" t="s">
        <v>970</v>
      </c>
      <c r="F379" s="119"/>
      <c r="G379" s="119" t="s">
        <v>933</v>
      </c>
      <c r="H379" s="104"/>
      <c r="I379" s="104"/>
      <c r="J379" s="104"/>
      <c r="K379" s="104"/>
      <c r="L379" s="104"/>
      <c r="M379" s="104"/>
      <c r="N379" s="104"/>
      <c r="O379" s="104"/>
      <c r="P379" s="104"/>
      <c r="Q379" s="104"/>
      <c r="R379" s="104"/>
      <c r="S379" s="104"/>
      <c r="T379" s="104"/>
      <c r="U379" s="104"/>
      <c r="V379" s="104"/>
      <c r="W379" s="104"/>
      <c r="X379" s="104"/>
      <c r="Y379" s="104"/>
      <c r="Z379" s="116"/>
      <c r="AA379" s="116"/>
      <c r="AC379" s="116"/>
    </row>
    <row r="380" customFormat="false" ht="15" hidden="false" customHeight="false" outlineLevel="0" collapsed="false">
      <c r="A380" s="119" t="s">
        <v>1141</v>
      </c>
      <c r="B380" s="120" t="str">
        <f aca="false">IFERROR(VLOOKUP(A380,CENTRO!$A$4:$L$548,12,0),"")</f>
        <v/>
      </c>
      <c r="C380" s="121" t="str">
        <f aca="false">IFERROR(VLOOKUP(A380,CENTRO!$A$4:$L$137,11,0),"")</f>
        <v/>
      </c>
      <c r="D380" s="119" t="b">
        <f aca="false">FALSE()</f>
        <v>0</v>
      </c>
      <c r="E380" s="122" t="s">
        <v>1142</v>
      </c>
      <c r="F380" s="119"/>
      <c r="G380" s="119" t="s">
        <v>933</v>
      </c>
      <c r="H380" s="104"/>
      <c r="I380" s="104"/>
      <c r="J380" s="104"/>
      <c r="K380" s="104"/>
      <c r="L380" s="104"/>
      <c r="M380" s="104"/>
      <c r="N380" s="104"/>
      <c r="O380" s="104"/>
      <c r="P380" s="104"/>
      <c r="Q380" s="104"/>
      <c r="R380" s="104"/>
      <c r="S380" s="104"/>
      <c r="T380" s="104"/>
      <c r="U380" s="104"/>
      <c r="V380" s="104"/>
      <c r="W380" s="104"/>
      <c r="X380" s="104"/>
      <c r="Y380" s="104"/>
      <c r="Z380" s="116"/>
      <c r="AA380" s="116"/>
      <c r="AC380" s="116"/>
    </row>
    <row r="381" customFormat="false" ht="15" hidden="false" customHeight="false" outlineLevel="0" collapsed="false">
      <c r="A381" s="119" t="s">
        <v>686</v>
      </c>
      <c r="B381" s="120" t="str">
        <f aca="false">IFERROR(VLOOKUP(A381,CENTRO!$A$4:$L$548,12,0),"")</f>
        <v>MUITO ATRASADO</v>
      </c>
      <c r="C381" s="121" t="str">
        <f aca="false">IFERROR(VLOOKUP(A381,CENTRO!$A$4:$L$137,11,0),"")</f>
        <v/>
      </c>
      <c r="D381" s="119" t="b">
        <f aca="false">FALSE()</f>
        <v>0</v>
      </c>
      <c r="E381" s="122" t="s">
        <v>1143</v>
      </c>
      <c r="F381" s="119"/>
      <c r="G381" s="119" t="s">
        <v>933</v>
      </c>
      <c r="H381" s="104"/>
      <c r="I381" s="104"/>
      <c r="J381" s="104"/>
      <c r="K381" s="104"/>
      <c r="L381" s="104"/>
      <c r="M381" s="104"/>
      <c r="N381" s="104"/>
      <c r="O381" s="104"/>
      <c r="P381" s="104"/>
      <c r="Q381" s="104"/>
      <c r="R381" s="104"/>
      <c r="S381" s="104"/>
      <c r="T381" s="104"/>
      <c r="U381" s="104"/>
      <c r="V381" s="104"/>
      <c r="W381" s="104"/>
      <c r="X381" s="104"/>
      <c r="Y381" s="104"/>
      <c r="Z381" s="116"/>
      <c r="AA381" s="116"/>
      <c r="AC381" s="116"/>
    </row>
    <row r="382" customFormat="false" ht="15" hidden="false" customHeight="false" outlineLevel="0" collapsed="false">
      <c r="A382" s="119" t="s">
        <v>679</v>
      </c>
      <c r="B382" s="119"/>
      <c r="C382" s="119"/>
      <c r="D382" s="119" t="b">
        <f aca="false">FALSE()</f>
        <v>0</v>
      </c>
      <c r="E382" s="122" t="s">
        <v>930</v>
      </c>
      <c r="F382" s="119"/>
      <c r="G382" s="119" t="s">
        <v>933</v>
      </c>
      <c r="H382" s="104"/>
      <c r="I382" s="104"/>
      <c r="J382" s="104"/>
      <c r="K382" s="104"/>
      <c r="L382" s="104"/>
      <c r="M382" s="104"/>
      <c r="N382" s="104"/>
      <c r="O382" s="104"/>
      <c r="P382" s="104"/>
      <c r="Q382" s="104"/>
      <c r="R382" s="104"/>
      <c r="S382" s="104"/>
      <c r="T382" s="104"/>
      <c r="U382" s="104"/>
      <c r="V382" s="104"/>
      <c r="W382" s="104"/>
      <c r="X382" s="104"/>
      <c r="Y382" s="104"/>
      <c r="Z382" s="116"/>
      <c r="AA382" s="116"/>
      <c r="AC382" s="116"/>
    </row>
    <row r="383" customFormat="false" ht="15" hidden="false" customHeight="false" outlineLevel="0" collapsed="false">
      <c r="A383" s="112" t="s">
        <v>1144</v>
      </c>
      <c r="B383" s="109" t="str">
        <f aca="false">IFERROR(VLOOKUP(A383,CENTRO!$A$4:$L$548,12,0),"")</f>
        <v/>
      </c>
      <c r="C383" s="110" t="str">
        <f aca="false">IFERROR(VLOOKUP(A383,CENTRO!$A$4:$L$137,11,0),"")</f>
        <v/>
      </c>
      <c r="D383" s="108" t="b">
        <f aca="false">TRUE()</f>
        <v>1</v>
      </c>
      <c r="E383" s="115" t="s">
        <v>1145</v>
      </c>
      <c r="F383" s="108"/>
      <c r="G383" s="108" t="s">
        <v>933</v>
      </c>
      <c r="H383" s="116"/>
      <c r="I383" s="116"/>
      <c r="J383" s="116"/>
      <c r="K383" s="116"/>
      <c r="L383" s="116"/>
      <c r="M383" s="116"/>
      <c r="N383" s="116"/>
      <c r="O383" s="116"/>
      <c r="P383" s="116"/>
      <c r="Q383" s="116"/>
      <c r="R383" s="116"/>
      <c r="S383" s="116"/>
      <c r="T383" s="116"/>
      <c r="U383" s="116"/>
      <c r="V383" s="116"/>
      <c r="W383" s="116"/>
      <c r="X383" s="116"/>
      <c r="Y383" s="116"/>
      <c r="Z383" s="116"/>
      <c r="AA383" s="116"/>
      <c r="AC383" s="116"/>
    </row>
    <row r="384" customFormat="false" ht="15" hidden="false" customHeight="false" outlineLevel="0" collapsed="false">
      <c r="A384" s="180" t="s">
        <v>794</v>
      </c>
      <c r="B384" s="119"/>
      <c r="C384" s="119"/>
      <c r="D384" s="119" t="b">
        <f aca="false">FALSE()</f>
        <v>0</v>
      </c>
      <c r="E384" s="122" t="s">
        <v>1146</v>
      </c>
      <c r="F384" s="119"/>
      <c r="G384" s="119" t="s">
        <v>933</v>
      </c>
      <c r="H384" s="104"/>
      <c r="I384" s="104"/>
      <c r="J384" s="104"/>
      <c r="K384" s="104"/>
      <c r="L384" s="104"/>
      <c r="M384" s="104"/>
      <c r="N384" s="104"/>
      <c r="O384" s="104"/>
      <c r="P384" s="104"/>
      <c r="Q384" s="104"/>
      <c r="R384" s="104"/>
      <c r="S384" s="104"/>
      <c r="T384" s="104"/>
      <c r="U384" s="104"/>
      <c r="V384" s="104"/>
      <c r="W384" s="104"/>
      <c r="X384" s="104"/>
      <c r="Y384" s="104"/>
      <c r="Z384" s="116"/>
      <c r="AA384" s="116"/>
      <c r="AC384" s="116"/>
    </row>
    <row r="385" customFormat="false" ht="15" hidden="false" customHeight="false" outlineLevel="0" collapsed="false">
      <c r="A385" s="119" t="s">
        <v>650</v>
      </c>
      <c r="B385" s="119"/>
      <c r="C385" s="121"/>
      <c r="D385" s="119" t="b">
        <f aca="false">FALSE()</f>
        <v>0</v>
      </c>
      <c r="E385" s="122" t="s">
        <v>1147</v>
      </c>
      <c r="F385" s="119"/>
      <c r="G385" s="119" t="s">
        <v>933</v>
      </c>
      <c r="H385" s="104"/>
      <c r="I385" s="104"/>
      <c r="J385" s="104"/>
      <c r="K385" s="104"/>
      <c r="L385" s="104"/>
      <c r="M385" s="104"/>
      <c r="N385" s="104"/>
      <c r="O385" s="104"/>
      <c r="P385" s="104"/>
      <c r="Q385" s="104"/>
      <c r="R385" s="104"/>
      <c r="S385" s="104"/>
      <c r="T385" s="104"/>
      <c r="U385" s="104"/>
      <c r="V385" s="104"/>
      <c r="W385" s="104"/>
      <c r="X385" s="104"/>
      <c r="Y385" s="104"/>
      <c r="Z385" s="104"/>
      <c r="AA385" s="104"/>
      <c r="AC385" s="104"/>
    </row>
    <row r="386" customFormat="false" ht="15" hidden="false" customHeight="false" outlineLevel="0" collapsed="false">
      <c r="A386" s="119" t="s">
        <v>658</v>
      </c>
      <c r="B386" s="119"/>
      <c r="C386" s="121"/>
      <c r="D386" s="104" t="b">
        <f aca="false">FALSE()</f>
        <v>0</v>
      </c>
      <c r="E386" s="122" t="s">
        <v>922</v>
      </c>
      <c r="F386" s="119"/>
      <c r="G386" s="119" t="s">
        <v>933</v>
      </c>
      <c r="H386" s="104"/>
      <c r="I386" s="104"/>
      <c r="J386" s="104"/>
      <c r="K386" s="104"/>
      <c r="L386" s="104"/>
      <c r="M386" s="104"/>
      <c r="N386" s="104"/>
      <c r="O386" s="104"/>
      <c r="P386" s="104"/>
      <c r="Q386" s="104"/>
      <c r="R386" s="104"/>
      <c r="S386" s="104"/>
      <c r="T386" s="104"/>
      <c r="U386" s="104"/>
      <c r="V386" s="104"/>
      <c r="W386" s="104"/>
      <c r="X386" s="104"/>
      <c r="Y386" s="104"/>
      <c r="Z386" s="116"/>
      <c r="AA386" s="116"/>
      <c r="AC386" s="116"/>
    </row>
    <row r="387" customFormat="false" ht="15" hidden="false" customHeight="false" outlineLevel="0" collapsed="false">
      <c r="A387" s="119" t="s">
        <v>761</v>
      </c>
      <c r="B387" s="119"/>
      <c r="C387" s="121"/>
      <c r="D387" s="119" t="b">
        <f aca="false">FALSE()</f>
        <v>0</v>
      </c>
      <c r="E387" s="122" t="s">
        <v>941</v>
      </c>
      <c r="F387" s="119"/>
      <c r="G387" s="119" t="s">
        <v>933</v>
      </c>
      <c r="H387" s="104"/>
      <c r="I387" s="104"/>
      <c r="J387" s="104"/>
      <c r="K387" s="104"/>
      <c r="L387" s="104"/>
      <c r="M387" s="104"/>
      <c r="N387" s="104"/>
      <c r="O387" s="104"/>
      <c r="P387" s="104"/>
      <c r="Q387" s="104"/>
      <c r="R387" s="104"/>
      <c r="S387" s="104"/>
      <c r="T387" s="104"/>
      <c r="U387" s="104"/>
      <c r="V387" s="104"/>
      <c r="W387" s="104"/>
      <c r="X387" s="104"/>
      <c r="Y387" s="104"/>
      <c r="Z387" s="116"/>
      <c r="AA387" s="116"/>
      <c r="AC387" s="116"/>
    </row>
    <row r="388" customFormat="false" ht="15" hidden="false" customHeight="false" outlineLevel="0" collapsed="false">
      <c r="A388" s="119" t="s">
        <v>790</v>
      </c>
      <c r="B388" s="119"/>
      <c r="C388" s="121"/>
      <c r="D388" s="119" t="b">
        <f aca="false">FALSE()</f>
        <v>0</v>
      </c>
      <c r="E388" s="122" t="s">
        <v>1148</v>
      </c>
      <c r="F388" s="119"/>
      <c r="G388" s="119" t="s">
        <v>933</v>
      </c>
      <c r="H388" s="104"/>
      <c r="I388" s="104"/>
      <c r="J388" s="104"/>
      <c r="K388" s="104"/>
      <c r="L388" s="104"/>
      <c r="M388" s="104"/>
      <c r="N388" s="104"/>
      <c r="O388" s="104"/>
      <c r="P388" s="104"/>
      <c r="Q388" s="104"/>
      <c r="R388" s="104"/>
      <c r="S388" s="104"/>
      <c r="T388" s="104"/>
      <c r="U388" s="104"/>
      <c r="V388" s="104"/>
      <c r="W388" s="104"/>
      <c r="X388" s="104"/>
      <c r="Y388" s="104"/>
      <c r="Z388" s="116"/>
      <c r="AA388" s="116"/>
      <c r="AC388" s="116"/>
    </row>
    <row r="389" customFormat="false" ht="15" hidden="false" customHeight="false" outlineLevel="0" collapsed="false">
      <c r="A389" s="119" t="s">
        <v>797</v>
      </c>
      <c r="B389" s="119"/>
      <c r="C389" s="121"/>
      <c r="D389" s="119" t="b">
        <f aca="false">FALSE()</f>
        <v>0</v>
      </c>
      <c r="E389" s="122" t="s">
        <v>1149</v>
      </c>
      <c r="F389" s="119"/>
      <c r="G389" s="119" t="s">
        <v>933</v>
      </c>
      <c r="H389" s="104"/>
      <c r="I389" s="104"/>
      <c r="J389" s="104"/>
      <c r="K389" s="104"/>
      <c r="L389" s="104"/>
      <c r="M389" s="104"/>
      <c r="N389" s="104"/>
      <c r="O389" s="104"/>
      <c r="P389" s="104"/>
      <c r="Q389" s="104"/>
      <c r="R389" s="104"/>
      <c r="S389" s="104"/>
      <c r="T389" s="104"/>
      <c r="U389" s="104"/>
      <c r="V389" s="104"/>
      <c r="W389" s="104"/>
      <c r="X389" s="104"/>
      <c r="Y389" s="104"/>
      <c r="Z389" s="116"/>
      <c r="AA389" s="116"/>
      <c r="AC389" s="116"/>
    </row>
    <row r="390" customFormat="false" ht="15" hidden="false" customHeight="false" outlineLevel="0" collapsed="false">
      <c r="A390" s="119" t="s">
        <v>368</v>
      </c>
      <c r="B390" s="119"/>
      <c r="C390" s="121"/>
      <c r="D390" s="119" t="b">
        <f aca="false">FALSE()</f>
        <v>0</v>
      </c>
      <c r="E390" s="122" t="s">
        <v>930</v>
      </c>
      <c r="F390" s="119"/>
      <c r="G390" s="119" t="s">
        <v>1150</v>
      </c>
      <c r="H390" s="104"/>
      <c r="I390" s="104"/>
      <c r="J390" s="104"/>
      <c r="K390" s="104"/>
      <c r="L390" s="104"/>
      <c r="M390" s="104"/>
      <c r="N390" s="104"/>
      <c r="O390" s="104"/>
      <c r="P390" s="104"/>
      <c r="Q390" s="104"/>
      <c r="R390" s="104"/>
      <c r="S390" s="104"/>
      <c r="T390" s="104"/>
      <c r="U390" s="104"/>
      <c r="V390" s="104"/>
      <c r="W390" s="104"/>
      <c r="X390" s="104"/>
      <c r="Y390" s="104"/>
      <c r="Z390" s="116"/>
      <c r="AA390" s="116"/>
      <c r="AC390" s="116"/>
    </row>
    <row r="391" customFormat="false" ht="15" hidden="false" customHeight="false" outlineLevel="0" collapsed="false">
      <c r="A391" s="119" t="s">
        <v>1151</v>
      </c>
      <c r="B391" s="119"/>
      <c r="C391" s="121"/>
      <c r="D391" s="119" t="b">
        <f aca="false">FALSE()</f>
        <v>0</v>
      </c>
      <c r="E391" s="122" t="s">
        <v>1152</v>
      </c>
      <c r="F391" s="119"/>
      <c r="G391" s="119" t="s">
        <v>933</v>
      </c>
      <c r="H391" s="104"/>
      <c r="I391" s="104"/>
      <c r="J391" s="104"/>
      <c r="K391" s="104"/>
      <c r="L391" s="104"/>
      <c r="M391" s="104"/>
      <c r="N391" s="104"/>
      <c r="O391" s="104"/>
      <c r="P391" s="104"/>
      <c r="Q391" s="104"/>
      <c r="R391" s="104"/>
      <c r="S391" s="104"/>
      <c r="T391" s="104"/>
      <c r="U391" s="104"/>
      <c r="V391" s="104"/>
      <c r="W391" s="104"/>
      <c r="X391" s="104"/>
      <c r="Y391" s="104"/>
      <c r="Z391" s="116"/>
      <c r="AA391" s="116"/>
      <c r="AC391" s="116"/>
    </row>
    <row r="392" customFormat="false" ht="15" hidden="false" customHeight="false" outlineLevel="0" collapsed="false">
      <c r="A392" s="119" t="s">
        <v>579</v>
      </c>
      <c r="B392" s="119"/>
      <c r="C392" s="121"/>
      <c r="D392" s="119" t="b">
        <f aca="false">FALSE()</f>
        <v>0</v>
      </c>
      <c r="E392" s="122" t="s">
        <v>941</v>
      </c>
      <c r="F392" s="119"/>
      <c r="G392" s="119" t="s">
        <v>933</v>
      </c>
      <c r="H392" s="104"/>
      <c r="I392" s="104"/>
      <c r="J392" s="104"/>
      <c r="K392" s="104"/>
      <c r="L392" s="104"/>
      <c r="M392" s="104"/>
      <c r="N392" s="104"/>
      <c r="O392" s="104"/>
      <c r="P392" s="104"/>
      <c r="Q392" s="104"/>
      <c r="R392" s="104"/>
      <c r="S392" s="104"/>
      <c r="T392" s="104"/>
      <c r="U392" s="104"/>
      <c r="V392" s="104"/>
      <c r="W392" s="104"/>
      <c r="X392" s="104"/>
      <c r="Y392" s="104"/>
      <c r="Z392" s="116"/>
      <c r="AA392" s="116"/>
      <c r="AC392" s="116"/>
    </row>
    <row r="393" customFormat="false" ht="15" hidden="false" customHeight="false" outlineLevel="0" collapsed="false">
      <c r="A393" s="119" t="s">
        <v>121</v>
      </c>
      <c r="B393" s="120" t="str">
        <f aca="false">IFERROR(VLOOKUP(A393,CENTRO!$A$4:$L$548,12,0),"")</f>
        <v>MUITO ATRASADO</v>
      </c>
      <c r="C393" s="121" t="str">
        <f aca="false">IFERROR(VLOOKUP(A393,CENTRO!$A$4:$L$137,11,0),"")</f>
        <v/>
      </c>
      <c r="D393" s="119" t="b">
        <f aca="false">FALSE()</f>
        <v>0</v>
      </c>
      <c r="E393" s="122" t="s">
        <v>1153</v>
      </c>
      <c r="F393" s="119"/>
      <c r="G393" s="119" t="s">
        <v>933</v>
      </c>
      <c r="H393" s="104"/>
      <c r="I393" s="104"/>
      <c r="J393" s="104"/>
      <c r="K393" s="104"/>
      <c r="L393" s="104"/>
      <c r="M393" s="104"/>
      <c r="N393" s="104"/>
      <c r="O393" s="104"/>
      <c r="P393" s="104"/>
      <c r="Q393" s="104"/>
      <c r="R393" s="104"/>
      <c r="S393" s="104"/>
      <c r="T393" s="104"/>
      <c r="U393" s="104"/>
      <c r="V393" s="104"/>
      <c r="W393" s="104"/>
      <c r="X393" s="104"/>
      <c r="Y393" s="104"/>
      <c r="Z393" s="104"/>
      <c r="AA393" s="104"/>
      <c r="AC393" s="104"/>
    </row>
    <row r="394" customFormat="false" ht="15" hidden="false" customHeight="false" outlineLevel="0" collapsed="false">
      <c r="A394" s="119" t="s">
        <v>557</v>
      </c>
      <c r="B394" s="120" t="str">
        <f aca="false">IFERROR(VLOOKUP(A394,CENTRO!$A$4:$L$548,12,0),"")</f>
        <v>MUITO ATRASADO</v>
      </c>
      <c r="C394" s="121" t="n">
        <f aca="false">IFERROR(VLOOKUP(A394,CENTRO!$A$4:$L$548,11,0),"")</f>
        <v>448.089743589744</v>
      </c>
      <c r="D394" s="119" t="b">
        <f aca="false">FALSE()</f>
        <v>0</v>
      </c>
      <c r="E394" s="122" t="s">
        <v>1154</v>
      </c>
      <c r="F394" s="119"/>
      <c r="G394" s="119" t="s">
        <v>957</v>
      </c>
      <c r="H394" s="104"/>
      <c r="I394" s="104"/>
      <c r="J394" s="104"/>
      <c r="K394" s="104"/>
      <c r="L394" s="104"/>
      <c r="M394" s="104"/>
      <c r="N394" s="104"/>
      <c r="O394" s="104"/>
      <c r="P394" s="104"/>
      <c r="Q394" s="104"/>
      <c r="R394" s="104"/>
      <c r="S394" s="104"/>
      <c r="T394" s="104"/>
      <c r="U394" s="104"/>
      <c r="V394" s="104"/>
      <c r="W394" s="104"/>
      <c r="X394" s="104"/>
      <c r="Y394" s="104"/>
      <c r="Z394" s="116"/>
      <c r="AA394" s="116"/>
      <c r="AC394" s="116"/>
    </row>
    <row r="395" customFormat="false" ht="15" hidden="false" customHeight="false" outlineLevel="0" collapsed="false">
      <c r="A395" s="119" t="s">
        <v>814</v>
      </c>
      <c r="B395" s="120" t="str">
        <f aca="false">IFERROR(VLOOKUP(A395,CENTRO!$A$4:$L$548,12,0),"")</f>
        <v>MUITO ATRASADO</v>
      </c>
      <c r="C395" s="121" t="str">
        <f aca="false">IFERROR(VLOOKUP(A395,CENTRO!$A$4:$L$137,11,0),"")</f>
        <v/>
      </c>
      <c r="D395" s="119" t="b">
        <f aca="false">FALSE()</f>
        <v>0</v>
      </c>
      <c r="E395" s="122" t="s">
        <v>1001</v>
      </c>
      <c r="F395" s="119"/>
      <c r="G395" s="119" t="s">
        <v>933</v>
      </c>
      <c r="H395" s="119"/>
      <c r="I395" s="119"/>
      <c r="J395" s="119"/>
      <c r="K395" s="119"/>
      <c r="L395" s="119"/>
      <c r="M395" s="119"/>
      <c r="N395" s="119"/>
      <c r="O395" s="119"/>
      <c r="P395" s="119"/>
      <c r="Q395" s="119"/>
      <c r="R395" s="119"/>
      <c r="S395" s="119"/>
      <c r="T395" s="119"/>
      <c r="U395" s="119"/>
      <c r="V395" s="119"/>
      <c r="W395" s="119"/>
      <c r="X395" s="119"/>
      <c r="Y395" s="119"/>
      <c r="Z395" s="108"/>
      <c r="AA395" s="108"/>
      <c r="AC395" s="108"/>
    </row>
    <row r="396" customFormat="false" ht="15" hidden="false" customHeight="false" outlineLevel="0" collapsed="false">
      <c r="A396" s="119" t="s">
        <v>172</v>
      </c>
      <c r="B396" s="119"/>
      <c r="C396" s="121"/>
      <c r="D396" s="119" t="b">
        <f aca="false">FALSE()</f>
        <v>0</v>
      </c>
      <c r="E396" s="122" t="s">
        <v>1155</v>
      </c>
      <c r="F396" s="119"/>
      <c r="G396" s="119" t="s">
        <v>933</v>
      </c>
      <c r="H396" s="119"/>
      <c r="I396" s="119"/>
      <c r="J396" s="119"/>
      <c r="K396" s="119"/>
      <c r="L396" s="119"/>
      <c r="M396" s="119"/>
      <c r="N396" s="119"/>
      <c r="O396" s="119"/>
      <c r="P396" s="119"/>
      <c r="Q396" s="119"/>
      <c r="R396" s="119"/>
      <c r="S396" s="119"/>
      <c r="T396" s="119"/>
      <c r="U396" s="119"/>
      <c r="V396" s="119"/>
      <c r="W396" s="119"/>
      <c r="X396" s="119"/>
      <c r="Y396" s="119"/>
      <c r="Z396" s="108"/>
      <c r="AA396" s="108"/>
      <c r="AC396" s="108"/>
    </row>
    <row r="397" customFormat="false" ht="15" hidden="false" customHeight="false" outlineLevel="0" collapsed="false">
      <c r="A397" s="119" t="s">
        <v>724</v>
      </c>
      <c r="B397" s="120" t="str">
        <f aca="false">IFERROR(VLOOKUP(A397,CENTRO!$A$4:$L$548,12,0),"")</f>
        <v>MUITO ATRASADO</v>
      </c>
      <c r="C397" s="121" t="str">
        <f aca="false">IFERROR(VLOOKUP(A397,CENTRO!$A$4:$L$137,11,0),"")</f>
        <v/>
      </c>
      <c r="D397" s="119" t="b">
        <f aca="false">FALSE()</f>
        <v>0</v>
      </c>
      <c r="E397" s="122" t="s">
        <v>1001</v>
      </c>
      <c r="F397" s="119"/>
      <c r="G397" s="119" t="s">
        <v>933</v>
      </c>
      <c r="H397" s="119"/>
      <c r="I397" s="119"/>
      <c r="J397" s="119"/>
      <c r="K397" s="119"/>
      <c r="L397" s="119"/>
      <c r="M397" s="119"/>
      <c r="N397" s="119"/>
      <c r="O397" s="119"/>
      <c r="P397" s="119"/>
      <c r="Q397" s="119"/>
      <c r="R397" s="119"/>
      <c r="S397" s="119"/>
      <c r="T397" s="119"/>
      <c r="U397" s="119"/>
      <c r="V397" s="119"/>
      <c r="W397" s="119"/>
      <c r="X397" s="119"/>
      <c r="Y397" s="119"/>
      <c r="Z397" s="108"/>
      <c r="AA397" s="108"/>
      <c r="AC397" s="108"/>
    </row>
    <row r="398" customFormat="false" ht="15" hidden="false" customHeight="false" outlineLevel="0" collapsed="false">
      <c r="A398" s="119" t="s">
        <v>550</v>
      </c>
      <c r="B398" s="119"/>
      <c r="C398" s="121"/>
      <c r="D398" s="119" t="b">
        <f aca="false">FALSE()</f>
        <v>0</v>
      </c>
      <c r="E398" s="122" t="s">
        <v>1156</v>
      </c>
      <c r="F398" s="119"/>
      <c r="G398" s="119" t="s">
        <v>933</v>
      </c>
      <c r="H398" s="119"/>
      <c r="I398" s="119"/>
      <c r="J398" s="119"/>
      <c r="K398" s="119"/>
      <c r="L398" s="119"/>
      <c r="M398" s="119"/>
      <c r="N398" s="119"/>
      <c r="O398" s="119"/>
      <c r="P398" s="119"/>
      <c r="Q398" s="119"/>
      <c r="R398" s="119"/>
      <c r="S398" s="119"/>
      <c r="T398" s="119"/>
      <c r="U398" s="119"/>
      <c r="V398" s="119"/>
      <c r="W398" s="119"/>
      <c r="X398" s="119"/>
      <c r="Y398" s="119"/>
      <c r="Z398" s="108"/>
      <c r="AA398" s="108"/>
      <c r="AC398" s="108"/>
    </row>
    <row r="399" customFormat="false" ht="15" hidden="false" customHeight="false" outlineLevel="0" collapsed="false">
      <c r="A399" s="119" t="s">
        <v>1157</v>
      </c>
      <c r="B399" s="119"/>
      <c r="C399" s="121"/>
      <c r="D399" s="119" t="b">
        <f aca="false">FALSE()</f>
        <v>0</v>
      </c>
      <c r="E399" s="122" t="s">
        <v>960</v>
      </c>
      <c r="F399" s="119"/>
      <c r="G399" s="119" t="s">
        <v>933</v>
      </c>
      <c r="H399" s="119"/>
      <c r="I399" s="119"/>
      <c r="J399" s="119"/>
      <c r="K399" s="119"/>
      <c r="L399" s="119"/>
      <c r="M399" s="119"/>
      <c r="N399" s="119"/>
      <c r="O399" s="119"/>
      <c r="P399" s="119"/>
      <c r="Q399" s="119"/>
      <c r="R399" s="119"/>
      <c r="S399" s="119"/>
      <c r="T399" s="119"/>
      <c r="U399" s="119"/>
      <c r="V399" s="119"/>
      <c r="W399" s="119"/>
      <c r="X399" s="119"/>
      <c r="Y399" s="119"/>
      <c r="Z399" s="108"/>
      <c r="AA399" s="108"/>
      <c r="AC399" s="108"/>
    </row>
    <row r="400" customFormat="false" ht="15" hidden="false" customHeight="false" outlineLevel="0" collapsed="false">
      <c r="A400" s="119" t="s">
        <v>1158</v>
      </c>
      <c r="B400" s="119"/>
      <c r="C400" s="121"/>
      <c r="D400" s="119" t="b">
        <f aca="false">FALSE()</f>
        <v>0</v>
      </c>
      <c r="E400" s="122" t="s">
        <v>941</v>
      </c>
      <c r="F400" s="119"/>
      <c r="G400" s="119" t="s">
        <v>933</v>
      </c>
      <c r="H400" s="119"/>
      <c r="I400" s="119"/>
      <c r="J400" s="119"/>
      <c r="K400" s="119"/>
      <c r="L400" s="119"/>
      <c r="M400" s="119"/>
      <c r="N400" s="119"/>
      <c r="O400" s="119"/>
      <c r="P400" s="119"/>
      <c r="Q400" s="119"/>
      <c r="R400" s="119"/>
      <c r="S400" s="119"/>
      <c r="T400" s="119"/>
      <c r="U400" s="119"/>
      <c r="V400" s="119"/>
      <c r="W400" s="119"/>
      <c r="X400" s="119"/>
      <c r="Y400" s="119"/>
      <c r="Z400" s="108"/>
      <c r="AA400" s="108"/>
      <c r="AC400" s="108"/>
    </row>
    <row r="401" customFormat="false" ht="15" hidden="false" customHeight="false" outlineLevel="0" collapsed="false">
      <c r="A401" s="119" t="s">
        <v>653</v>
      </c>
      <c r="B401" s="119"/>
      <c r="C401" s="121"/>
      <c r="D401" s="119" t="b">
        <f aca="false">FALSE()</f>
        <v>0</v>
      </c>
      <c r="E401" s="122" t="s">
        <v>941</v>
      </c>
      <c r="F401" s="119"/>
      <c r="G401" s="119" t="s">
        <v>933</v>
      </c>
      <c r="H401" s="119"/>
      <c r="I401" s="119"/>
      <c r="J401" s="119"/>
      <c r="K401" s="119"/>
      <c r="L401" s="119"/>
      <c r="M401" s="119"/>
      <c r="N401" s="119"/>
      <c r="O401" s="119"/>
      <c r="P401" s="119"/>
      <c r="Q401" s="119"/>
      <c r="R401" s="119"/>
      <c r="S401" s="119"/>
      <c r="T401" s="119"/>
      <c r="U401" s="119"/>
      <c r="V401" s="119"/>
      <c r="W401" s="119"/>
      <c r="X401" s="119"/>
      <c r="Y401" s="119"/>
      <c r="Z401" s="108"/>
      <c r="AA401" s="108"/>
      <c r="AC401" s="108"/>
    </row>
    <row r="402" customFormat="false" ht="15" hidden="false" customHeight="false" outlineLevel="0" collapsed="false">
      <c r="A402" s="119" t="s">
        <v>1159</v>
      </c>
      <c r="B402" s="119"/>
      <c r="C402" s="121"/>
      <c r="D402" s="119" t="b">
        <f aca="false">FALSE()</f>
        <v>0</v>
      </c>
      <c r="E402" s="122" t="s">
        <v>1160</v>
      </c>
      <c r="F402" s="119"/>
      <c r="G402" s="119" t="s">
        <v>933</v>
      </c>
      <c r="H402" s="119"/>
      <c r="I402" s="119"/>
      <c r="J402" s="119"/>
      <c r="K402" s="119"/>
      <c r="L402" s="119"/>
      <c r="M402" s="119"/>
      <c r="N402" s="119"/>
      <c r="O402" s="119"/>
      <c r="P402" s="119"/>
      <c r="Q402" s="119"/>
      <c r="R402" s="119"/>
      <c r="S402" s="119"/>
      <c r="T402" s="119"/>
      <c r="U402" s="119"/>
      <c r="V402" s="119"/>
      <c r="W402" s="119"/>
      <c r="X402" s="119"/>
      <c r="Y402" s="119"/>
      <c r="Z402" s="108"/>
      <c r="AA402" s="108"/>
      <c r="AC402" s="108"/>
    </row>
    <row r="403" customFormat="false" ht="15" hidden="false" customHeight="false" outlineLevel="0" collapsed="false">
      <c r="A403" s="119" t="s">
        <v>691</v>
      </c>
      <c r="B403" s="119"/>
      <c r="C403" s="121"/>
      <c r="D403" s="119" t="b">
        <f aca="false">FALSE()</f>
        <v>0</v>
      </c>
      <c r="E403" s="122" t="s">
        <v>1161</v>
      </c>
      <c r="F403" s="119"/>
      <c r="G403" s="119" t="s">
        <v>933</v>
      </c>
      <c r="H403" s="119"/>
      <c r="I403" s="119"/>
      <c r="J403" s="119"/>
      <c r="K403" s="119"/>
      <c r="L403" s="119"/>
      <c r="M403" s="119"/>
      <c r="N403" s="119"/>
      <c r="O403" s="119"/>
      <c r="P403" s="119"/>
      <c r="Q403" s="119"/>
      <c r="R403" s="119"/>
      <c r="S403" s="119"/>
      <c r="T403" s="119"/>
      <c r="U403" s="119"/>
      <c r="V403" s="119"/>
      <c r="W403" s="119"/>
      <c r="X403" s="119"/>
      <c r="Y403" s="119"/>
      <c r="Z403" s="108"/>
      <c r="AA403" s="108"/>
      <c r="AC403" s="108"/>
    </row>
    <row r="404" customFormat="false" ht="15" hidden="false" customHeight="false" outlineLevel="0" collapsed="false">
      <c r="A404" s="119" t="s">
        <v>718</v>
      </c>
      <c r="B404" s="119"/>
      <c r="C404" s="121"/>
      <c r="D404" s="119" t="b">
        <f aca="false">FALSE()</f>
        <v>0</v>
      </c>
      <c r="E404" s="122" t="s">
        <v>1162</v>
      </c>
      <c r="F404" s="119"/>
      <c r="G404" s="119" t="s">
        <v>933</v>
      </c>
      <c r="H404" s="119"/>
      <c r="I404" s="119"/>
      <c r="J404" s="119"/>
      <c r="K404" s="119"/>
      <c r="L404" s="119"/>
      <c r="M404" s="119"/>
      <c r="N404" s="119"/>
      <c r="O404" s="119"/>
      <c r="P404" s="119"/>
      <c r="Q404" s="119"/>
      <c r="R404" s="119"/>
      <c r="S404" s="119"/>
      <c r="T404" s="119"/>
      <c r="U404" s="119"/>
      <c r="V404" s="119"/>
      <c r="W404" s="119"/>
      <c r="X404" s="119"/>
      <c r="Y404" s="119"/>
      <c r="Z404" s="108"/>
      <c r="AA404" s="108"/>
      <c r="AC404" s="108"/>
    </row>
    <row r="405" customFormat="false" ht="15" hidden="false" customHeight="false" outlineLevel="0" collapsed="false">
      <c r="A405" s="119" t="s">
        <v>1163</v>
      </c>
      <c r="B405" s="119"/>
      <c r="C405" s="121"/>
      <c r="D405" s="119" t="b">
        <f aca="false">FALSE()</f>
        <v>0</v>
      </c>
      <c r="E405" s="122" t="s">
        <v>1164</v>
      </c>
      <c r="F405" s="119"/>
      <c r="G405" s="119" t="s">
        <v>933</v>
      </c>
      <c r="H405" s="119"/>
      <c r="I405" s="119"/>
      <c r="J405" s="119"/>
      <c r="K405" s="119"/>
      <c r="L405" s="119"/>
      <c r="M405" s="119"/>
      <c r="N405" s="119"/>
      <c r="O405" s="119"/>
      <c r="P405" s="119"/>
      <c r="Q405" s="119"/>
      <c r="R405" s="119"/>
      <c r="S405" s="119"/>
      <c r="T405" s="119"/>
      <c r="U405" s="119"/>
      <c r="V405" s="119"/>
      <c r="W405" s="119"/>
      <c r="X405" s="119"/>
      <c r="Y405" s="119"/>
      <c r="Z405" s="108"/>
      <c r="AA405" s="108"/>
      <c r="AC405" s="108"/>
    </row>
    <row r="406" customFormat="false" ht="15" hidden="false" customHeight="false" outlineLevel="0" collapsed="false">
      <c r="A406" s="119" t="s">
        <v>1165</v>
      </c>
      <c r="B406" s="119"/>
      <c r="C406" s="121"/>
      <c r="D406" s="119" t="b">
        <f aca="false">FALSE()</f>
        <v>0</v>
      </c>
      <c r="E406" s="163" t="s">
        <v>922</v>
      </c>
      <c r="F406" s="119"/>
      <c r="G406" s="119" t="s">
        <v>933</v>
      </c>
      <c r="H406" s="119"/>
      <c r="I406" s="119"/>
      <c r="J406" s="119"/>
      <c r="K406" s="119"/>
      <c r="L406" s="119"/>
      <c r="M406" s="119"/>
      <c r="N406" s="119"/>
      <c r="O406" s="119"/>
      <c r="P406" s="119"/>
      <c r="Q406" s="119"/>
      <c r="R406" s="119"/>
      <c r="S406" s="119"/>
      <c r="T406" s="119"/>
      <c r="U406" s="119"/>
      <c r="V406" s="119"/>
      <c r="W406" s="119"/>
      <c r="X406" s="119"/>
      <c r="Y406" s="119"/>
      <c r="Z406" s="108"/>
      <c r="AA406" s="108"/>
      <c r="AC406" s="108"/>
    </row>
    <row r="407" customFormat="false" ht="15" hidden="false" customHeight="false" outlineLevel="0" collapsed="false">
      <c r="A407" s="119" t="s">
        <v>755</v>
      </c>
      <c r="B407" s="119"/>
      <c r="C407" s="121"/>
      <c r="D407" s="119" t="b">
        <f aca="false">FALSE()</f>
        <v>0</v>
      </c>
      <c r="E407" s="122" t="s">
        <v>922</v>
      </c>
      <c r="F407" s="119"/>
      <c r="G407" s="119" t="s">
        <v>933</v>
      </c>
      <c r="H407" s="119"/>
      <c r="I407" s="119"/>
      <c r="J407" s="119"/>
      <c r="K407" s="119"/>
      <c r="L407" s="119"/>
      <c r="M407" s="119"/>
      <c r="N407" s="119"/>
      <c r="O407" s="119"/>
      <c r="P407" s="119"/>
      <c r="Q407" s="119"/>
      <c r="R407" s="119"/>
      <c r="S407" s="119"/>
      <c r="T407" s="119"/>
      <c r="U407" s="119"/>
      <c r="V407" s="119"/>
      <c r="W407" s="119"/>
      <c r="X407" s="119"/>
      <c r="Y407" s="119"/>
      <c r="Z407" s="108"/>
      <c r="AA407" s="108"/>
      <c r="AC407" s="108"/>
    </row>
    <row r="408" customFormat="false" ht="15" hidden="false" customHeight="false" outlineLevel="0" collapsed="false">
      <c r="A408" s="119" t="s">
        <v>705</v>
      </c>
      <c r="B408" s="119"/>
      <c r="C408" s="121"/>
      <c r="D408" s="119" t="b">
        <f aca="false">FALSE()</f>
        <v>0</v>
      </c>
      <c r="E408" s="122" t="s">
        <v>1166</v>
      </c>
      <c r="F408" s="119"/>
      <c r="G408" s="119" t="s">
        <v>933</v>
      </c>
      <c r="H408" s="119"/>
      <c r="I408" s="119"/>
      <c r="J408" s="119"/>
      <c r="K408" s="119"/>
      <c r="L408" s="119"/>
      <c r="M408" s="119"/>
      <c r="N408" s="119"/>
      <c r="O408" s="119"/>
      <c r="P408" s="119"/>
      <c r="Q408" s="119"/>
      <c r="R408" s="119"/>
      <c r="S408" s="119"/>
      <c r="T408" s="119"/>
      <c r="U408" s="119"/>
      <c r="V408" s="119"/>
      <c r="W408" s="119"/>
      <c r="X408" s="119"/>
      <c r="Y408" s="119"/>
      <c r="Z408" s="108"/>
      <c r="AA408" s="108"/>
      <c r="AC408" s="108"/>
    </row>
    <row r="409" customFormat="false" ht="15" hidden="false" customHeight="false" outlineLevel="0" collapsed="false">
      <c r="A409" s="119" t="s">
        <v>531</v>
      </c>
      <c r="B409" s="119"/>
      <c r="C409" s="121"/>
      <c r="D409" s="119" t="b">
        <f aca="false">FALSE()</f>
        <v>0</v>
      </c>
      <c r="E409" s="122" t="s">
        <v>1167</v>
      </c>
      <c r="F409" s="119"/>
      <c r="G409" s="119" t="s">
        <v>933</v>
      </c>
      <c r="H409" s="119"/>
      <c r="I409" s="119"/>
      <c r="J409" s="119"/>
      <c r="K409" s="119"/>
      <c r="L409" s="119"/>
      <c r="M409" s="119"/>
      <c r="N409" s="119"/>
      <c r="O409" s="119"/>
      <c r="P409" s="119"/>
      <c r="Q409" s="119"/>
      <c r="R409" s="119"/>
      <c r="S409" s="119"/>
      <c r="T409" s="119"/>
      <c r="U409" s="119"/>
      <c r="V409" s="119"/>
      <c r="W409" s="119"/>
      <c r="X409" s="119"/>
      <c r="Y409" s="119"/>
      <c r="Z409" s="108"/>
      <c r="AA409" s="108"/>
      <c r="AC409" s="108"/>
    </row>
    <row r="410" customFormat="false" ht="15" hidden="false" customHeight="false" outlineLevel="0" collapsed="false">
      <c r="A410" s="133" t="s">
        <v>583</v>
      </c>
      <c r="B410" s="119"/>
      <c r="C410" s="121"/>
      <c r="D410" s="119" t="b">
        <f aca="false">FALSE()</f>
        <v>0</v>
      </c>
      <c r="E410" s="122" t="s">
        <v>1168</v>
      </c>
      <c r="F410" s="119"/>
      <c r="G410" s="119" t="s">
        <v>933</v>
      </c>
      <c r="H410" s="119"/>
      <c r="I410" s="119"/>
      <c r="J410" s="119"/>
      <c r="K410" s="119"/>
      <c r="L410" s="119"/>
      <c r="M410" s="119"/>
      <c r="N410" s="119"/>
      <c r="O410" s="119"/>
      <c r="P410" s="119"/>
      <c r="Q410" s="119"/>
      <c r="R410" s="119"/>
      <c r="S410" s="119"/>
      <c r="T410" s="119"/>
      <c r="U410" s="119"/>
      <c r="V410" s="119"/>
      <c r="W410" s="119"/>
      <c r="X410" s="119"/>
      <c r="Y410" s="119"/>
      <c r="Z410" s="108"/>
      <c r="AA410" s="108"/>
      <c r="AC410" s="108"/>
    </row>
    <row r="411" customFormat="false" ht="15" hidden="false" customHeight="false" outlineLevel="0" collapsed="false">
      <c r="A411" s="133" t="s">
        <v>592</v>
      </c>
      <c r="B411" s="119"/>
      <c r="C411" s="121"/>
      <c r="D411" s="119" t="b">
        <f aca="false">FALSE()</f>
        <v>0</v>
      </c>
      <c r="E411" s="122" t="s">
        <v>1168</v>
      </c>
      <c r="F411" s="119"/>
      <c r="G411" s="119" t="s">
        <v>933</v>
      </c>
      <c r="H411" s="119"/>
      <c r="I411" s="119"/>
      <c r="J411" s="119"/>
      <c r="K411" s="119"/>
      <c r="L411" s="119"/>
      <c r="M411" s="119"/>
      <c r="N411" s="119"/>
      <c r="O411" s="119"/>
      <c r="P411" s="119"/>
      <c r="Q411" s="119"/>
      <c r="R411" s="119"/>
      <c r="S411" s="119"/>
      <c r="T411" s="119"/>
      <c r="U411" s="119"/>
      <c r="V411" s="119"/>
      <c r="W411" s="119"/>
      <c r="X411" s="119"/>
      <c r="Y411" s="119"/>
      <c r="Z411" s="108"/>
      <c r="AA411" s="108"/>
      <c r="AC411" s="108"/>
    </row>
    <row r="412" customFormat="false" ht="15" hidden="false" customHeight="false" outlineLevel="0" collapsed="false">
      <c r="A412" s="133" t="s">
        <v>1169</v>
      </c>
      <c r="B412" s="119"/>
      <c r="C412" s="121"/>
      <c r="D412" s="119" t="b">
        <f aca="false">FALSE()</f>
        <v>0</v>
      </c>
      <c r="E412" s="122" t="s">
        <v>1170</v>
      </c>
      <c r="F412" s="119"/>
      <c r="G412" s="119" t="s">
        <v>933</v>
      </c>
      <c r="H412" s="119"/>
      <c r="I412" s="119"/>
      <c r="J412" s="119"/>
      <c r="K412" s="119"/>
      <c r="L412" s="119"/>
      <c r="M412" s="119"/>
      <c r="N412" s="119"/>
      <c r="O412" s="119"/>
      <c r="P412" s="119"/>
      <c r="Q412" s="119"/>
      <c r="R412" s="119"/>
      <c r="S412" s="119"/>
      <c r="T412" s="119"/>
      <c r="U412" s="119"/>
      <c r="V412" s="119"/>
      <c r="W412" s="119"/>
      <c r="X412" s="119"/>
      <c r="Y412" s="119"/>
      <c r="Z412" s="108"/>
      <c r="AA412" s="108"/>
      <c r="AC412" s="108"/>
    </row>
    <row r="413" customFormat="false" ht="15" hidden="false" customHeight="false" outlineLevel="0" collapsed="false">
      <c r="A413" s="119" t="s">
        <v>739</v>
      </c>
      <c r="B413" s="119"/>
      <c r="C413" s="121"/>
      <c r="D413" s="119" t="b">
        <f aca="false">FALSE()</f>
        <v>0</v>
      </c>
      <c r="E413" s="122" t="s">
        <v>941</v>
      </c>
      <c r="F413" s="119"/>
      <c r="G413" s="119" t="s">
        <v>933</v>
      </c>
      <c r="H413" s="119"/>
      <c r="I413" s="119"/>
      <c r="J413" s="119"/>
      <c r="K413" s="119"/>
      <c r="L413" s="119"/>
      <c r="M413" s="119"/>
      <c r="N413" s="119"/>
      <c r="O413" s="119"/>
      <c r="P413" s="119"/>
      <c r="Q413" s="119"/>
      <c r="R413" s="119"/>
      <c r="S413" s="119"/>
      <c r="T413" s="119"/>
      <c r="U413" s="119"/>
      <c r="V413" s="119"/>
      <c r="W413" s="119"/>
      <c r="X413" s="119"/>
      <c r="Y413" s="119"/>
      <c r="Z413" s="108"/>
      <c r="AA413" s="108"/>
      <c r="AC413" s="108"/>
    </row>
    <row r="414" customFormat="false" ht="15" hidden="false" customHeight="false" outlineLevel="0" collapsed="false">
      <c r="A414" s="135" t="s">
        <v>711</v>
      </c>
      <c r="B414" s="119"/>
      <c r="C414" s="121"/>
      <c r="D414" s="104" t="b">
        <f aca="false">FALSE()</f>
        <v>0</v>
      </c>
      <c r="E414" s="122" t="s">
        <v>960</v>
      </c>
      <c r="F414" s="119"/>
      <c r="G414" s="119" t="s">
        <v>933</v>
      </c>
      <c r="H414" s="104"/>
      <c r="I414" s="104"/>
      <c r="J414" s="104"/>
      <c r="K414" s="104"/>
      <c r="L414" s="104"/>
      <c r="M414" s="104"/>
      <c r="N414" s="104"/>
      <c r="O414" s="104"/>
      <c r="P414" s="104"/>
      <c r="Q414" s="104"/>
      <c r="R414" s="104"/>
      <c r="S414" s="104"/>
      <c r="T414" s="104"/>
      <c r="U414" s="104"/>
      <c r="V414" s="104"/>
      <c r="W414" s="104"/>
      <c r="X414" s="104"/>
      <c r="Y414" s="104"/>
      <c r="Z414" s="104"/>
      <c r="AA414" s="104"/>
      <c r="AC414" s="104"/>
    </row>
    <row r="415" customFormat="false" ht="15" hidden="false" customHeight="false" outlineLevel="0" collapsed="false">
      <c r="A415" s="119" t="s">
        <v>782</v>
      </c>
      <c r="B415" s="120" t="str">
        <f aca="false">IFERROR(VLOOKUP(A415,CENTRO!$A$4:$L$548,12,0),"")</f>
        <v>MUITO ATRASADO</v>
      </c>
      <c r="C415" s="121" t="n">
        <f aca="false">IFERROR(VLOOKUP(A415,CENTRO!$A$4:$L$548,11,0),"")</f>
        <v>139.721881390593</v>
      </c>
      <c r="D415" s="119" t="b">
        <f aca="false">FALSE()</f>
        <v>0</v>
      </c>
      <c r="E415" s="122" t="s">
        <v>1085</v>
      </c>
      <c r="F415" s="119"/>
      <c r="G415" s="119" t="s">
        <v>917</v>
      </c>
      <c r="H415" s="104"/>
      <c r="I415" s="104"/>
      <c r="J415" s="104"/>
      <c r="K415" s="104"/>
      <c r="L415" s="104"/>
      <c r="M415" s="104"/>
      <c r="N415" s="104"/>
      <c r="O415" s="104"/>
      <c r="P415" s="104"/>
      <c r="Q415" s="104"/>
      <c r="R415" s="104"/>
      <c r="S415" s="104"/>
      <c r="T415" s="104"/>
      <c r="U415" s="104"/>
      <c r="V415" s="104"/>
      <c r="W415" s="104"/>
      <c r="X415" s="104"/>
      <c r="Y415" s="104"/>
      <c r="Z415" s="104"/>
      <c r="AA415" s="104"/>
      <c r="AC415" s="104"/>
    </row>
    <row r="416" customFormat="false" ht="15" hidden="false" customHeight="false" outlineLevel="0" collapsed="false">
      <c r="A416" s="119" t="s">
        <v>745</v>
      </c>
      <c r="B416" s="120" t="str">
        <f aca="false">IFERROR(VLOOKUP(A416,CENTRO!$A$4:$L$548,12,0),"")</f>
        <v>MUITO ATRASADO</v>
      </c>
      <c r="C416" s="121" t="str">
        <f aca="false">IFERROR(VLOOKUP(A416,CENTRO!$A$4:$L$137,11,0),"")</f>
        <v/>
      </c>
      <c r="D416" s="119" t="b">
        <f aca="false">FALSE()</f>
        <v>0</v>
      </c>
      <c r="E416" s="122" t="s">
        <v>986</v>
      </c>
      <c r="F416" s="119"/>
      <c r="G416" s="119" t="s">
        <v>917</v>
      </c>
      <c r="H416" s="104"/>
      <c r="I416" s="104"/>
      <c r="J416" s="104"/>
      <c r="K416" s="104"/>
      <c r="L416" s="104"/>
      <c r="M416" s="104"/>
      <c r="N416" s="104"/>
      <c r="O416" s="104"/>
      <c r="P416" s="104"/>
      <c r="Q416" s="104"/>
      <c r="R416" s="104"/>
      <c r="S416" s="104"/>
      <c r="T416" s="104"/>
      <c r="U416" s="104"/>
      <c r="V416" s="104"/>
      <c r="W416" s="104"/>
      <c r="X416" s="104"/>
      <c r="Y416" s="104"/>
      <c r="Z416" s="104"/>
      <c r="AA416" s="104"/>
      <c r="AC416" s="104"/>
    </row>
    <row r="417" customFormat="false" ht="15" hidden="false" customHeight="false" outlineLevel="0" collapsed="false">
      <c r="A417" s="136" t="s">
        <v>396</v>
      </c>
      <c r="B417" s="136"/>
      <c r="C417" s="137"/>
      <c r="D417" s="119" t="b">
        <f aca="false">FALSE()</f>
        <v>0</v>
      </c>
      <c r="E417" s="122" t="s">
        <v>922</v>
      </c>
      <c r="F417" s="136"/>
      <c r="G417" s="119" t="s">
        <v>917</v>
      </c>
      <c r="H417" s="104"/>
      <c r="I417" s="104"/>
      <c r="J417" s="104"/>
      <c r="K417" s="104"/>
      <c r="L417" s="104"/>
      <c r="M417" s="104"/>
      <c r="N417" s="104"/>
      <c r="O417" s="104"/>
      <c r="P417" s="104"/>
      <c r="Q417" s="104"/>
      <c r="R417" s="104"/>
      <c r="S417" s="104"/>
      <c r="T417" s="104"/>
      <c r="U417" s="104"/>
      <c r="V417" s="104"/>
      <c r="W417" s="104"/>
      <c r="X417" s="104"/>
      <c r="Y417" s="104"/>
      <c r="Z417" s="116"/>
      <c r="AA417" s="116"/>
      <c r="AC417" s="116"/>
    </row>
    <row r="418" customFormat="false" ht="15" hidden="false" customHeight="false" outlineLevel="0" collapsed="false">
      <c r="A418" s="153" t="s">
        <v>705</v>
      </c>
      <c r="B418" s="136"/>
      <c r="C418" s="137"/>
      <c r="D418" s="119" t="b">
        <f aca="false">FALSE()</f>
        <v>0</v>
      </c>
      <c r="E418" s="122" t="s">
        <v>922</v>
      </c>
      <c r="F418" s="136"/>
      <c r="G418" s="119" t="s">
        <v>917</v>
      </c>
      <c r="H418" s="104"/>
      <c r="I418" s="104"/>
      <c r="J418" s="104"/>
      <c r="K418" s="104"/>
      <c r="L418" s="104"/>
      <c r="M418" s="104"/>
      <c r="N418" s="104"/>
      <c r="O418" s="104"/>
      <c r="P418" s="104"/>
      <c r="Q418" s="104"/>
      <c r="R418" s="104"/>
      <c r="S418" s="104"/>
      <c r="T418" s="104"/>
      <c r="U418" s="104"/>
      <c r="V418" s="104"/>
      <c r="W418" s="104"/>
      <c r="X418" s="104"/>
      <c r="Y418" s="104"/>
      <c r="Z418" s="104"/>
      <c r="AA418" s="104"/>
      <c r="AC418" s="104"/>
    </row>
    <row r="419" customFormat="false" ht="15" hidden="false" customHeight="false" outlineLevel="0" collapsed="false">
      <c r="A419" s="104" t="s">
        <v>627</v>
      </c>
      <c r="B419" s="120" t="str">
        <f aca="false">IFERROR(VLOOKUP(A419,CENTRO!$A$4:$L$548,12,0),"")</f>
        <v>MUITO ATRASADO</v>
      </c>
      <c r="C419" s="121" t="str">
        <f aca="false">IFERROR(VLOOKUP(A419,CENTRO!$A$4:$L$137,11,0),"")</f>
        <v/>
      </c>
      <c r="D419" s="119" t="b">
        <f aca="false">FALSE()</f>
        <v>0</v>
      </c>
      <c r="E419" s="122" t="s">
        <v>918</v>
      </c>
      <c r="F419" s="119"/>
      <c r="G419" s="119" t="s">
        <v>917</v>
      </c>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row>
    <row r="420" customFormat="false" ht="15" hidden="false" customHeight="false" outlineLevel="0" collapsed="false">
      <c r="A420" s="119" t="s">
        <v>680</v>
      </c>
      <c r="B420" s="120" t="str">
        <f aca="false">IFERROR(VLOOKUP(A420,CENTRO!$A$4:$L$548,12,0),"")</f>
        <v>MUITO ATRASADO</v>
      </c>
      <c r="C420" s="121" t="n">
        <f aca="false">IFERROR(VLOOKUP(A420,CENTRO!$A$4:$L$548,11,0),"")</f>
        <v>130.046332046332</v>
      </c>
      <c r="D420" s="119" t="b">
        <f aca="false">FALSE()</f>
        <v>0</v>
      </c>
      <c r="E420" s="122" t="s">
        <v>922</v>
      </c>
      <c r="F420" s="119"/>
      <c r="G420" s="119" t="s">
        <v>917</v>
      </c>
      <c r="H420" s="104"/>
      <c r="I420" s="104"/>
      <c r="J420" s="104"/>
      <c r="K420" s="104"/>
      <c r="L420" s="104"/>
      <c r="M420" s="104"/>
      <c r="N420" s="104"/>
      <c r="O420" s="104"/>
      <c r="P420" s="104"/>
      <c r="Q420" s="104"/>
      <c r="R420" s="104"/>
      <c r="S420" s="104"/>
      <c r="T420" s="104"/>
      <c r="U420" s="104"/>
      <c r="V420" s="104"/>
      <c r="W420" s="104"/>
      <c r="X420" s="104"/>
      <c r="Y420" s="104"/>
      <c r="Z420" s="116"/>
      <c r="AA420" s="116"/>
      <c r="AB420" s="116"/>
      <c r="AC420" s="116"/>
    </row>
    <row r="421" customFormat="false" ht="15" hidden="false" customHeight="false" outlineLevel="0" collapsed="false">
      <c r="A421" s="119" t="s">
        <v>471</v>
      </c>
      <c r="B421" s="119"/>
      <c r="C421" s="121"/>
      <c r="D421" s="119" t="b">
        <f aca="false">FALSE()</f>
        <v>0</v>
      </c>
      <c r="E421" s="122" t="s">
        <v>930</v>
      </c>
      <c r="F421" s="119"/>
      <c r="G421" s="119" t="s">
        <v>917</v>
      </c>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row>
    <row r="422" customFormat="false" ht="15" hidden="false" customHeight="false" outlineLevel="0" collapsed="false">
      <c r="A422" s="180" t="s">
        <v>553</v>
      </c>
      <c r="B422" s="119"/>
      <c r="C422" s="119"/>
      <c r="D422" s="119" t="b">
        <f aca="false">FALSE()</f>
        <v>0</v>
      </c>
      <c r="E422" s="122" t="s">
        <v>930</v>
      </c>
      <c r="F422" s="119"/>
      <c r="G422" s="119" t="s">
        <v>917</v>
      </c>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row>
    <row r="423" customFormat="false" ht="15" hidden="false" customHeight="false" outlineLevel="0" collapsed="false">
      <c r="A423" s="104" t="s">
        <v>243</v>
      </c>
      <c r="B423" s="120" t="str">
        <f aca="false">IFERROR(VLOOKUP(A423,CENTRO!$A$4:$L$548,12,0),"")</f>
        <v/>
      </c>
      <c r="C423" s="121" t="str">
        <f aca="false">IFERROR(VLOOKUP(A423,CENTRO!$A$4:$L$137,11,0),"")</f>
        <v/>
      </c>
      <c r="D423" s="119" t="b">
        <f aca="false">FALSE()</f>
        <v>0</v>
      </c>
      <c r="E423" s="122" t="s">
        <v>918</v>
      </c>
      <c r="F423" s="119"/>
      <c r="G423" s="119" t="s">
        <v>917</v>
      </c>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row>
    <row r="424" customFormat="false" ht="15" hidden="false" customHeight="false" outlineLevel="0" collapsed="false">
      <c r="A424" s="119" t="s">
        <v>1171</v>
      </c>
      <c r="B424" s="120" t="str">
        <f aca="false">IFERROR(VLOOKUP(A424,CENTRO!$A$4:$L$548,12,0),"")</f>
        <v/>
      </c>
      <c r="C424" s="121" t="str">
        <f aca="false">IFERROR(VLOOKUP(A424,CENTRO!$A$4:$L$137,11,0),"")</f>
        <v/>
      </c>
      <c r="D424" s="119" t="b">
        <f aca="false">FALSE()</f>
        <v>0</v>
      </c>
      <c r="E424" s="122" t="s">
        <v>918</v>
      </c>
      <c r="F424" s="119"/>
      <c r="G424" s="119" t="s">
        <v>917</v>
      </c>
      <c r="H424" s="104"/>
      <c r="I424" s="104"/>
      <c r="J424" s="104"/>
      <c r="K424" s="104"/>
      <c r="L424" s="104"/>
      <c r="M424" s="104"/>
      <c r="N424" s="104"/>
      <c r="O424" s="104"/>
      <c r="P424" s="104"/>
      <c r="Q424" s="104"/>
      <c r="R424" s="104"/>
      <c r="S424" s="104"/>
      <c r="T424" s="104"/>
      <c r="U424" s="104"/>
      <c r="V424" s="104"/>
      <c r="W424" s="104"/>
      <c r="X424" s="104"/>
      <c r="Y424" s="104"/>
      <c r="Z424" s="116"/>
      <c r="AA424" s="116"/>
      <c r="AB424" s="116"/>
      <c r="AC424" s="116"/>
    </row>
    <row r="425" customFormat="false" ht="15" hidden="false" customHeight="false" outlineLevel="0" collapsed="false">
      <c r="A425" s="119" t="s">
        <v>811</v>
      </c>
      <c r="B425" s="120" t="str">
        <f aca="false">IFERROR(VLOOKUP(A425,CENTRO!$A$4:$L$548,12,0),"")</f>
        <v>MUITO ATRASADO</v>
      </c>
      <c r="C425" s="121" t="n">
        <f aca="false">IFERROR(VLOOKUP(A425,CENTRO!$A$4:$L$548,11,0),"")</f>
        <v>97.8226059654631</v>
      </c>
      <c r="D425" s="119" t="b">
        <f aca="false">FALSE()</f>
        <v>0</v>
      </c>
      <c r="E425" s="122" t="s">
        <v>922</v>
      </c>
      <c r="F425" s="119"/>
      <c r="G425" s="119" t="s">
        <v>917</v>
      </c>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row>
    <row r="426" customFormat="false" ht="15" hidden="false" customHeight="false" outlineLevel="0" collapsed="false">
      <c r="A426" s="104" t="s">
        <v>571</v>
      </c>
      <c r="B426" s="120" t="str">
        <f aca="false">IFERROR(VLOOKUP(A426,CENTRO!$A$4:$L$548,12,0),"")</f>
        <v>MUITO ATRASADO</v>
      </c>
      <c r="C426" s="121" t="n">
        <f aca="false">IFERROR(VLOOKUP(A426,CENTRO!$A$4:$L$137,11,0),"")</f>
        <v>186.076923076924</v>
      </c>
      <c r="D426" s="119" t="b">
        <f aca="false">FALSE()</f>
        <v>0</v>
      </c>
      <c r="E426" s="122" t="s">
        <v>1146</v>
      </c>
      <c r="F426" s="119"/>
      <c r="G426" s="119" t="s">
        <v>1172</v>
      </c>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row>
    <row r="427" customFormat="false" ht="15" hidden="false" customHeight="false" outlineLevel="0" collapsed="false">
      <c r="A427" s="119" t="s">
        <v>722</v>
      </c>
      <c r="B427" s="119"/>
      <c r="C427" s="121"/>
      <c r="D427" s="119" t="b">
        <f aca="false">FALSE()</f>
        <v>0</v>
      </c>
      <c r="E427" s="122" t="s">
        <v>1146</v>
      </c>
      <c r="F427" s="119"/>
      <c r="G427" s="119" t="s">
        <v>1173</v>
      </c>
      <c r="H427" s="104"/>
      <c r="I427" s="104"/>
      <c r="J427" s="104"/>
      <c r="K427" s="104"/>
      <c r="L427" s="104"/>
      <c r="M427" s="104"/>
      <c r="N427" s="104"/>
      <c r="O427" s="104"/>
      <c r="P427" s="104"/>
      <c r="Q427" s="104"/>
      <c r="R427" s="104"/>
      <c r="S427" s="104"/>
      <c r="T427" s="104"/>
      <c r="U427" s="104"/>
      <c r="V427" s="104"/>
      <c r="W427" s="104"/>
      <c r="X427" s="104"/>
      <c r="Y427" s="104"/>
      <c r="Z427" s="116"/>
      <c r="AA427" s="116"/>
      <c r="AB427" s="116"/>
      <c r="AC427" s="116"/>
    </row>
    <row r="428" customFormat="false" ht="15" hidden="false" customHeight="false" outlineLevel="0" collapsed="false">
      <c r="A428" s="104" t="s">
        <v>584</v>
      </c>
      <c r="B428" s="119"/>
      <c r="C428" s="121"/>
      <c r="D428" s="119" t="b">
        <f aca="false">FALSE()</f>
        <v>0</v>
      </c>
      <c r="E428" s="122" t="s">
        <v>941</v>
      </c>
      <c r="F428" s="119"/>
      <c r="G428" s="119" t="s">
        <v>917</v>
      </c>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row>
    <row r="429" customFormat="false" ht="15" hidden="false" customHeight="false" outlineLevel="0" collapsed="false">
      <c r="A429" s="104" t="s">
        <v>813</v>
      </c>
      <c r="B429" s="119"/>
      <c r="C429" s="121"/>
      <c r="D429" s="119" t="b">
        <f aca="false">FALSE()</f>
        <v>0</v>
      </c>
      <c r="E429" s="122" t="s">
        <v>941</v>
      </c>
      <c r="F429" s="119"/>
      <c r="G429" s="119" t="s">
        <v>917</v>
      </c>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row>
    <row r="430" customFormat="false" ht="15" hidden="false" customHeight="false" outlineLevel="0" collapsed="false">
      <c r="A430" s="119" t="s">
        <v>1174</v>
      </c>
      <c r="B430" s="119"/>
      <c r="C430" s="121"/>
      <c r="D430" s="119" t="b">
        <f aca="false">FALSE()</f>
        <v>0</v>
      </c>
      <c r="E430" s="122" t="s">
        <v>930</v>
      </c>
      <c r="F430" s="119"/>
      <c r="G430" s="119" t="s">
        <v>917</v>
      </c>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row>
    <row r="431" customFormat="false" ht="15" hidden="false" customHeight="false" outlineLevel="0" collapsed="false">
      <c r="A431" s="119" t="s">
        <v>218</v>
      </c>
      <c r="B431" s="119"/>
      <c r="C431" s="121"/>
      <c r="D431" s="119" t="b">
        <f aca="false">FALSE()</f>
        <v>0</v>
      </c>
      <c r="E431" s="122" t="s">
        <v>941</v>
      </c>
      <c r="F431" s="119"/>
      <c r="G431" s="119" t="s">
        <v>917</v>
      </c>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row>
    <row r="432" customFormat="false" ht="15" hidden="false" customHeight="false" outlineLevel="0" collapsed="false">
      <c r="A432" s="119" t="s">
        <v>681</v>
      </c>
      <c r="B432" s="119"/>
      <c r="C432" s="119"/>
      <c r="D432" s="119" t="b">
        <f aca="false">FALSE()</f>
        <v>0</v>
      </c>
      <c r="E432" s="122" t="s">
        <v>1175</v>
      </c>
      <c r="F432" s="119"/>
      <c r="G432" s="119" t="s">
        <v>917</v>
      </c>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row>
    <row r="433" customFormat="false" ht="15" hidden="false" customHeight="false" outlineLevel="0" collapsed="false">
      <c r="A433" s="104" t="s">
        <v>604</v>
      </c>
      <c r="B433" s="119"/>
      <c r="C433" s="121"/>
      <c r="D433" s="119" t="b">
        <f aca="false">FALSE()</f>
        <v>0</v>
      </c>
      <c r="E433" s="122" t="s">
        <v>1170</v>
      </c>
      <c r="F433" s="119"/>
      <c r="G433" s="119" t="s">
        <v>917</v>
      </c>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row>
    <row r="434" customFormat="false" ht="15" hidden="false" customHeight="false" outlineLevel="0" collapsed="false">
      <c r="A434" s="119" t="s">
        <v>20</v>
      </c>
      <c r="B434" s="119"/>
      <c r="C434" s="119"/>
      <c r="D434" s="119" t="b">
        <f aca="false">FALSE()</f>
        <v>0</v>
      </c>
      <c r="E434" s="122" t="s">
        <v>1176</v>
      </c>
      <c r="F434" s="119"/>
      <c r="G434" s="119" t="s">
        <v>1177</v>
      </c>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row>
    <row r="435" customFormat="false" ht="15" hidden="false" customHeight="false" outlineLevel="0" collapsed="false">
      <c r="A435" s="94" t="s">
        <v>698</v>
      </c>
      <c r="B435" s="120" t="str">
        <f aca="false">IFERROR(VLOOKUP(A435,CENTRO!$A$4:$L$548,12,0),"")</f>
        <v>MUITO ATRASADO</v>
      </c>
      <c r="C435" s="121" t="str">
        <f aca="false">IFERROR(VLOOKUP(A435,CENTRO!$A$4:$L$137,11,0),"")</f>
        <v/>
      </c>
      <c r="D435" s="119" t="b">
        <f aca="false">FALSE()</f>
        <v>0</v>
      </c>
      <c r="E435" s="122" t="s">
        <v>1167</v>
      </c>
      <c r="F435" s="119"/>
      <c r="G435" s="119" t="s">
        <v>1178</v>
      </c>
      <c r="H435" s="104"/>
      <c r="I435" s="104"/>
      <c r="J435" s="104"/>
      <c r="K435" s="104"/>
      <c r="L435" s="104"/>
      <c r="M435" s="104"/>
      <c r="N435" s="104"/>
      <c r="O435" s="104"/>
      <c r="P435" s="104"/>
      <c r="Q435" s="104"/>
      <c r="R435" s="104"/>
      <c r="S435" s="104"/>
      <c r="T435" s="104"/>
      <c r="U435" s="104"/>
      <c r="V435" s="104"/>
      <c r="W435" s="104"/>
      <c r="X435" s="104"/>
      <c r="Y435" s="104"/>
      <c r="Z435" s="116"/>
      <c r="AA435" s="116"/>
      <c r="AB435" s="116"/>
      <c r="AC435" s="116"/>
    </row>
    <row r="436" customFormat="false" ht="15" hidden="false" customHeight="false" outlineLevel="0" collapsed="false">
      <c r="A436" s="119" t="s">
        <v>781</v>
      </c>
      <c r="B436" s="120" t="str">
        <f aca="false">IFERROR(VLOOKUP(A436,CENTRO!$A$4:$L$548,12,0),"")</f>
        <v>MUITO ATRASADO</v>
      </c>
      <c r="C436" s="121" t="str">
        <f aca="false">IFERROR(VLOOKUP(A436,CENTRO!$A$4:$L$137,11,0),"")</f>
        <v/>
      </c>
      <c r="D436" s="119" t="b">
        <f aca="false">FALSE()</f>
        <v>0</v>
      </c>
      <c r="E436" s="122" t="s">
        <v>978</v>
      </c>
      <c r="F436" s="119"/>
      <c r="G436" s="119" t="s">
        <v>1179</v>
      </c>
      <c r="H436" s="104"/>
      <c r="I436" s="104"/>
      <c r="J436" s="104"/>
      <c r="K436" s="104"/>
      <c r="L436" s="104"/>
      <c r="M436" s="104"/>
      <c r="N436" s="104"/>
      <c r="O436" s="104"/>
      <c r="P436" s="104"/>
      <c r="Q436" s="104"/>
      <c r="R436" s="104"/>
      <c r="S436" s="104"/>
      <c r="T436" s="104"/>
      <c r="U436" s="104"/>
      <c r="V436" s="104"/>
      <c r="W436" s="104"/>
      <c r="X436" s="104"/>
      <c r="Y436" s="104"/>
      <c r="Z436" s="116"/>
      <c r="AA436" s="116"/>
      <c r="AB436" s="116"/>
      <c r="AC436" s="116"/>
    </row>
    <row r="437" customFormat="false" ht="15" hidden="false" customHeight="false" outlineLevel="0" collapsed="false">
      <c r="A437" s="119" t="s">
        <v>536</v>
      </c>
      <c r="B437" s="119"/>
      <c r="C437" s="121"/>
      <c r="D437" s="119" t="b">
        <f aca="false">FALSE()</f>
        <v>0</v>
      </c>
      <c r="E437" s="122" t="s">
        <v>1180</v>
      </c>
      <c r="F437" s="119"/>
      <c r="G437" s="119" t="s">
        <v>1181</v>
      </c>
      <c r="H437" s="104"/>
      <c r="I437" s="104"/>
      <c r="J437" s="104"/>
      <c r="K437" s="104"/>
      <c r="L437" s="104"/>
      <c r="M437" s="104"/>
      <c r="N437" s="104"/>
      <c r="O437" s="104"/>
      <c r="P437" s="104"/>
      <c r="Q437" s="104"/>
      <c r="R437" s="104"/>
      <c r="S437" s="104"/>
      <c r="T437" s="104"/>
      <c r="U437" s="104"/>
      <c r="V437" s="104"/>
      <c r="W437" s="104"/>
      <c r="X437" s="104"/>
      <c r="Y437" s="104"/>
      <c r="Z437" s="116"/>
      <c r="AA437" s="116"/>
      <c r="AB437" s="116"/>
      <c r="AC437" s="116"/>
    </row>
    <row r="438" customFormat="false" ht="15" hidden="false" customHeight="false" outlineLevel="0" collapsed="false">
      <c r="A438" s="104" t="s">
        <v>1182</v>
      </c>
      <c r="B438" s="119"/>
      <c r="C438" s="121"/>
      <c r="D438" s="119" t="b">
        <f aca="false">FALSE()</f>
        <v>0</v>
      </c>
      <c r="E438" s="122" t="s">
        <v>941</v>
      </c>
      <c r="F438" s="119"/>
      <c r="G438" s="119" t="s">
        <v>1183</v>
      </c>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row>
    <row r="439" customFormat="false" ht="15" hidden="false" customHeight="false" outlineLevel="0" collapsed="false">
      <c r="A439" s="119" t="s">
        <v>756</v>
      </c>
      <c r="B439" s="120" t="str">
        <f aca="false">IFERROR(VLOOKUP(A439,CENTRO!$A$4:$L$548,12,0),"")</f>
        <v>MUITO ATRASADO</v>
      </c>
      <c r="C439" s="121" t="n">
        <f aca="false">IFERROR(VLOOKUP(A439,CENTRO!$A$4:$L$548,11,0),"")</f>
        <v>104.620596205963</v>
      </c>
      <c r="D439" s="119" t="b">
        <f aca="false">FALSE()</f>
        <v>0</v>
      </c>
      <c r="E439" s="122" t="s">
        <v>1042</v>
      </c>
      <c r="F439" s="119"/>
      <c r="G439" s="119" t="s">
        <v>931</v>
      </c>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row>
    <row r="440" customFormat="false" ht="15" hidden="false" customHeight="false" outlineLevel="0" collapsed="false">
      <c r="A440" s="119" t="s">
        <v>541</v>
      </c>
      <c r="B440" s="120" t="str">
        <f aca="false">IFERROR(VLOOKUP(A440,CENTRO!$A$4:$L$548,12,0),"")</f>
        <v>MUITO ATRASADO</v>
      </c>
      <c r="C440" s="121" t="n">
        <f aca="false">IFERROR(VLOOKUP(A440,CENTRO!$A$4:$L$137,11,0),"")</f>
        <v>124.245398773006</v>
      </c>
      <c r="D440" s="104" t="b">
        <f aca="false">FALSE()</f>
        <v>0</v>
      </c>
      <c r="E440" s="122" t="s">
        <v>970</v>
      </c>
      <c r="F440" s="119"/>
      <c r="G440" s="119" t="s">
        <v>931</v>
      </c>
      <c r="H440" s="104"/>
      <c r="I440" s="104"/>
      <c r="J440" s="104"/>
      <c r="K440" s="104"/>
      <c r="L440" s="104"/>
      <c r="M440" s="104"/>
      <c r="N440" s="104"/>
      <c r="O440" s="104"/>
      <c r="P440" s="104"/>
      <c r="Q440" s="104"/>
      <c r="R440" s="104"/>
      <c r="S440" s="104"/>
      <c r="T440" s="104"/>
      <c r="U440" s="104"/>
      <c r="V440" s="104"/>
      <c r="W440" s="104"/>
      <c r="X440" s="104"/>
      <c r="Y440" s="104"/>
      <c r="Z440" s="116"/>
      <c r="AA440" s="116"/>
      <c r="AB440" s="116"/>
      <c r="AC440" s="116"/>
    </row>
    <row r="441" customFormat="false" ht="15" hidden="false" customHeight="false" outlineLevel="0" collapsed="false">
      <c r="A441" s="119" t="s">
        <v>1184</v>
      </c>
      <c r="B441" s="120" t="str">
        <f aca="false">IFERROR(VLOOKUP(A441,CENTRO!$A$4:$L$548,12,0),"")</f>
        <v/>
      </c>
      <c r="C441" s="121" t="str">
        <f aca="false">IFERROR(VLOOKUP(A441,CENTRO!$A$4:$L$137,11,0),"")</f>
        <v/>
      </c>
      <c r="D441" s="119" t="b">
        <f aca="false">FALSE()</f>
        <v>0</v>
      </c>
      <c r="E441" s="122" t="s">
        <v>970</v>
      </c>
      <c r="F441" s="119"/>
      <c r="G441" s="119" t="s">
        <v>931</v>
      </c>
      <c r="H441" s="104"/>
      <c r="I441" s="104"/>
      <c r="J441" s="104"/>
      <c r="K441" s="104"/>
      <c r="L441" s="104"/>
      <c r="M441" s="104"/>
      <c r="N441" s="104"/>
      <c r="O441" s="104"/>
      <c r="P441" s="104"/>
      <c r="Q441" s="104"/>
      <c r="R441" s="104"/>
      <c r="S441" s="104"/>
      <c r="T441" s="104"/>
      <c r="U441" s="104"/>
      <c r="V441" s="104"/>
      <c r="W441" s="104"/>
      <c r="X441" s="104"/>
      <c r="Y441" s="104"/>
      <c r="Z441" s="116"/>
      <c r="AA441" s="116"/>
      <c r="AB441" s="116"/>
      <c r="AC441" s="116"/>
    </row>
    <row r="442" customFormat="false" ht="15" hidden="false" customHeight="false" outlineLevel="0" collapsed="false">
      <c r="A442" s="119" t="s">
        <v>489</v>
      </c>
      <c r="B442" s="119"/>
      <c r="C442" s="121"/>
      <c r="D442" s="119" t="b">
        <f aca="false">FALSE()</f>
        <v>0</v>
      </c>
      <c r="E442" s="122" t="s">
        <v>921</v>
      </c>
      <c r="F442" s="119"/>
      <c r="G442" s="119" t="s">
        <v>931</v>
      </c>
      <c r="H442" s="104"/>
      <c r="I442" s="104"/>
      <c r="J442" s="104"/>
      <c r="K442" s="104"/>
      <c r="L442" s="104"/>
      <c r="M442" s="104"/>
      <c r="N442" s="104"/>
      <c r="O442" s="104"/>
      <c r="P442" s="104"/>
      <c r="Q442" s="104"/>
      <c r="R442" s="104"/>
      <c r="S442" s="104"/>
      <c r="T442" s="104"/>
      <c r="U442" s="104"/>
      <c r="V442" s="104"/>
      <c r="W442" s="104"/>
      <c r="X442" s="104"/>
      <c r="Y442" s="104"/>
      <c r="Z442" s="116"/>
      <c r="AA442" s="116"/>
      <c r="AB442" s="116"/>
      <c r="AC442" s="116"/>
    </row>
    <row r="443" customFormat="false" ht="15" hidden="false" customHeight="false" outlineLevel="0" collapsed="false">
      <c r="A443" s="119" t="s">
        <v>651</v>
      </c>
      <c r="B443" s="119"/>
      <c r="C443" s="121"/>
      <c r="D443" s="104" t="b">
        <f aca="false">FALSE()</f>
        <v>0</v>
      </c>
      <c r="E443" s="122" t="s">
        <v>922</v>
      </c>
      <c r="F443" s="119"/>
      <c r="G443" s="119" t="s">
        <v>931</v>
      </c>
      <c r="H443" s="104"/>
      <c r="I443" s="104"/>
      <c r="J443" s="104"/>
      <c r="K443" s="104"/>
      <c r="L443" s="104"/>
      <c r="M443" s="104"/>
      <c r="N443" s="104"/>
      <c r="O443" s="104"/>
      <c r="P443" s="104"/>
      <c r="Q443" s="104"/>
      <c r="R443" s="104"/>
      <c r="S443" s="104"/>
      <c r="T443" s="104"/>
      <c r="U443" s="104"/>
      <c r="V443" s="104"/>
      <c r="W443" s="104"/>
      <c r="X443" s="104"/>
      <c r="Y443" s="104"/>
      <c r="Z443" s="116"/>
      <c r="AA443" s="116"/>
      <c r="AB443" s="116"/>
      <c r="AC443" s="116"/>
    </row>
    <row r="444" customFormat="false" ht="15" hidden="false" customHeight="false" outlineLevel="0" collapsed="false">
      <c r="A444" s="104" t="s">
        <v>800</v>
      </c>
      <c r="B444" s="120" t="str">
        <f aca="false">IFERROR(VLOOKUP(A444,CENTRO!$A$4:$L$548,12,0),"")</f>
        <v>MUITO ATRASADO</v>
      </c>
      <c r="C444" s="121" t="str">
        <f aca="false">IFERROR(VLOOKUP(A444,CENTRO!$A$4:$L$137,11,0),"")</f>
        <v/>
      </c>
      <c r="D444" s="119" t="b">
        <f aca="false">FALSE()</f>
        <v>0</v>
      </c>
      <c r="E444" s="122" t="s">
        <v>1026</v>
      </c>
      <c r="F444" s="119"/>
      <c r="G444" s="119" t="s">
        <v>1185</v>
      </c>
      <c r="H444" s="104"/>
      <c r="I444" s="104"/>
      <c r="J444" s="104"/>
      <c r="K444" s="104"/>
      <c r="L444" s="104"/>
      <c r="M444" s="104"/>
      <c r="N444" s="104"/>
      <c r="O444" s="104"/>
      <c r="P444" s="104"/>
      <c r="Q444" s="104"/>
      <c r="R444" s="104"/>
      <c r="S444" s="104"/>
      <c r="T444" s="104"/>
      <c r="U444" s="104"/>
      <c r="V444" s="104"/>
      <c r="W444" s="104"/>
      <c r="X444" s="104"/>
      <c r="Y444" s="104"/>
      <c r="Z444" s="116"/>
      <c r="AA444" s="116"/>
      <c r="AB444" s="116"/>
      <c r="AC444" s="116"/>
    </row>
    <row r="445" customFormat="false" ht="15" hidden="false" customHeight="false" outlineLevel="0" collapsed="false">
      <c r="A445" s="119" t="s">
        <v>775</v>
      </c>
      <c r="B445" s="120" t="str">
        <f aca="false">IFERROR(VLOOKUP(A445,CENTRO!$A$4:$L$548,12,0),"")</f>
        <v>MUITO ATRASADO</v>
      </c>
      <c r="C445" s="121" t="str">
        <f aca="false">IFERROR(VLOOKUP(A445,CENTRO!$A$4:$L$137,11,0),"")</f>
        <v/>
      </c>
      <c r="D445" s="119" t="b">
        <f aca="false">FALSE()</f>
        <v>0</v>
      </c>
      <c r="E445" s="122" t="s">
        <v>1113</v>
      </c>
      <c r="F445" s="119"/>
      <c r="G445" s="119" t="s">
        <v>1186</v>
      </c>
      <c r="H445" s="104"/>
      <c r="I445" s="104"/>
      <c r="J445" s="104"/>
      <c r="K445" s="104"/>
      <c r="L445" s="104"/>
      <c r="M445" s="104"/>
      <c r="N445" s="104"/>
      <c r="O445" s="104"/>
      <c r="P445" s="104"/>
      <c r="Q445" s="104"/>
      <c r="R445" s="104"/>
      <c r="S445" s="104"/>
      <c r="T445" s="104"/>
      <c r="U445" s="104"/>
      <c r="V445" s="104"/>
      <c r="W445" s="104"/>
      <c r="X445" s="104"/>
      <c r="Y445" s="104"/>
      <c r="Z445" s="116"/>
      <c r="AA445" s="116"/>
      <c r="AB445" s="116"/>
      <c r="AC445" s="116"/>
    </row>
    <row r="446" customFormat="false" ht="15" hidden="false" customHeight="false" outlineLevel="0" collapsed="false">
      <c r="A446" s="104" t="s">
        <v>735</v>
      </c>
      <c r="B446" s="120" t="str">
        <f aca="false">IFERROR(VLOOKUP(A446,CENTRO!$A$4:$L$548,12,0),"")</f>
        <v>MUITO ATRASADO</v>
      </c>
      <c r="C446" s="121" t="n">
        <f aca="false">IFERROR(VLOOKUP(A446,CENTRO!$A$4:$L$548,11,0),"")</f>
        <v>168.123076923077</v>
      </c>
      <c r="D446" s="119" t="b">
        <f aca="false">FALSE()</f>
        <v>0</v>
      </c>
      <c r="E446" s="122" t="s">
        <v>1187</v>
      </c>
      <c r="F446" s="119"/>
      <c r="G446" s="119" t="s">
        <v>1179</v>
      </c>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row>
    <row r="447" customFormat="false" ht="15" hidden="false" customHeight="false" outlineLevel="0" collapsed="false">
      <c r="A447" s="136" t="s">
        <v>728</v>
      </c>
      <c r="B447" s="136"/>
      <c r="C447" s="137"/>
      <c r="D447" s="119" t="b">
        <f aca="false">FALSE()</f>
        <v>0</v>
      </c>
      <c r="E447" s="122" t="s">
        <v>922</v>
      </c>
      <c r="F447" s="136"/>
      <c r="G447" s="119" t="s">
        <v>929</v>
      </c>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row>
    <row r="448" customFormat="false" ht="15" hidden="false" customHeight="false" outlineLevel="0" collapsed="false">
      <c r="A448" s="144" t="s">
        <v>642</v>
      </c>
      <c r="B448" s="120" t="str">
        <f aca="false">IFERROR(VLOOKUP(A448,CENTRO!$A$4:$L$548,12,0),"")</f>
        <v>MUITO ATRASADO</v>
      </c>
      <c r="C448" s="121" t="str">
        <f aca="false">IFERROR(VLOOKUP(A448,CENTRO!$A$4:$L$137,11,0),"")</f>
        <v/>
      </c>
      <c r="D448" s="119" t="b">
        <f aca="false">FALSE()</f>
        <v>0</v>
      </c>
      <c r="E448" s="122" t="s">
        <v>1188</v>
      </c>
      <c r="F448" s="119"/>
      <c r="G448" s="119" t="s">
        <v>929</v>
      </c>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row>
    <row r="449" customFormat="false" ht="15" hidden="false" customHeight="false" outlineLevel="0" collapsed="false">
      <c r="A449" s="119" t="s">
        <v>1189</v>
      </c>
      <c r="B449" s="119"/>
      <c r="C449" s="119"/>
      <c r="D449" s="119" t="b">
        <f aca="false">FALSE()</f>
        <v>0</v>
      </c>
      <c r="E449" s="122" t="s">
        <v>941</v>
      </c>
      <c r="F449" s="119"/>
      <c r="G449" s="119" t="s">
        <v>929</v>
      </c>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row>
    <row r="450" customFormat="false" ht="15" hidden="false" customHeight="false" outlineLevel="0" collapsed="false">
      <c r="A450" s="119" t="s">
        <v>744</v>
      </c>
      <c r="B450" s="174" t="str">
        <f aca="false">IFERROR(VLOOKUP(A450,CENTRO!$A$4:$L$548,12,0),"")</f>
        <v>MUITO ATRASADO</v>
      </c>
      <c r="C450" s="147" t="n">
        <f aca="false">IFERROR(VLOOKUP(A450,CENTRO!$A$4:$L$548,11,0),"")</f>
        <v>134.191881918819</v>
      </c>
      <c r="D450" s="119" t="b">
        <f aca="false">FALSE()</f>
        <v>0</v>
      </c>
      <c r="E450" s="122" t="s">
        <v>922</v>
      </c>
      <c r="F450" s="104"/>
      <c r="G450" s="119" t="s">
        <v>1190</v>
      </c>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row>
    <row r="451" customFormat="false" ht="15" hidden="false" customHeight="false" outlineLevel="0" collapsed="false">
      <c r="A451" s="119" t="s">
        <v>707</v>
      </c>
      <c r="B451" s="104"/>
      <c r="C451" s="104"/>
      <c r="D451" s="119" t="b">
        <f aca="false">FALSE()</f>
        <v>0</v>
      </c>
      <c r="E451" s="122" t="s">
        <v>1012</v>
      </c>
      <c r="F451" s="104"/>
      <c r="G451" s="119" t="s">
        <v>1190</v>
      </c>
      <c r="H451" s="104"/>
      <c r="I451" s="104"/>
      <c r="J451" s="104"/>
      <c r="K451" s="104"/>
      <c r="L451" s="104"/>
      <c r="M451" s="104"/>
      <c r="N451" s="104"/>
      <c r="O451" s="104"/>
      <c r="P451" s="104"/>
      <c r="Q451" s="104"/>
      <c r="R451" s="104"/>
      <c r="S451" s="104"/>
      <c r="T451" s="104"/>
      <c r="U451" s="104"/>
      <c r="V451" s="104"/>
      <c r="W451" s="104"/>
      <c r="X451" s="104"/>
      <c r="Y451" s="104"/>
      <c r="Z451" s="104"/>
      <c r="AA451" s="104"/>
      <c r="AC451" s="104"/>
    </row>
    <row r="452" customFormat="false" ht="15" hidden="false" customHeight="false" outlineLevel="0" collapsed="false">
      <c r="A452" s="119" t="s">
        <v>586</v>
      </c>
      <c r="B452" s="104"/>
      <c r="C452" s="104"/>
      <c r="D452" s="119" t="b">
        <f aca="false">FALSE()</f>
        <v>0</v>
      </c>
      <c r="E452" s="122" t="s">
        <v>1191</v>
      </c>
      <c r="F452" s="104"/>
      <c r="G452" s="119" t="s">
        <v>1190</v>
      </c>
      <c r="H452" s="104"/>
      <c r="I452" s="104"/>
      <c r="J452" s="104"/>
      <c r="K452" s="104"/>
      <c r="L452" s="104"/>
      <c r="M452" s="104"/>
      <c r="N452" s="104"/>
      <c r="O452" s="104"/>
      <c r="P452" s="104"/>
      <c r="Q452" s="104"/>
      <c r="R452" s="104"/>
      <c r="S452" s="104"/>
      <c r="T452" s="104"/>
      <c r="U452" s="104"/>
      <c r="V452" s="104"/>
      <c r="W452" s="104"/>
      <c r="X452" s="104"/>
      <c r="Y452" s="104"/>
      <c r="Z452" s="116"/>
      <c r="AA452" s="116"/>
      <c r="AC452" s="116"/>
    </row>
    <row r="453" customFormat="false" ht="15" hidden="false" customHeight="false" outlineLevel="0" collapsed="false">
      <c r="A453" s="119" t="s">
        <v>41</v>
      </c>
      <c r="B453" s="174" t="str">
        <f aca="false">IFERROR(VLOOKUP(A453,CENTRO!$A$4:$L$548,12,0),"")</f>
        <v/>
      </c>
      <c r="C453" s="147" t="str">
        <f aca="false">IFERROR(VLOOKUP(A453,CENTRO!$A$4:$L$137,11,0),"")</f>
        <v/>
      </c>
      <c r="D453" s="119" t="b">
        <f aca="false">FALSE()</f>
        <v>0</v>
      </c>
      <c r="E453" s="122" t="s">
        <v>922</v>
      </c>
      <c r="F453" s="104"/>
      <c r="G453" s="119" t="s">
        <v>1190</v>
      </c>
      <c r="H453" s="104"/>
      <c r="I453" s="104"/>
      <c r="J453" s="104"/>
      <c r="K453" s="104"/>
      <c r="L453" s="104"/>
      <c r="M453" s="104"/>
      <c r="N453" s="104"/>
      <c r="O453" s="104"/>
      <c r="P453" s="104"/>
      <c r="Q453" s="104"/>
      <c r="R453" s="104"/>
      <c r="S453" s="104"/>
      <c r="T453" s="104"/>
      <c r="U453" s="104"/>
      <c r="V453" s="104"/>
      <c r="W453" s="104"/>
      <c r="X453" s="104"/>
      <c r="Y453" s="104"/>
      <c r="Z453" s="116"/>
      <c r="AA453" s="116"/>
      <c r="AC453" s="116"/>
    </row>
    <row r="454" customFormat="false" ht="15" hidden="false" customHeight="false" outlineLevel="0" collapsed="false">
      <c r="A454" s="119" t="s">
        <v>678</v>
      </c>
      <c r="B454" s="104"/>
      <c r="C454" s="104"/>
      <c r="D454" s="119" t="b">
        <f aca="false">FALSE()</f>
        <v>0</v>
      </c>
      <c r="E454" s="163" t="s">
        <v>970</v>
      </c>
      <c r="F454" s="104"/>
      <c r="G454" s="119" t="s">
        <v>1190</v>
      </c>
      <c r="H454" s="104"/>
      <c r="I454" s="104"/>
      <c r="J454" s="104"/>
      <c r="K454" s="104"/>
      <c r="L454" s="104"/>
      <c r="M454" s="104"/>
      <c r="N454" s="104"/>
      <c r="O454" s="104"/>
      <c r="P454" s="104"/>
      <c r="Q454" s="104"/>
      <c r="R454" s="104"/>
      <c r="S454" s="104"/>
      <c r="T454" s="104"/>
      <c r="U454" s="104"/>
      <c r="V454" s="104"/>
      <c r="W454" s="104"/>
      <c r="X454" s="104"/>
      <c r="Y454" s="104"/>
      <c r="Z454" s="116"/>
      <c r="AA454" s="116"/>
      <c r="AC454" s="116"/>
    </row>
    <row r="455" customFormat="false" ht="15" hidden="false" customHeight="false" outlineLevel="0" collapsed="false">
      <c r="A455" s="119" t="s">
        <v>630</v>
      </c>
      <c r="B455" s="174" t="str">
        <f aca="false">IFERROR(VLOOKUP(A455,CENTRO!$A$4:$L$548,12,0),"")</f>
        <v>MUITO ATRASADO</v>
      </c>
      <c r="C455" s="147" t="str">
        <f aca="false">IFERROR(VLOOKUP(A455,CENTRO!$A$4:$L$137,11,0),"")</f>
        <v/>
      </c>
      <c r="D455" s="119" t="b">
        <f aca="false">FALSE()</f>
        <v>0</v>
      </c>
      <c r="E455" s="122" t="s">
        <v>922</v>
      </c>
      <c r="F455" s="104"/>
      <c r="G455" s="119" t="s">
        <v>1192</v>
      </c>
      <c r="H455" s="104"/>
      <c r="I455" s="104"/>
      <c r="J455" s="104"/>
      <c r="K455" s="104"/>
      <c r="L455" s="104"/>
      <c r="M455" s="104"/>
      <c r="N455" s="104"/>
      <c r="O455" s="104"/>
      <c r="P455" s="104"/>
      <c r="Q455" s="104"/>
      <c r="R455" s="104"/>
      <c r="S455" s="104"/>
      <c r="T455" s="104"/>
      <c r="U455" s="104"/>
      <c r="V455" s="104"/>
      <c r="W455" s="104"/>
      <c r="X455" s="104"/>
      <c r="Y455" s="104"/>
      <c r="Z455" s="116"/>
      <c r="AA455" s="116"/>
      <c r="AC455" s="116"/>
    </row>
    <row r="456" customFormat="false" ht="15" hidden="false" customHeight="false" outlineLevel="0" collapsed="false">
      <c r="A456" s="136" t="s">
        <v>1193</v>
      </c>
      <c r="B456" s="153"/>
      <c r="C456" s="181"/>
      <c r="D456" s="119" t="b">
        <f aca="false">FALSE()</f>
        <v>0</v>
      </c>
      <c r="E456" s="122" t="s">
        <v>941</v>
      </c>
      <c r="F456" s="153"/>
      <c r="G456" s="119" t="s">
        <v>1194</v>
      </c>
      <c r="H456" s="104"/>
      <c r="I456" s="104"/>
      <c r="J456" s="104"/>
      <c r="K456" s="104"/>
      <c r="L456" s="104"/>
      <c r="M456" s="104"/>
      <c r="N456" s="104"/>
      <c r="O456" s="104"/>
      <c r="P456" s="104"/>
      <c r="Q456" s="104"/>
      <c r="R456" s="104"/>
      <c r="S456" s="104"/>
      <c r="T456" s="104"/>
      <c r="U456" s="104"/>
      <c r="V456" s="104"/>
      <c r="W456" s="104"/>
      <c r="X456" s="104"/>
      <c r="Y456" s="104"/>
      <c r="Z456" s="116"/>
      <c r="AA456" s="116"/>
      <c r="AC456" s="116"/>
    </row>
    <row r="457" customFormat="false" ht="15" hidden="false" customHeight="false" outlineLevel="0" collapsed="false">
      <c r="A457" s="119" t="s">
        <v>1195</v>
      </c>
      <c r="B457" s="174" t="str">
        <f aca="false">IFERROR(VLOOKUP(A457,CENTRO!$A$4:$L$548,12,0),"")</f>
        <v/>
      </c>
      <c r="C457" s="147" t="str">
        <f aca="false">IFERROR(VLOOKUP(A457,CENTRO!$A$4:$L$548,11,0),"")</f>
        <v/>
      </c>
      <c r="D457" s="119" t="b">
        <f aca="false">FALSE()</f>
        <v>0</v>
      </c>
      <c r="E457" s="122" t="s">
        <v>941</v>
      </c>
      <c r="F457" s="104"/>
      <c r="G457" s="119" t="s">
        <v>1196</v>
      </c>
      <c r="H457" s="104"/>
      <c r="I457" s="104"/>
      <c r="J457" s="104"/>
      <c r="K457" s="104"/>
      <c r="L457" s="104"/>
      <c r="M457" s="104"/>
      <c r="N457" s="104"/>
      <c r="O457" s="104"/>
      <c r="P457" s="104"/>
      <c r="Q457" s="104"/>
      <c r="R457" s="104"/>
      <c r="S457" s="104"/>
      <c r="T457" s="104"/>
      <c r="U457" s="104"/>
      <c r="V457" s="104"/>
      <c r="W457" s="104"/>
      <c r="X457" s="104"/>
      <c r="Y457" s="104"/>
      <c r="Z457" s="116"/>
      <c r="AA457" s="116"/>
      <c r="AC457" s="116"/>
    </row>
    <row r="458" customFormat="false" ht="15" hidden="false" customHeight="false" outlineLevel="0" collapsed="false">
      <c r="A458" s="104" t="s">
        <v>712</v>
      </c>
      <c r="B458" s="174" t="str">
        <f aca="false">IFERROR(VLOOKUP(A458,CENTRO!$A$4:$L$548,12,0),"")</f>
        <v>MUITO ATRASADO</v>
      </c>
      <c r="C458" s="147" t="n">
        <f aca="false">IFERROR(VLOOKUP(A458,CENTRO!$A$4:$L$548,11,0),"")</f>
        <v>208.969416785206</v>
      </c>
      <c r="D458" s="119" t="b">
        <f aca="false">FALSE()</f>
        <v>0</v>
      </c>
      <c r="E458" s="122" t="s">
        <v>930</v>
      </c>
      <c r="F458" s="104"/>
      <c r="G458" s="119" t="s">
        <v>1197</v>
      </c>
      <c r="H458" s="104"/>
      <c r="I458" s="104"/>
      <c r="J458" s="104"/>
      <c r="K458" s="104"/>
      <c r="L458" s="104"/>
      <c r="M458" s="104"/>
      <c r="N458" s="104"/>
      <c r="O458" s="104"/>
      <c r="P458" s="104"/>
      <c r="Q458" s="104"/>
      <c r="R458" s="104"/>
      <c r="S458" s="104"/>
      <c r="T458" s="104"/>
      <c r="U458" s="104"/>
      <c r="V458" s="104"/>
      <c r="W458" s="104"/>
      <c r="X458" s="104"/>
      <c r="Y458" s="104"/>
      <c r="Z458" s="116"/>
      <c r="AA458" s="116"/>
      <c r="AC458" s="116"/>
    </row>
    <row r="459" customFormat="false" ht="15" hidden="false" customHeight="false" outlineLevel="0" collapsed="false">
      <c r="A459" s="119" t="s">
        <v>1198</v>
      </c>
      <c r="B459" s="174" t="str">
        <f aca="false">IFERROR(VLOOKUP(A459,CENTRO!$A$4:$L$548,12,0),"")</f>
        <v/>
      </c>
      <c r="C459" s="147" t="str">
        <f aca="false">IFERROR(VLOOKUP(A459,CENTRO!$A$4:$L$548,11,0),"")</f>
        <v/>
      </c>
      <c r="D459" s="119" t="b">
        <f aca="false">FALSE()</f>
        <v>0</v>
      </c>
      <c r="E459" s="122" t="s">
        <v>985</v>
      </c>
      <c r="F459" s="104"/>
      <c r="G459" s="119" t="s">
        <v>1199</v>
      </c>
      <c r="H459" s="104"/>
      <c r="I459" s="104"/>
      <c r="J459" s="104"/>
      <c r="K459" s="104"/>
      <c r="L459" s="104"/>
      <c r="M459" s="104"/>
      <c r="N459" s="104"/>
      <c r="O459" s="104"/>
      <c r="P459" s="104"/>
      <c r="Q459" s="104"/>
      <c r="R459" s="104"/>
      <c r="S459" s="104"/>
      <c r="T459" s="104"/>
      <c r="U459" s="104"/>
      <c r="V459" s="104"/>
      <c r="W459" s="104"/>
      <c r="X459" s="104"/>
      <c r="Y459" s="104"/>
      <c r="Z459" s="116"/>
      <c r="AA459" s="116"/>
      <c r="AC459" s="116"/>
    </row>
    <row r="460" customFormat="false" ht="15" hidden="false" customHeight="false" outlineLevel="0" collapsed="false">
      <c r="A460" s="144" t="s">
        <v>1200</v>
      </c>
      <c r="B460" s="174" t="str">
        <f aca="false">IFERROR(VLOOKUP(A460,CENTRO!$A$4:$L$548,12,0),"")</f>
        <v/>
      </c>
      <c r="C460" s="147" t="str">
        <f aca="false">IFERROR(VLOOKUP(A460,CENTRO!$A$4:$L$137,11,0),"")</f>
        <v/>
      </c>
      <c r="D460" s="119" t="b">
        <f aca="false">FALSE()</f>
        <v>0</v>
      </c>
      <c r="E460" s="122" t="s">
        <v>1201</v>
      </c>
      <c r="F460" s="104"/>
      <c r="G460" s="119" t="s">
        <v>1199</v>
      </c>
      <c r="H460" s="104"/>
      <c r="I460" s="104"/>
      <c r="J460" s="104"/>
      <c r="K460" s="104"/>
      <c r="L460" s="104"/>
      <c r="M460" s="104"/>
      <c r="N460" s="104"/>
      <c r="O460" s="104"/>
      <c r="P460" s="104"/>
      <c r="Q460" s="104"/>
      <c r="R460" s="104"/>
      <c r="S460" s="104"/>
      <c r="T460" s="104"/>
      <c r="U460" s="104"/>
      <c r="V460" s="104"/>
      <c r="W460" s="104"/>
      <c r="X460" s="104"/>
      <c r="Y460" s="104"/>
      <c r="Z460" s="116"/>
      <c r="AA460" s="116"/>
      <c r="AC460" s="116"/>
    </row>
    <row r="461" customFormat="false" ht="15" hidden="false" customHeight="false" outlineLevel="0" collapsed="false">
      <c r="A461" s="119" t="s">
        <v>898</v>
      </c>
      <c r="B461" s="120" t="str">
        <f aca="false">IFERROR(VLOOKUP(A461,CENTRO!$A$4:$L$548,12,0),"")</f>
        <v>MUITO ATRASADO</v>
      </c>
      <c r="C461" s="121" t="str">
        <f aca="false">IFERROR(VLOOKUP(A461,CENTRO!$A$4:$L$137,11,0),"")</f>
        <v/>
      </c>
      <c r="D461" s="119" t="b">
        <f aca="false">FALSE()</f>
        <v>0</v>
      </c>
      <c r="E461" s="122" t="s">
        <v>1202</v>
      </c>
      <c r="F461" s="104"/>
      <c r="G461" s="119" t="s">
        <v>1203</v>
      </c>
      <c r="H461" s="104"/>
      <c r="I461" s="104"/>
      <c r="J461" s="104"/>
      <c r="K461" s="104"/>
      <c r="L461" s="104"/>
      <c r="M461" s="104"/>
      <c r="N461" s="104"/>
      <c r="O461" s="104"/>
      <c r="P461" s="104"/>
      <c r="Q461" s="104"/>
      <c r="R461" s="104"/>
      <c r="S461" s="104"/>
      <c r="T461" s="104"/>
      <c r="U461" s="104"/>
      <c r="V461" s="104"/>
      <c r="W461" s="104"/>
      <c r="X461" s="104"/>
      <c r="Y461" s="104"/>
      <c r="Z461" s="116"/>
      <c r="AA461" s="116"/>
      <c r="AC461" s="116"/>
    </row>
    <row r="462" customFormat="false" ht="15" hidden="false" customHeight="false" outlineLevel="0" collapsed="false">
      <c r="A462" s="104" t="s">
        <v>741</v>
      </c>
      <c r="B462" s="120" t="str">
        <f aca="false">IFERROR(VLOOKUP(A462,CENTRO!$A$4:$L$548,12,0),"")</f>
        <v>MUITO ATRASADO</v>
      </c>
      <c r="C462" s="121" t="n">
        <f aca="false">IFERROR(VLOOKUP(A462,CENTRO!$A$4:$L$548,11,0),"")</f>
        <v>65.3298429319375</v>
      </c>
      <c r="D462" s="119" t="b">
        <f aca="false">FALSE()</f>
        <v>0</v>
      </c>
      <c r="E462" s="122" t="s">
        <v>1204</v>
      </c>
      <c r="F462" s="104"/>
      <c r="G462" s="119" t="s">
        <v>1197</v>
      </c>
      <c r="H462" s="104"/>
      <c r="I462" s="104"/>
      <c r="J462" s="104"/>
      <c r="K462" s="104"/>
      <c r="L462" s="104"/>
      <c r="M462" s="104"/>
      <c r="N462" s="104"/>
      <c r="O462" s="104"/>
      <c r="P462" s="104"/>
      <c r="Q462" s="104"/>
      <c r="R462" s="104"/>
      <c r="S462" s="104"/>
      <c r="T462" s="104"/>
      <c r="U462" s="104"/>
      <c r="V462" s="104"/>
      <c r="W462" s="104"/>
      <c r="X462" s="104"/>
      <c r="Y462" s="104"/>
      <c r="Z462" s="116"/>
      <c r="AA462" s="116"/>
      <c r="AC462" s="116"/>
    </row>
    <row r="463" customFormat="false" ht="15" hidden="false" customHeight="false" outlineLevel="0" collapsed="false">
      <c r="A463" s="119" t="s">
        <v>428</v>
      </c>
      <c r="B463" s="120" t="str">
        <f aca="false">IFERROR(VLOOKUP(A463,CENTRO!$A$4:$L$548,12,0),"")</f>
        <v>MUITO ATRASADO</v>
      </c>
      <c r="C463" s="121" t="str">
        <f aca="false">IFERROR(VLOOKUP(A463,CENTRO!$A$4:$L$137,11,0),"")</f>
        <v/>
      </c>
      <c r="D463" s="119" t="b">
        <f aca="false">FALSE()</f>
        <v>0</v>
      </c>
      <c r="E463" s="122" t="s">
        <v>992</v>
      </c>
      <c r="F463" s="118"/>
      <c r="G463" s="119" t="s">
        <v>1205</v>
      </c>
      <c r="H463" s="104"/>
      <c r="I463" s="104"/>
      <c r="J463" s="104"/>
      <c r="K463" s="104"/>
      <c r="L463" s="104"/>
      <c r="M463" s="104"/>
      <c r="N463" s="104"/>
      <c r="O463" s="104"/>
      <c r="P463" s="104"/>
      <c r="Q463" s="104"/>
      <c r="R463" s="104"/>
      <c r="S463" s="104"/>
      <c r="T463" s="104"/>
      <c r="U463" s="104"/>
      <c r="V463" s="104"/>
      <c r="W463" s="104"/>
      <c r="X463" s="104"/>
      <c r="Y463" s="104"/>
      <c r="Z463" s="116"/>
      <c r="AA463" s="116"/>
      <c r="AC463" s="116"/>
    </row>
    <row r="464" customFormat="false" ht="15" hidden="false" customHeight="false" outlineLevel="0" collapsed="false">
      <c r="A464" s="182" t="s">
        <v>675</v>
      </c>
      <c r="B464" s="119"/>
      <c r="C464" s="121"/>
      <c r="D464" s="119" t="b">
        <f aca="false">FALSE()</f>
        <v>0</v>
      </c>
      <c r="E464" s="122" t="s">
        <v>941</v>
      </c>
      <c r="F464" s="104"/>
      <c r="G464" s="119" t="s">
        <v>1206</v>
      </c>
      <c r="H464" s="104"/>
      <c r="I464" s="104"/>
      <c r="J464" s="104"/>
      <c r="K464" s="104"/>
      <c r="L464" s="104"/>
      <c r="M464" s="104"/>
      <c r="N464" s="104"/>
      <c r="O464" s="104"/>
      <c r="P464" s="104"/>
      <c r="Q464" s="104"/>
      <c r="R464" s="104"/>
      <c r="S464" s="104"/>
      <c r="T464" s="104"/>
      <c r="U464" s="104"/>
      <c r="V464" s="104"/>
      <c r="W464" s="104"/>
      <c r="X464" s="104"/>
      <c r="Y464" s="104"/>
      <c r="Z464" s="116"/>
      <c r="AA464" s="116"/>
      <c r="AC464" s="116"/>
    </row>
    <row r="465" customFormat="false" ht="15" hidden="false" customHeight="false" outlineLevel="0" collapsed="false">
      <c r="A465" s="119" t="s">
        <v>823</v>
      </c>
      <c r="B465" s="119"/>
      <c r="C465" s="121"/>
      <c r="D465" s="130" t="n">
        <f aca="false">FALSE()</f>
        <v>0</v>
      </c>
      <c r="E465" s="122" t="s">
        <v>1013</v>
      </c>
      <c r="F465" s="104"/>
      <c r="G465" s="119" t="s">
        <v>924</v>
      </c>
      <c r="H465" s="104"/>
      <c r="I465" s="104"/>
      <c r="J465" s="104"/>
      <c r="K465" s="104"/>
      <c r="L465" s="104"/>
      <c r="M465" s="104"/>
      <c r="N465" s="104"/>
      <c r="O465" s="104"/>
      <c r="P465" s="104"/>
      <c r="Q465" s="104"/>
      <c r="R465" s="104"/>
      <c r="S465" s="104"/>
      <c r="T465" s="104"/>
      <c r="U465" s="104"/>
      <c r="V465" s="104"/>
      <c r="W465" s="104"/>
      <c r="X465" s="104"/>
      <c r="Y465" s="104"/>
      <c r="Z465" s="116"/>
      <c r="AA465" s="116"/>
      <c r="AC465" s="116"/>
    </row>
    <row r="466" customFormat="false" ht="15" hidden="false" customHeight="false" outlineLevel="0" collapsed="false">
      <c r="A466" s="183" t="s">
        <v>846</v>
      </c>
      <c r="B466" s="166"/>
      <c r="C466" s="168"/>
      <c r="D466" s="184" t="n">
        <f aca="false">TRUE()</f>
        <v>1</v>
      </c>
      <c r="E466" s="169" t="s">
        <v>1207</v>
      </c>
      <c r="F466" s="114"/>
      <c r="G466" s="166" t="s">
        <v>1208</v>
      </c>
      <c r="H466" s="114"/>
      <c r="I466" s="114"/>
      <c r="J466" s="114"/>
      <c r="K466" s="114"/>
      <c r="L466" s="114"/>
      <c r="M466" s="114"/>
      <c r="N466" s="114"/>
      <c r="O466" s="114"/>
      <c r="P466" s="114"/>
      <c r="Q466" s="114"/>
      <c r="R466" s="114"/>
      <c r="S466" s="114"/>
      <c r="T466" s="114"/>
      <c r="U466" s="114"/>
      <c r="V466" s="114"/>
      <c r="W466" s="114"/>
      <c r="X466" s="114"/>
      <c r="Y466" s="114"/>
      <c r="Z466" s="114"/>
      <c r="AA466" s="114"/>
      <c r="AC466" s="114"/>
    </row>
    <row r="467" customFormat="false" ht="15" hidden="false" customHeight="false" outlineLevel="0" collapsed="false">
      <c r="A467" s="119" t="s">
        <v>845</v>
      </c>
      <c r="B467" s="119"/>
      <c r="C467" s="121"/>
      <c r="D467" s="185" t="n">
        <f aca="false">FALSE()</f>
        <v>0</v>
      </c>
      <c r="E467" s="122" t="s">
        <v>1209</v>
      </c>
      <c r="F467" s="104"/>
      <c r="G467" s="119" t="s">
        <v>1210</v>
      </c>
      <c r="H467" s="104"/>
      <c r="I467" s="104"/>
      <c r="J467" s="104"/>
      <c r="K467" s="104"/>
      <c r="L467" s="104"/>
      <c r="M467" s="104"/>
      <c r="N467" s="104"/>
      <c r="O467" s="104"/>
      <c r="P467" s="104"/>
      <c r="Q467" s="104"/>
      <c r="R467" s="104"/>
      <c r="S467" s="104"/>
      <c r="T467" s="104"/>
      <c r="U467" s="104"/>
      <c r="V467" s="104"/>
      <c r="W467" s="104"/>
      <c r="X467" s="104"/>
      <c r="Y467" s="104"/>
      <c r="Z467" s="116"/>
      <c r="AA467" s="116"/>
      <c r="AC467" s="116"/>
    </row>
    <row r="468" customFormat="false" ht="15" hidden="false" customHeight="false" outlineLevel="0" collapsed="false">
      <c r="A468" s="104" t="s">
        <v>847</v>
      </c>
      <c r="B468" s="119"/>
      <c r="C468" s="121"/>
      <c r="D468" s="185" t="n">
        <f aca="false">FALSE()</f>
        <v>0</v>
      </c>
      <c r="E468" s="122" t="s">
        <v>1211</v>
      </c>
      <c r="F468" s="104"/>
      <c r="G468" s="119" t="s">
        <v>1212</v>
      </c>
      <c r="H468" s="104"/>
      <c r="I468" s="104"/>
      <c r="J468" s="104"/>
      <c r="K468" s="104"/>
      <c r="L468" s="104"/>
      <c r="M468" s="104"/>
      <c r="N468" s="104"/>
      <c r="O468" s="104"/>
      <c r="P468" s="104"/>
      <c r="Q468" s="104"/>
      <c r="R468" s="104"/>
      <c r="S468" s="104"/>
      <c r="T468" s="104"/>
      <c r="U468" s="104"/>
      <c r="V468" s="104"/>
      <c r="W468" s="104"/>
      <c r="X468" s="104"/>
      <c r="Y468" s="104"/>
      <c r="Z468" s="116"/>
      <c r="AA468" s="116"/>
      <c r="AC468" s="116"/>
    </row>
    <row r="469" customFormat="false" ht="15" hidden="false" customHeight="false" outlineLevel="0" collapsed="false">
      <c r="A469" s="104" t="s">
        <v>849</v>
      </c>
      <c r="B469" s="119"/>
      <c r="C469" s="121"/>
      <c r="D469" s="186" t="n">
        <f aca="false">FALSE()</f>
        <v>0</v>
      </c>
      <c r="E469" s="122" t="s">
        <v>1211</v>
      </c>
      <c r="F469" s="104"/>
      <c r="G469" s="119" t="s">
        <v>1213</v>
      </c>
      <c r="H469" s="104"/>
      <c r="I469" s="104"/>
      <c r="J469" s="104"/>
      <c r="K469" s="104"/>
      <c r="L469" s="104"/>
      <c r="M469" s="104"/>
      <c r="N469" s="104"/>
      <c r="O469" s="104"/>
      <c r="P469" s="104"/>
      <c r="Q469" s="104"/>
      <c r="R469" s="104"/>
      <c r="S469" s="104"/>
      <c r="T469" s="104"/>
      <c r="U469" s="104"/>
      <c r="V469" s="104"/>
      <c r="W469" s="104"/>
      <c r="X469" s="104"/>
      <c r="Y469" s="104"/>
      <c r="Z469" s="116"/>
      <c r="AA469" s="116"/>
      <c r="AC469" s="116"/>
    </row>
    <row r="470" customFormat="false" ht="15" hidden="false" customHeight="false" outlineLevel="0" collapsed="false">
      <c r="A470" s="133" t="s">
        <v>850</v>
      </c>
      <c r="B470" s="119"/>
      <c r="C470" s="121"/>
      <c r="D470" s="187" t="b">
        <f aca="false">FALSE()</f>
        <v>0</v>
      </c>
      <c r="E470" s="122" t="s">
        <v>1214</v>
      </c>
      <c r="F470" s="104"/>
      <c r="G470" s="119" t="s">
        <v>1215</v>
      </c>
      <c r="H470" s="104"/>
      <c r="I470" s="104"/>
      <c r="J470" s="104"/>
      <c r="K470" s="104"/>
      <c r="L470" s="104"/>
      <c r="M470" s="104"/>
      <c r="N470" s="104"/>
      <c r="O470" s="104"/>
      <c r="P470" s="104"/>
      <c r="Q470" s="104"/>
      <c r="R470" s="104"/>
      <c r="S470" s="104"/>
      <c r="T470" s="104"/>
      <c r="U470" s="104"/>
      <c r="V470" s="104"/>
      <c r="W470" s="104"/>
      <c r="X470" s="104"/>
      <c r="Y470" s="104"/>
      <c r="Z470" s="116"/>
      <c r="AA470" s="116"/>
      <c r="AC470" s="116"/>
    </row>
    <row r="471" customFormat="false" ht="15" hidden="false" customHeight="false" outlineLevel="0" collapsed="false">
      <c r="A471" s="119" t="s">
        <v>863</v>
      </c>
      <c r="B471" s="119"/>
      <c r="C471" s="121"/>
      <c r="D471" s="187" t="b">
        <f aca="false">FALSE()</f>
        <v>0</v>
      </c>
      <c r="E471" s="122" t="s">
        <v>941</v>
      </c>
      <c r="F471" s="104"/>
      <c r="G471" s="119" t="s">
        <v>1216</v>
      </c>
      <c r="H471" s="104"/>
      <c r="I471" s="104"/>
      <c r="J471" s="104"/>
      <c r="K471" s="104"/>
      <c r="L471" s="104"/>
      <c r="M471" s="104"/>
      <c r="N471" s="104"/>
      <c r="O471" s="104"/>
      <c r="P471" s="104"/>
      <c r="Q471" s="104"/>
      <c r="R471" s="104"/>
      <c r="S471" s="104"/>
      <c r="T471" s="104"/>
      <c r="U471" s="104"/>
      <c r="V471" s="104"/>
      <c r="W471" s="104"/>
      <c r="X471" s="104"/>
      <c r="Y471" s="104"/>
      <c r="Z471" s="104"/>
      <c r="AA471" s="104"/>
      <c r="AC471" s="104"/>
    </row>
    <row r="472" customFormat="false" ht="15" hidden="false" customHeight="false" outlineLevel="0" collapsed="false">
      <c r="A472" s="119" t="s">
        <v>864</v>
      </c>
      <c r="B472" s="119"/>
      <c r="C472" s="121"/>
      <c r="D472" s="187" t="b">
        <f aca="false">FALSE()</f>
        <v>0</v>
      </c>
      <c r="E472" s="122" t="s">
        <v>1217</v>
      </c>
      <c r="F472" s="104"/>
      <c r="G472" s="119" t="s">
        <v>1218</v>
      </c>
      <c r="H472" s="104"/>
      <c r="I472" s="104"/>
      <c r="J472" s="104"/>
      <c r="K472" s="104"/>
      <c r="L472" s="104"/>
      <c r="M472" s="104"/>
      <c r="N472" s="104"/>
      <c r="O472" s="104"/>
      <c r="P472" s="104"/>
      <c r="Q472" s="104"/>
      <c r="R472" s="104"/>
      <c r="S472" s="104"/>
      <c r="T472" s="104"/>
      <c r="U472" s="104"/>
      <c r="V472" s="104"/>
      <c r="W472" s="104"/>
      <c r="X472" s="104"/>
      <c r="Y472" s="104"/>
      <c r="Z472" s="104"/>
      <c r="AA472" s="104"/>
      <c r="AC472" s="104"/>
    </row>
    <row r="473" customFormat="false" ht="15" hidden="false" customHeight="false" outlineLevel="0" collapsed="false">
      <c r="A473" s="135" t="s">
        <v>865</v>
      </c>
      <c r="B473" s="119"/>
      <c r="C473" s="121"/>
      <c r="D473" s="187" t="b">
        <f aca="false">FALSE()</f>
        <v>0</v>
      </c>
      <c r="E473" s="122" t="s">
        <v>921</v>
      </c>
      <c r="F473" s="104"/>
      <c r="G473" s="119" t="s">
        <v>1218</v>
      </c>
      <c r="H473" s="104"/>
      <c r="I473" s="104"/>
      <c r="J473" s="104"/>
      <c r="K473" s="104"/>
      <c r="L473" s="104"/>
      <c r="M473" s="104"/>
      <c r="N473" s="104"/>
      <c r="O473" s="104"/>
      <c r="P473" s="104"/>
      <c r="Q473" s="104"/>
      <c r="R473" s="104"/>
      <c r="S473" s="104"/>
      <c r="T473" s="104"/>
      <c r="U473" s="104"/>
      <c r="V473" s="104"/>
      <c r="W473" s="104"/>
      <c r="X473" s="104"/>
      <c r="Y473" s="104"/>
      <c r="Z473" s="104"/>
      <c r="AA473" s="104"/>
      <c r="AC473" s="104"/>
    </row>
    <row r="474" customFormat="false" ht="15" hidden="false" customHeight="false" outlineLevel="0" collapsed="false">
      <c r="A474" s="119" t="s">
        <v>866</v>
      </c>
      <c r="B474" s="119"/>
      <c r="C474" s="121"/>
      <c r="D474" s="187" t="b">
        <f aca="false">FALSE()</f>
        <v>0</v>
      </c>
      <c r="E474" s="122" t="s">
        <v>1219</v>
      </c>
      <c r="F474" s="104"/>
      <c r="G474" s="119" t="s">
        <v>1220</v>
      </c>
      <c r="H474" s="104"/>
      <c r="I474" s="104"/>
      <c r="J474" s="104"/>
      <c r="K474" s="104"/>
      <c r="L474" s="104"/>
      <c r="M474" s="104"/>
      <c r="N474" s="104"/>
      <c r="O474" s="104"/>
      <c r="P474" s="104"/>
      <c r="Q474" s="104"/>
      <c r="R474" s="104"/>
      <c r="S474" s="104"/>
      <c r="T474" s="104"/>
      <c r="U474" s="104"/>
      <c r="V474" s="104"/>
      <c r="W474" s="104"/>
      <c r="X474" s="104"/>
      <c r="Y474" s="104"/>
      <c r="Z474" s="104"/>
      <c r="AA474" s="104"/>
      <c r="AC474" s="104"/>
    </row>
    <row r="475" customFormat="false" ht="15" hidden="false" customHeight="false" outlineLevel="0" collapsed="false">
      <c r="A475" s="119" t="s">
        <v>277</v>
      </c>
      <c r="B475" s="119"/>
      <c r="C475" s="121"/>
      <c r="D475" s="187" t="b">
        <f aca="false">FALSE()</f>
        <v>0</v>
      </c>
      <c r="E475" s="122" t="s">
        <v>1219</v>
      </c>
      <c r="F475" s="104"/>
      <c r="G475" s="119" t="s">
        <v>1220</v>
      </c>
      <c r="H475" s="104"/>
      <c r="I475" s="104"/>
      <c r="J475" s="104"/>
      <c r="K475" s="104"/>
      <c r="L475" s="104"/>
      <c r="M475" s="104"/>
      <c r="N475" s="104"/>
      <c r="O475" s="104"/>
      <c r="P475" s="104"/>
      <c r="Q475" s="104"/>
      <c r="R475" s="104"/>
      <c r="S475" s="104"/>
      <c r="T475" s="104"/>
      <c r="U475" s="104"/>
      <c r="V475" s="104"/>
      <c r="W475" s="104"/>
      <c r="X475" s="104"/>
      <c r="Y475" s="104"/>
      <c r="Z475" s="104"/>
      <c r="AA475" s="104"/>
      <c r="AC475" s="104"/>
    </row>
    <row r="476" customFormat="false" ht="15" hidden="false" customHeight="false" outlineLevel="0" collapsed="false">
      <c r="B476" s="119"/>
      <c r="C476" s="121"/>
      <c r="D476" s="187" t="b">
        <f aca="false">FALSE()</f>
        <v>0</v>
      </c>
      <c r="E476" s="122" t="s">
        <v>941</v>
      </c>
      <c r="F476" s="104"/>
      <c r="G476" s="119" t="s">
        <v>1220</v>
      </c>
      <c r="H476" s="104"/>
      <c r="I476" s="104"/>
      <c r="J476" s="104"/>
      <c r="K476" s="104"/>
      <c r="L476" s="104"/>
      <c r="M476" s="104"/>
      <c r="N476" s="104"/>
      <c r="O476" s="104"/>
      <c r="P476" s="104"/>
      <c r="Q476" s="104"/>
      <c r="R476" s="104"/>
      <c r="S476" s="104"/>
      <c r="T476" s="104"/>
      <c r="U476" s="104"/>
      <c r="V476" s="104"/>
      <c r="W476" s="104"/>
      <c r="X476" s="104"/>
      <c r="Y476" s="104"/>
      <c r="Z476" s="104"/>
      <c r="AA476" s="104"/>
      <c r="AC476" s="104"/>
    </row>
    <row r="477" customFormat="false" ht="15" hidden="false" customHeight="false" outlineLevel="0" collapsed="false">
      <c r="A477" s="135" t="s">
        <v>435</v>
      </c>
      <c r="B477" s="119"/>
      <c r="C477" s="121"/>
      <c r="D477" s="187" t="b">
        <f aca="false">FALSE()</f>
        <v>0</v>
      </c>
      <c r="E477" s="122" t="s">
        <v>960</v>
      </c>
      <c r="F477" s="104"/>
      <c r="G477" s="119" t="s">
        <v>1221</v>
      </c>
      <c r="H477" s="104"/>
      <c r="I477" s="104"/>
      <c r="J477" s="104"/>
      <c r="K477" s="104"/>
      <c r="L477" s="104"/>
      <c r="M477" s="104"/>
      <c r="N477" s="104"/>
      <c r="O477" s="104"/>
      <c r="P477" s="104"/>
      <c r="Q477" s="104"/>
      <c r="R477" s="104"/>
      <c r="S477" s="104"/>
      <c r="T477" s="104"/>
      <c r="U477" s="104"/>
      <c r="V477" s="104"/>
      <c r="W477" s="104"/>
      <c r="X477" s="104"/>
      <c r="Y477" s="104"/>
      <c r="Z477" s="104"/>
      <c r="AA477" s="104"/>
      <c r="AC477" s="104"/>
    </row>
    <row r="478" customFormat="false" ht="15" hidden="false" customHeight="false" outlineLevel="0" collapsed="false">
      <c r="A478" s="135" t="s">
        <v>129</v>
      </c>
      <c r="B478" s="119"/>
      <c r="C478" s="121"/>
      <c r="D478" s="187" t="b">
        <f aca="false">FALSE()</f>
        <v>0</v>
      </c>
      <c r="E478" s="122" t="s">
        <v>1222</v>
      </c>
      <c r="F478" s="104"/>
      <c r="G478" s="119" t="s">
        <v>1223</v>
      </c>
      <c r="H478" s="104"/>
      <c r="I478" s="104"/>
      <c r="J478" s="104"/>
      <c r="K478" s="104"/>
      <c r="L478" s="104"/>
      <c r="M478" s="104"/>
      <c r="N478" s="104"/>
      <c r="O478" s="104"/>
      <c r="P478" s="104"/>
      <c r="Q478" s="104"/>
      <c r="R478" s="104"/>
      <c r="S478" s="104"/>
      <c r="T478" s="104"/>
      <c r="U478" s="104"/>
      <c r="V478" s="104"/>
      <c r="W478" s="104"/>
      <c r="X478" s="104"/>
      <c r="Y478" s="104"/>
      <c r="Z478" s="104"/>
      <c r="AA478" s="104"/>
      <c r="AC478" s="104"/>
    </row>
    <row r="479" customFormat="false" ht="15" hidden="false" customHeight="false" outlineLevel="0" collapsed="false">
      <c r="A479" s="135" t="s">
        <v>868</v>
      </c>
      <c r="B479" s="119"/>
      <c r="C479" s="121"/>
      <c r="D479" s="187" t="b">
        <f aca="false">FALSE()</f>
        <v>0</v>
      </c>
      <c r="E479" s="119" t="s">
        <v>921</v>
      </c>
      <c r="F479" s="104"/>
      <c r="G479" s="119" t="s">
        <v>1224</v>
      </c>
      <c r="H479" s="104"/>
      <c r="I479" s="104"/>
      <c r="J479" s="104"/>
      <c r="K479" s="104"/>
      <c r="L479" s="104"/>
      <c r="M479" s="104"/>
      <c r="N479" s="104"/>
      <c r="O479" s="104"/>
      <c r="P479" s="104"/>
      <c r="Q479" s="104"/>
      <c r="R479" s="104"/>
      <c r="S479" s="104"/>
      <c r="T479" s="104"/>
      <c r="U479" s="104"/>
      <c r="V479" s="104"/>
      <c r="W479" s="104"/>
      <c r="X479" s="104"/>
      <c r="Y479" s="104"/>
      <c r="Z479" s="104"/>
      <c r="AA479" s="104"/>
      <c r="AC479" s="104"/>
    </row>
    <row r="480" customFormat="false" ht="15" hidden="false" customHeight="false" outlineLevel="0" collapsed="false">
      <c r="A480" s="119" t="s">
        <v>869</v>
      </c>
      <c r="B480" s="119"/>
      <c r="C480" s="121"/>
      <c r="D480" s="187" t="b">
        <f aca="false">FALSE()</f>
        <v>0</v>
      </c>
      <c r="E480" s="119" t="s">
        <v>941</v>
      </c>
      <c r="F480" s="104"/>
      <c r="G480" s="119" t="s">
        <v>1225</v>
      </c>
      <c r="H480" s="104"/>
      <c r="I480" s="104"/>
      <c r="J480" s="104"/>
      <c r="K480" s="104"/>
      <c r="L480" s="104"/>
      <c r="M480" s="104"/>
      <c r="N480" s="104"/>
      <c r="O480" s="104"/>
      <c r="P480" s="104"/>
      <c r="Q480" s="104"/>
      <c r="R480" s="104"/>
      <c r="S480" s="104"/>
      <c r="T480" s="104"/>
      <c r="U480" s="104"/>
      <c r="V480" s="104"/>
      <c r="W480" s="104"/>
      <c r="X480" s="104"/>
      <c r="Y480" s="104"/>
      <c r="Z480" s="104"/>
      <c r="AA480" s="104"/>
      <c r="AC480" s="104"/>
    </row>
    <row r="481" customFormat="false" ht="15" hidden="false" customHeight="false" outlineLevel="0" collapsed="false">
      <c r="A481" s="119" t="s">
        <v>870</v>
      </c>
      <c r="B481" s="119"/>
      <c r="C481" s="121"/>
      <c r="D481" s="187" t="b">
        <f aca="false">FALSE()</f>
        <v>0</v>
      </c>
      <c r="E481" s="119" t="s">
        <v>992</v>
      </c>
      <c r="F481" s="104"/>
      <c r="G481" s="119" t="s">
        <v>1226</v>
      </c>
      <c r="H481" s="104"/>
      <c r="I481" s="104"/>
      <c r="J481" s="104"/>
      <c r="K481" s="104"/>
      <c r="L481" s="104"/>
      <c r="M481" s="104"/>
      <c r="N481" s="104"/>
      <c r="O481" s="104"/>
      <c r="P481" s="104"/>
      <c r="Q481" s="104"/>
      <c r="R481" s="104"/>
      <c r="S481" s="104"/>
      <c r="T481" s="104"/>
      <c r="U481" s="104"/>
      <c r="V481" s="104"/>
      <c r="W481" s="104"/>
      <c r="X481" s="104"/>
      <c r="Y481" s="104"/>
      <c r="Z481" s="104"/>
      <c r="AA481" s="104"/>
      <c r="AC481" s="104"/>
    </row>
    <row r="482" customFormat="false" ht="15" hidden="false" customHeight="false" outlineLevel="0" collapsed="false">
      <c r="A482" s="135" t="s">
        <v>416</v>
      </c>
      <c r="B482" s="119"/>
      <c r="C482" s="121"/>
      <c r="D482" s="187" t="b">
        <f aca="false">FALSE()</f>
        <v>0</v>
      </c>
      <c r="E482" s="119" t="s">
        <v>1209</v>
      </c>
      <c r="F482" s="104"/>
      <c r="G482" s="119" t="s">
        <v>1227</v>
      </c>
      <c r="H482" s="104"/>
      <c r="I482" s="104"/>
      <c r="J482" s="104"/>
      <c r="K482" s="104"/>
      <c r="L482" s="104"/>
      <c r="M482" s="104"/>
      <c r="N482" s="104"/>
      <c r="O482" s="104"/>
      <c r="P482" s="104"/>
      <c r="Q482" s="104"/>
      <c r="R482" s="104"/>
      <c r="S482" s="104"/>
      <c r="T482" s="104"/>
      <c r="U482" s="104"/>
      <c r="V482" s="104"/>
      <c r="W482" s="104"/>
      <c r="X482" s="104"/>
      <c r="Y482" s="104"/>
      <c r="Z482" s="104"/>
      <c r="AA482" s="104"/>
      <c r="AC482" s="104"/>
    </row>
    <row r="483" customFormat="false" ht="15" hidden="false" customHeight="false" outlineLevel="0" collapsed="false">
      <c r="A483" s="135" t="s">
        <v>871</v>
      </c>
      <c r="B483" s="119"/>
      <c r="C483" s="121"/>
      <c r="D483" s="187" t="b">
        <f aca="false">FALSE()</f>
        <v>0</v>
      </c>
      <c r="E483" s="119" t="s">
        <v>1209</v>
      </c>
      <c r="F483" s="104"/>
      <c r="G483" s="119" t="s">
        <v>1227</v>
      </c>
      <c r="H483" s="104"/>
      <c r="I483" s="104"/>
      <c r="J483" s="104"/>
      <c r="K483" s="104"/>
      <c r="L483" s="104"/>
      <c r="M483" s="104"/>
      <c r="N483" s="104"/>
      <c r="O483" s="104"/>
      <c r="P483" s="104"/>
      <c r="Q483" s="104"/>
      <c r="R483" s="104"/>
      <c r="S483" s="104"/>
      <c r="T483" s="104"/>
      <c r="U483" s="104"/>
      <c r="V483" s="104"/>
      <c r="W483" s="104"/>
      <c r="X483" s="104"/>
      <c r="Y483" s="104"/>
      <c r="Z483" s="104"/>
      <c r="AA483" s="104"/>
      <c r="AC483" s="104"/>
    </row>
    <row r="484" customFormat="false" ht="15" hidden="false" customHeight="false" outlineLevel="0" collapsed="false">
      <c r="A484" s="119"/>
      <c r="B484" s="119"/>
      <c r="C484" s="121"/>
      <c r="D484" s="187" t="b">
        <f aca="false">FALSE()</f>
        <v>0</v>
      </c>
      <c r="E484" s="119"/>
      <c r="F484" s="104"/>
      <c r="G484" s="119"/>
      <c r="H484" s="104"/>
      <c r="I484" s="104"/>
      <c r="J484" s="104"/>
      <c r="K484" s="104"/>
      <c r="L484" s="104"/>
      <c r="M484" s="104"/>
      <c r="N484" s="104"/>
      <c r="O484" s="104"/>
      <c r="P484" s="104"/>
      <c r="Q484" s="104"/>
      <c r="R484" s="104"/>
      <c r="S484" s="104"/>
      <c r="T484" s="104"/>
      <c r="U484" s="104"/>
      <c r="V484" s="104"/>
      <c r="W484" s="104"/>
      <c r="X484" s="104"/>
      <c r="Y484" s="104"/>
      <c r="Z484" s="104"/>
      <c r="AA484" s="104"/>
      <c r="AC484" s="104"/>
    </row>
    <row r="485" customFormat="false" ht="15" hidden="false" customHeight="false" outlineLevel="0" collapsed="false">
      <c r="A485" s="119"/>
      <c r="B485" s="119"/>
      <c r="C485" s="121"/>
      <c r="D485" s="187" t="b">
        <f aca="false">FALSE()</f>
        <v>0</v>
      </c>
      <c r="E485" s="119"/>
      <c r="F485" s="104"/>
      <c r="G485" s="119"/>
      <c r="H485" s="104"/>
      <c r="I485" s="104"/>
      <c r="J485" s="104"/>
      <c r="K485" s="104"/>
      <c r="L485" s="104"/>
      <c r="M485" s="104"/>
      <c r="N485" s="104"/>
      <c r="O485" s="104"/>
      <c r="P485" s="104"/>
      <c r="Q485" s="104"/>
      <c r="R485" s="104"/>
      <c r="S485" s="104"/>
      <c r="T485" s="104"/>
      <c r="U485" s="104"/>
      <c r="V485" s="104"/>
      <c r="W485" s="104"/>
      <c r="X485" s="104"/>
      <c r="Y485" s="104"/>
      <c r="Z485" s="104"/>
      <c r="AA485" s="104"/>
      <c r="AC485" s="104"/>
    </row>
    <row r="486" customFormat="false" ht="15" hidden="false" customHeight="false" outlineLevel="0" collapsed="false">
      <c r="A486" s="119"/>
      <c r="B486" s="119"/>
      <c r="C486" s="121"/>
      <c r="D486" s="187" t="b">
        <f aca="false">FALSE()</f>
        <v>0</v>
      </c>
      <c r="E486" s="119"/>
      <c r="F486" s="104"/>
      <c r="G486" s="119"/>
      <c r="H486" s="104"/>
      <c r="I486" s="104"/>
      <c r="J486" s="104"/>
      <c r="K486" s="104"/>
      <c r="L486" s="104"/>
      <c r="M486" s="104"/>
      <c r="N486" s="104"/>
      <c r="O486" s="104"/>
      <c r="P486" s="104"/>
      <c r="Q486" s="104"/>
      <c r="R486" s="104"/>
      <c r="S486" s="104"/>
      <c r="T486" s="104"/>
      <c r="U486" s="104"/>
      <c r="V486" s="104"/>
      <c r="W486" s="104"/>
      <c r="X486" s="104"/>
      <c r="Y486" s="104"/>
      <c r="Z486" s="104"/>
      <c r="AA486" s="104"/>
      <c r="AC486" s="104"/>
    </row>
    <row r="487" customFormat="false" ht="15" hidden="false" customHeight="false" outlineLevel="0" collapsed="false">
      <c r="A487" s="119"/>
      <c r="B487" s="119"/>
      <c r="C487" s="121"/>
      <c r="D487" s="187" t="b">
        <f aca="false">FALSE()</f>
        <v>0</v>
      </c>
      <c r="E487" s="119"/>
      <c r="F487" s="104"/>
      <c r="G487" s="119"/>
      <c r="H487" s="104"/>
      <c r="I487" s="104"/>
      <c r="J487" s="104"/>
      <c r="K487" s="104"/>
      <c r="L487" s="104"/>
      <c r="M487" s="104"/>
      <c r="N487" s="104"/>
      <c r="O487" s="104"/>
      <c r="P487" s="104"/>
      <c r="Q487" s="104"/>
      <c r="R487" s="104"/>
      <c r="S487" s="104"/>
      <c r="T487" s="104"/>
      <c r="U487" s="104"/>
      <c r="V487" s="104"/>
      <c r="W487" s="104"/>
      <c r="X487" s="104"/>
      <c r="Y487" s="104"/>
      <c r="Z487" s="104"/>
      <c r="AA487" s="104"/>
      <c r="AC487" s="104"/>
    </row>
    <row r="488" customFormat="false" ht="15" hidden="false" customHeight="false" outlineLevel="0" collapsed="false">
      <c r="A488" s="119"/>
      <c r="B488" s="119"/>
      <c r="C488" s="121"/>
      <c r="D488" s="187" t="b">
        <f aca="false">FALSE()</f>
        <v>0</v>
      </c>
      <c r="E488" s="119"/>
      <c r="F488" s="104"/>
      <c r="G488" s="119"/>
      <c r="H488" s="104"/>
      <c r="I488" s="104"/>
      <c r="J488" s="104"/>
      <c r="K488" s="104"/>
      <c r="L488" s="104"/>
      <c r="M488" s="104"/>
      <c r="N488" s="104"/>
      <c r="O488" s="104"/>
      <c r="P488" s="104"/>
      <c r="Q488" s="104"/>
      <c r="R488" s="104"/>
      <c r="S488" s="104"/>
      <c r="T488" s="104"/>
      <c r="U488" s="104"/>
      <c r="V488" s="104"/>
      <c r="W488" s="104"/>
      <c r="X488" s="104"/>
      <c r="Y488" s="104"/>
      <c r="Z488" s="104"/>
      <c r="AA488" s="104"/>
      <c r="AC488" s="104"/>
    </row>
    <row r="489" customFormat="false" ht="15" hidden="false" customHeight="false" outlineLevel="0" collapsed="false">
      <c r="A489" s="119"/>
      <c r="B489" s="119"/>
      <c r="C489" s="121"/>
      <c r="D489" s="187" t="b">
        <f aca="false">FALSE()</f>
        <v>0</v>
      </c>
      <c r="E489" s="119"/>
      <c r="F489" s="104"/>
      <c r="G489" s="119"/>
      <c r="H489" s="104"/>
      <c r="I489" s="104"/>
      <c r="J489" s="104"/>
      <c r="K489" s="104"/>
      <c r="L489" s="104"/>
      <c r="M489" s="104"/>
      <c r="N489" s="104"/>
      <c r="O489" s="104"/>
      <c r="P489" s="104"/>
      <c r="Q489" s="104"/>
      <c r="R489" s="104"/>
      <c r="S489" s="104"/>
      <c r="T489" s="104"/>
      <c r="U489" s="104"/>
      <c r="V489" s="104"/>
      <c r="W489" s="104"/>
      <c r="X489" s="104"/>
      <c r="Y489" s="104"/>
      <c r="Z489" s="104"/>
      <c r="AA489" s="104"/>
      <c r="AC489" s="104"/>
    </row>
    <row r="490" customFormat="false" ht="15" hidden="false" customHeight="false" outlineLevel="0" collapsed="false">
      <c r="A490" s="119"/>
      <c r="B490" s="119"/>
      <c r="C490" s="121"/>
      <c r="D490" s="187" t="b">
        <f aca="false">FALSE()</f>
        <v>0</v>
      </c>
      <c r="E490" s="119"/>
      <c r="F490" s="104"/>
      <c r="G490" s="119"/>
      <c r="H490" s="104"/>
      <c r="I490" s="104"/>
      <c r="J490" s="104"/>
      <c r="K490" s="104"/>
      <c r="L490" s="104"/>
      <c r="M490" s="104"/>
      <c r="N490" s="104"/>
      <c r="O490" s="104"/>
      <c r="P490" s="104"/>
      <c r="Q490" s="104"/>
      <c r="R490" s="104"/>
      <c r="S490" s="104"/>
      <c r="T490" s="104"/>
      <c r="U490" s="104"/>
      <c r="V490" s="104"/>
      <c r="W490" s="104"/>
      <c r="X490" s="104"/>
      <c r="Y490" s="104"/>
      <c r="Z490" s="104"/>
      <c r="AA490" s="104"/>
      <c r="AC490" s="104"/>
    </row>
    <row r="491" customFormat="false" ht="15" hidden="false" customHeight="false" outlineLevel="0" collapsed="false">
      <c r="A491" s="119"/>
      <c r="B491" s="119"/>
      <c r="C491" s="121"/>
      <c r="D491" s="187" t="b">
        <f aca="false">FALSE()</f>
        <v>0</v>
      </c>
      <c r="E491" s="119"/>
      <c r="F491" s="104"/>
      <c r="G491" s="119"/>
      <c r="H491" s="104"/>
      <c r="I491" s="104"/>
      <c r="J491" s="104"/>
      <c r="K491" s="104"/>
      <c r="L491" s="104"/>
      <c r="M491" s="104"/>
      <c r="N491" s="104"/>
      <c r="O491" s="104"/>
      <c r="P491" s="104"/>
      <c r="Q491" s="104"/>
      <c r="R491" s="104"/>
      <c r="S491" s="104"/>
      <c r="T491" s="104"/>
      <c r="U491" s="104"/>
      <c r="V491" s="104"/>
      <c r="W491" s="104"/>
      <c r="X491" s="104"/>
      <c r="Y491" s="104"/>
      <c r="Z491" s="104"/>
      <c r="AA491" s="104"/>
      <c r="AC491" s="104"/>
    </row>
    <row r="492" customFormat="false" ht="15" hidden="false" customHeight="false" outlineLevel="0" collapsed="false">
      <c r="A492" s="119"/>
      <c r="B492" s="119"/>
      <c r="C492" s="121"/>
      <c r="D492" s="187" t="b">
        <f aca="false">FALSE()</f>
        <v>0</v>
      </c>
      <c r="E492" s="119"/>
      <c r="F492" s="104"/>
      <c r="G492" s="119"/>
      <c r="H492" s="104"/>
      <c r="I492" s="104"/>
      <c r="J492" s="104"/>
      <c r="K492" s="104"/>
      <c r="L492" s="104"/>
      <c r="M492" s="104"/>
      <c r="N492" s="104"/>
      <c r="O492" s="104"/>
      <c r="P492" s="104"/>
      <c r="Q492" s="104"/>
      <c r="R492" s="104"/>
      <c r="S492" s="104"/>
      <c r="T492" s="104"/>
      <c r="U492" s="104"/>
      <c r="V492" s="104"/>
      <c r="W492" s="104"/>
      <c r="X492" s="104"/>
      <c r="Y492" s="104"/>
      <c r="Z492" s="104"/>
      <c r="AA492" s="104"/>
      <c r="AC492" s="104"/>
    </row>
    <row r="493" customFormat="false" ht="15" hidden="false" customHeight="false" outlineLevel="0" collapsed="false">
      <c r="A493" s="119"/>
      <c r="B493" s="119"/>
      <c r="C493" s="121"/>
      <c r="D493" s="187" t="b">
        <f aca="false">FALSE()</f>
        <v>0</v>
      </c>
      <c r="E493" s="119"/>
      <c r="F493" s="104"/>
      <c r="G493" s="119"/>
      <c r="H493" s="104"/>
      <c r="I493" s="104"/>
      <c r="J493" s="104"/>
      <c r="K493" s="104"/>
      <c r="L493" s="104"/>
      <c r="M493" s="104"/>
      <c r="N493" s="104"/>
      <c r="O493" s="104"/>
      <c r="P493" s="104"/>
      <c r="Q493" s="104"/>
      <c r="R493" s="104"/>
      <c r="S493" s="104"/>
      <c r="T493" s="104"/>
      <c r="U493" s="104"/>
      <c r="V493" s="104"/>
      <c r="W493" s="104"/>
      <c r="X493" s="104"/>
      <c r="Y493" s="104"/>
      <c r="Z493" s="104"/>
      <c r="AA493" s="104"/>
      <c r="AC493" s="104"/>
    </row>
    <row r="494" customFormat="false" ht="15" hidden="false" customHeight="false" outlineLevel="0" collapsed="false">
      <c r="A494" s="119"/>
      <c r="B494" s="119"/>
      <c r="C494" s="121"/>
      <c r="D494" s="187" t="b">
        <f aca="false">FALSE()</f>
        <v>0</v>
      </c>
      <c r="E494" s="119"/>
      <c r="F494" s="104"/>
      <c r="G494" s="119"/>
      <c r="H494" s="104"/>
      <c r="I494" s="104"/>
      <c r="J494" s="104"/>
      <c r="K494" s="104"/>
      <c r="L494" s="104"/>
      <c r="M494" s="104"/>
      <c r="N494" s="104"/>
      <c r="O494" s="104"/>
      <c r="P494" s="104"/>
      <c r="Q494" s="104"/>
      <c r="R494" s="104"/>
      <c r="S494" s="104"/>
      <c r="T494" s="104"/>
      <c r="U494" s="104"/>
      <c r="V494" s="104"/>
      <c r="W494" s="104"/>
      <c r="X494" s="104"/>
      <c r="Y494" s="104"/>
      <c r="Z494" s="104"/>
      <c r="AA494" s="104"/>
      <c r="AC494" s="104"/>
    </row>
    <row r="495" customFormat="false" ht="15" hidden="false" customHeight="true" outlineLevel="0" collapsed="false">
      <c r="A495" s="119"/>
      <c r="B495" s="119"/>
      <c r="C495" s="121"/>
      <c r="D495" s="187" t="b">
        <f aca="false">FALSE()</f>
        <v>0</v>
      </c>
      <c r="E495" s="119"/>
      <c r="F495" s="104"/>
      <c r="G495" s="119"/>
      <c r="H495" s="104"/>
      <c r="I495" s="104"/>
      <c r="J495" s="104"/>
      <c r="K495" s="104"/>
      <c r="L495" s="104"/>
      <c r="M495" s="104"/>
      <c r="N495" s="104"/>
      <c r="O495" s="104"/>
      <c r="P495" s="104"/>
      <c r="Q495" s="104"/>
      <c r="R495" s="104"/>
      <c r="S495" s="104"/>
      <c r="T495" s="104"/>
      <c r="U495" s="104"/>
      <c r="V495" s="104"/>
      <c r="W495" s="104"/>
      <c r="X495" s="104"/>
      <c r="Y495" s="104"/>
      <c r="Z495" s="104"/>
      <c r="AA495" s="104"/>
      <c r="AC495" s="104"/>
    </row>
    <row r="496" customFormat="false" ht="15" hidden="false" customHeight="false" outlineLevel="0" collapsed="false">
      <c r="A496" s="119"/>
      <c r="B496" s="104"/>
      <c r="C496" s="147"/>
      <c r="D496" s="187" t="b">
        <f aca="false">FALSE()</f>
        <v>0</v>
      </c>
      <c r="E496" s="119"/>
      <c r="F496" s="104"/>
      <c r="G496" s="119"/>
      <c r="H496" s="104"/>
      <c r="I496" s="104"/>
      <c r="J496" s="104"/>
      <c r="K496" s="104"/>
      <c r="L496" s="104"/>
      <c r="M496" s="104"/>
      <c r="N496" s="104"/>
      <c r="O496" s="104"/>
      <c r="P496" s="104"/>
      <c r="Q496" s="104"/>
      <c r="R496" s="104"/>
      <c r="S496" s="104"/>
      <c r="T496" s="104"/>
      <c r="U496" s="104"/>
      <c r="V496" s="104"/>
      <c r="W496" s="104"/>
      <c r="X496" s="104"/>
      <c r="Y496" s="104"/>
      <c r="Z496" s="104"/>
      <c r="AA496" s="104"/>
      <c r="AC496" s="104"/>
    </row>
    <row r="497" customFormat="false" ht="15" hidden="false" customHeight="false" outlineLevel="0" collapsed="false">
      <c r="A497" s="119"/>
      <c r="B497" s="104"/>
      <c r="C497" s="147"/>
      <c r="D497" s="187" t="b">
        <f aca="false">FALSE()</f>
        <v>0</v>
      </c>
      <c r="E497" s="119"/>
      <c r="F497" s="104"/>
      <c r="G497" s="119"/>
      <c r="H497" s="104"/>
      <c r="I497" s="104"/>
      <c r="J497" s="104"/>
      <c r="K497" s="104"/>
      <c r="L497" s="104"/>
      <c r="M497" s="104"/>
      <c r="N497" s="104"/>
      <c r="O497" s="104"/>
      <c r="P497" s="104"/>
      <c r="Q497" s="104"/>
      <c r="R497" s="104"/>
      <c r="S497" s="104"/>
      <c r="T497" s="104"/>
      <c r="U497" s="104"/>
      <c r="V497" s="104"/>
      <c r="W497" s="104"/>
      <c r="X497" s="104"/>
      <c r="Y497" s="104"/>
      <c r="Z497" s="104"/>
      <c r="AA497" s="104"/>
      <c r="AC497" s="104"/>
    </row>
    <row r="498" customFormat="false" ht="15" hidden="false" customHeight="false" outlineLevel="0" collapsed="false">
      <c r="A498" s="119"/>
      <c r="B498" s="104"/>
      <c r="C498" s="147"/>
      <c r="D498" s="187" t="b">
        <f aca="false">FALSE()</f>
        <v>0</v>
      </c>
      <c r="E498" s="119"/>
      <c r="F498" s="104"/>
      <c r="G498" s="119"/>
      <c r="H498" s="104"/>
      <c r="I498" s="104"/>
      <c r="J498" s="104"/>
      <c r="K498" s="104"/>
      <c r="L498" s="104"/>
      <c r="M498" s="104"/>
      <c r="N498" s="104"/>
      <c r="O498" s="104"/>
      <c r="P498" s="104"/>
      <c r="Q498" s="104"/>
      <c r="R498" s="104"/>
      <c r="S498" s="104"/>
      <c r="T498" s="104"/>
      <c r="U498" s="104"/>
      <c r="V498" s="104"/>
      <c r="W498" s="104"/>
      <c r="X498" s="104"/>
      <c r="Y498" s="104"/>
      <c r="Z498" s="104"/>
      <c r="AA498" s="104"/>
      <c r="AC498" s="104"/>
    </row>
    <row r="499" customFormat="false" ht="15" hidden="false" customHeight="false" outlineLevel="0" collapsed="false">
      <c r="A499" s="119"/>
      <c r="B499" s="104"/>
      <c r="C499" s="147"/>
      <c r="D499" s="187" t="b">
        <f aca="false">FALSE()</f>
        <v>0</v>
      </c>
      <c r="E499" s="119"/>
      <c r="F499" s="104"/>
      <c r="G499" s="119"/>
      <c r="H499" s="104"/>
      <c r="I499" s="104"/>
      <c r="J499" s="104"/>
      <c r="K499" s="104"/>
      <c r="L499" s="104"/>
      <c r="M499" s="104"/>
      <c r="N499" s="104"/>
      <c r="O499" s="104"/>
      <c r="P499" s="104"/>
      <c r="Q499" s="104"/>
      <c r="R499" s="104"/>
      <c r="S499" s="104"/>
      <c r="T499" s="104"/>
      <c r="U499" s="104"/>
      <c r="V499" s="104"/>
      <c r="W499" s="104"/>
      <c r="X499" s="104"/>
      <c r="Y499" s="104"/>
      <c r="Z499" s="104"/>
      <c r="AA499" s="104"/>
      <c r="AC499" s="104"/>
    </row>
    <row r="500" customFormat="false" ht="15" hidden="false" customHeight="false" outlineLevel="0" collapsed="false">
      <c r="A500" s="119"/>
      <c r="B500" s="104"/>
      <c r="C500" s="147"/>
      <c r="D500" s="187" t="b">
        <f aca="false">FALSE()</f>
        <v>0</v>
      </c>
      <c r="E500" s="119"/>
      <c r="F500" s="104"/>
      <c r="G500" s="119"/>
      <c r="H500" s="104"/>
      <c r="I500" s="104"/>
      <c r="J500" s="104"/>
      <c r="K500" s="104"/>
      <c r="L500" s="104"/>
      <c r="M500" s="104"/>
      <c r="N500" s="104"/>
      <c r="O500" s="104"/>
      <c r="P500" s="104"/>
      <c r="Q500" s="104"/>
      <c r="R500" s="104"/>
      <c r="S500" s="104"/>
      <c r="T500" s="104"/>
      <c r="U500" s="104"/>
      <c r="V500" s="104"/>
      <c r="W500" s="104"/>
      <c r="X500" s="104"/>
      <c r="Y500" s="104"/>
      <c r="Z500" s="104"/>
      <c r="AA500" s="104"/>
      <c r="AC500" s="104"/>
    </row>
    <row r="501" customFormat="false" ht="15" hidden="false" customHeight="false" outlineLevel="0" collapsed="false">
      <c r="A501" s="119"/>
      <c r="B501" s="104"/>
      <c r="C501" s="147"/>
      <c r="D501" s="187" t="b">
        <f aca="false">FALSE()</f>
        <v>0</v>
      </c>
      <c r="E501" s="119"/>
      <c r="F501" s="104"/>
      <c r="G501" s="119"/>
      <c r="H501" s="104"/>
      <c r="I501" s="104"/>
      <c r="J501" s="104"/>
      <c r="K501" s="104"/>
      <c r="L501" s="104"/>
      <c r="M501" s="104"/>
      <c r="N501" s="104"/>
      <c r="O501" s="104"/>
      <c r="P501" s="104"/>
      <c r="Q501" s="104"/>
      <c r="R501" s="104"/>
      <c r="S501" s="104"/>
      <c r="T501" s="104"/>
      <c r="U501" s="104"/>
      <c r="V501" s="104"/>
      <c r="W501" s="104"/>
      <c r="X501" s="104"/>
      <c r="Y501" s="104"/>
      <c r="Z501" s="104"/>
      <c r="AA501" s="104"/>
      <c r="AC501" s="104"/>
    </row>
    <row r="502" customFormat="false" ht="15" hidden="false" customHeight="false" outlineLevel="0" collapsed="false">
      <c r="A502" s="119"/>
      <c r="B502" s="104"/>
      <c r="C502" s="147"/>
      <c r="D502" s="187" t="b">
        <f aca="false">FALSE()</f>
        <v>0</v>
      </c>
      <c r="E502" s="119"/>
      <c r="F502" s="104"/>
      <c r="G502" s="119"/>
      <c r="H502" s="104"/>
      <c r="I502" s="104"/>
      <c r="J502" s="104"/>
      <c r="K502" s="104"/>
      <c r="L502" s="104"/>
      <c r="M502" s="104"/>
      <c r="N502" s="104"/>
      <c r="O502" s="104"/>
      <c r="P502" s="104"/>
      <c r="Q502" s="104"/>
      <c r="R502" s="104"/>
      <c r="S502" s="104"/>
      <c r="T502" s="104"/>
      <c r="U502" s="104"/>
      <c r="V502" s="104"/>
      <c r="W502" s="104"/>
      <c r="X502" s="104"/>
      <c r="Y502" s="104"/>
      <c r="Z502" s="104"/>
      <c r="AA502" s="104"/>
      <c r="AC502" s="104"/>
    </row>
    <row r="503" customFormat="false" ht="15" hidden="false" customHeight="false" outlineLevel="0" collapsed="false">
      <c r="A503" s="119"/>
      <c r="B503" s="104"/>
      <c r="C503" s="147"/>
      <c r="D503" s="187" t="b">
        <f aca="false">FALSE()</f>
        <v>0</v>
      </c>
      <c r="E503" s="119"/>
      <c r="F503" s="104"/>
      <c r="G503" s="119"/>
      <c r="H503" s="104"/>
      <c r="I503" s="104"/>
      <c r="J503" s="104"/>
      <c r="K503" s="104"/>
      <c r="L503" s="104"/>
      <c r="M503" s="104"/>
      <c r="N503" s="104"/>
      <c r="O503" s="104"/>
      <c r="P503" s="104"/>
      <c r="Q503" s="104"/>
      <c r="R503" s="104"/>
      <c r="S503" s="104"/>
      <c r="T503" s="104"/>
      <c r="U503" s="104"/>
      <c r="V503" s="104"/>
      <c r="W503" s="104"/>
      <c r="X503" s="104"/>
      <c r="Y503" s="104"/>
      <c r="Z503" s="104"/>
      <c r="AA503" s="104"/>
      <c r="AC503" s="104"/>
    </row>
    <row r="504" customFormat="false" ht="15" hidden="false" customHeight="false" outlineLevel="0" collapsed="false">
      <c r="A504" s="119"/>
      <c r="B504" s="104"/>
      <c r="C504" s="147"/>
      <c r="D504" s="187" t="b">
        <f aca="false">FALSE()</f>
        <v>0</v>
      </c>
      <c r="E504" s="119"/>
      <c r="F504" s="104"/>
      <c r="G504" s="119"/>
      <c r="H504" s="104"/>
      <c r="I504" s="104"/>
      <c r="J504" s="104"/>
      <c r="K504" s="104"/>
      <c r="L504" s="104"/>
      <c r="M504" s="104"/>
      <c r="N504" s="104"/>
      <c r="O504" s="104"/>
      <c r="P504" s="104"/>
      <c r="Q504" s="104"/>
      <c r="R504" s="104"/>
      <c r="S504" s="104"/>
      <c r="T504" s="104"/>
      <c r="U504" s="104"/>
      <c r="V504" s="104"/>
      <c r="W504" s="104"/>
      <c r="X504" s="104"/>
      <c r="Y504" s="104"/>
      <c r="Z504" s="104"/>
      <c r="AA504" s="104"/>
      <c r="AC504" s="104"/>
    </row>
    <row r="505" customFormat="false" ht="15" hidden="false" customHeight="false" outlineLevel="0" collapsed="false">
      <c r="A505" s="119"/>
      <c r="B505" s="104"/>
      <c r="C505" s="147"/>
      <c r="D505" s="187" t="b">
        <f aca="false">FALSE()</f>
        <v>0</v>
      </c>
      <c r="E505" s="119"/>
      <c r="F505" s="104"/>
      <c r="G505" s="119"/>
      <c r="H505" s="104"/>
      <c r="I505" s="104"/>
      <c r="J505" s="104"/>
      <c r="K505" s="104"/>
      <c r="L505" s="104"/>
      <c r="M505" s="104"/>
      <c r="N505" s="104"/>
      <c r="O505" s="104"/>
      <c r="P505" s="104"/>
      <c r="Q505" s="104"/>
      <c r="R505" s="104"/>
      <c r="S505" s="104"/>
      <c r="T505" s="104"/>
      <c r="U505" s="104"/>
      <c r="V505" s="104"/>
      <c r="W505" s="104"/>
      <c r="X505" s="104"/>
      <c r="Y505" s="104"/>
      <c r="Z505" s="104"/>
      <c r="AA505" s="104"/>
      <c r="AC505" s="104"/>
    </row>
    <row r="506" customFormat="false" ht="15" hidden="false" customHeight="false" outlineLevel="0" collapsed="false">
      <c r="A506" s="119"/>
      <c r="B506" s="104"/>
      <c r="C506" s="147"/>
      <c r="D506" s="187" t="b">
        <f aca="false">FALSE()</f>
        <v>0</v>
      </c>
      <c r="E506" s="119"/>
      <c r="F506" s="104"/>
      <c r="G506" s="119"/>
      <c r="H506" s="104"/>
      <c r="I506" s="104"/>
      <c r="J506" s="104"/>
      <c r="K506" s="104"/>
      <c r="L506" s="104"/>
      <c r="M506" s="104"/>
      <c r="N506" s="104"/>
      <c r="O506" s="104"/>
      <c r="P506" s="104"/>
      <c r="Q506" s="104"/>
      <c r="R506" s="104"/>
      <c r="S506" s="104"/>
      <c r="T506" s="104"/>
      <c r="U506" s="104"/>
      <c r="V506" s="104"/>
      <c r="W506" s="104"/>
      <c r="X506" s="104"/>
      <c r="Y506" s="104"/>
      <c r="Z506" s="104"/>
      <c r="AA506" s="104"/>
      <c r="AC506" s="104"/>
    </row>
    <row r="507" customFormat="false" ht="15" hidden="false" customHeight="false" outlineLevel="0" collapsed="false">
      <c r="A507" s="119"/>
      <c r="B507" s="104"/>
      <c r="C507" s="147"/>
      <c r="D507" s="187" t="b">
        <f aca="false">FALSE()</f>
        <v>0</v>
      </c>
      <c r="E507" s="119"/>
      <c r="F507" s="104"/>
      <c r="G507" s="119"/>
      <c r="H507" s="104"/>
      <c r="I507" s="104"/>
      <c r="J507" s="104"/>
      <c r="K507" s="104"/>
      <c r="L507" s="104"/>
      <c r="M507" s="104"/>
      <c r="N507" s="104"/>
      <c r="O507" s="104"/>
      <c r="P507" s="104"/>
      <c r="Q507" s="104"/>
      <c r="R507" s="104"/>
      <c r="S507" s="104"/>
      <c r="T507" s="104"/>
      <c r="U507" s="104"/>
      <c r="V507" s="104"/>
      <c r="W507" s="104"/>
      <c r="X507" s="104"/>
      <c r="Y507" s="104"/>
      <c r="Z507" s="104"/>
      <c r="AA507" s="104"/>
      <c r="AC507" s="104"/>
    </row>
    <row r="508" customFormat="false" ht="15" hidden="false" customHeight="false" outlineLevel="0" collapsed="false">
      <c r="A508" s="119"/>
      <c r="B508" s="104"/>
      <c r="C508" s="147"/>
      <c r="D508" s="187" t="b">
        <f aca="false">FALSE()</f>
        <v>0</v>
      </c>
      <c r="E508" s="119"/>
      <c r="F508" s="104"/>
      <c r="G508" s="119"/>
      <c r="H508" s="104"/>
      <c r="I508" s="104"/>
      <c r="J508" s="104"/>
      <c r="K508" s="104"/>
      <c r="L508" s="104"/>
      <c r="M508" s="104"/>
      <c r="N508" s="104"/>
      <c r="O508" s="104"/>
      <c r="P508" s="104"/>
      <c r="Q508" s="104"/>
      <c r="R508" s="104"/>
      <c r="S508" s="104"/>
      <c r="T508" s="104"/>
      <c r="U508" s="104"/>
      <c r="V508" s="104"/>
      <c r="W508" s="104"/>
      <c r="X508" s="104"/>
      <c r="Y508" s="104"/>
      <c r="Z508" s="104"/>
      <c r="AA508" s="104"/>
      <c r="AC508" s="104"/>
    </row>
    <row r="509" customFormat="false" ht="15" hidden="false" customHeight="false" outlineLevel="0" collapsed="false">
      <c r="A509" s="119"/>
      <c r="B509" s="104"/>
      <c r="C509" s="147"/>
      <c r="D509" s="187" t="b">
        <f aca="false">FALSE()</f>
        <v>0</v>
      </c>
      <c r="E509" s="119"/>
      <c r="F509" s="104"/>
      <c r="G509" s="119"/>
      <c r="H509" s="104"/>
      <c r="I509" s="104"/>
      <c r="J509" s="104"/>
      <c r="K509" s="104"/>
      <c r="L509" s="104"/>
      <c r="M509" s="104"/>
      <c r="N509" s="104"/>
      <c r="O509" s="104"/>
      <c r="P509" s="104"/>
      <c r="Q509" s="104"/>
      <c r="R509" s="104"/>
      <c r="S509" s="104"/>
      <c r="T509" s="104"/>
      <c r="U509" s="104"/>
      <c r="V509" s="104"/>
      <c r="W509" s="104"/>
      <c r="X509" s="104"/>
      <c r="Y509" s="104"/>
      <c r="Z509" s="104"/>
      <c r="AA509" s="104"/>
      <c r="AC509" s="104"/>
    </row>
    <row r="510" customFormat="false" ht="15" hidden="false" customHeight="false" outlineLevel="0" collapsed="false">
      <c r="A510" s="119"/>
      <c r="B510" s="104"/>
      <c r="C510" s="147"/>
      <c r="D510" s="187" t="b">
        <f aca="false">FALSE()</f>
        <v>0</v>
      </c>
      <c r="E510" s="119"/>
      <c r="F510" s="104"/>
      <c r="G510" s="119"/>
      <c r="H510" s="104"/>
      <c r="I510" s="104"/>
      <c r="J510" s="104"/>
      <c r="K510" s="104"/>
      <c r="L510" s="104"/>
      <c r="M510" s="104"/>
      <c r="N510" s="104"/>
      <c r="O510" s="104"/>
      <c r="P510" s="104"/>
      <c r="Q510" s="104"/>
      <c r="R510" s="104"/>
      <c r="S510" s="104"/>
      <c r="T510" s="104"/>
      <c r="U510" s="104"/>
      <c r="V510" s="104"/>
      <c r="W510" s="104"/>
      <c r="X510" s="104"/>
      <c r="Y510" s="104"/>
      <c r="Z510" s="104"/>
      <c r="AA510" s="104"/>
      <c r="AC510" s="104"/>
    </row>
    <row r="511" customFormat="false" ht="15" hidden="false" customHeight="false" outlineLevel="0" collapsed="false">
      <c r="A511" s="119"/>
      <c r="B511" s="104"/>
      <c r="C511" s="147"/>
      <c r="D511" s="187" t="b">
        <f aca="false">FALSE()</f>
        <v>0</v>
      </c>
      <c r="E511" s="119"/>
      <c r="F511" s="104"/>
      <c r="G511" s="119"/>
      <c r="H511" s="104"/>
      <c r="I511" s="104"/>
      <c r="J511" s="104"/>
      <c r="K511" s="104"/>
      <c r="L511" s="104"/>
      <c r="M511" s="104"/>
      <c r="N511" s="104"/>
      <c r="O511" s="104"/>
      <c r="P511" s="104"/>
      <c r="Q511" s="104"/>
      <c r="R511" s="104"/>
      <c r="S511" s="104"/>
      <c r="T511" s="104"/>
      <c r="U511" s="104"/>
      <c r="V511" s="104"/>
      <c r="W511" s="104"/>
      <c r="X511" s="104"/>
      <c r="Y511" s="104"/>
      <c r="Z511" s="104"/>
      <c r="AA511" s="104"/>
      <c r="AC511" s="104"/>
    </row>
    <row r="512" customFormat="false" ht="15" hidden="false" customHeight="false" outlineLevel="0" collapsed="false">
      <c r="A512" s="119"/>
      <c r="B512" s="104"/>
      <c r="C512" s="147"/>
      <c r="D512" s="187" t="b">
        <f aca="false">FALSE()</f>
        <v>0</v>
      </c>
      <c r="E512" s="119"/>
      <c r="F512" s="104"/>
      <c r="G512" s="119"/>
      <c r="H512" s="104"/>
      <c r="I512" s="104"/>
      <c r="J512" s="104"/>
      <c r="K512" s="104"/>
      <c r="L512" s="104"/>
      <c r="M512" s="104"/>
      <c r="N512" s="104"/>
      <c r="O512" s="104"/>
      <c r="P512" s="104"/>
      <c r="Q512" s="104"/>
      <c r="R512" s="104"/>
      <c r="S512" s="104"/>
      <c r="T512" s="104"/>
      <c r="U512" s="104"/>
      <c r="V512" s="104"/>
      <c r="W512" s="104"/>
      <c r="X512" s="104"/>
      <c r="Y512" s="104"/>
      <c r="Z512" s="104"/>
      <c r="AA512" s="104"/>
      <c r="AC512" s="104"/>
    </row>
    <row r="513" customFormat="false" ht="15" hidden="false" customHeight="false" outlineLevel="0" collapsed="false">
      <c r="A513" s="119"/>
      <c r="B513" s="104"/>
      <c r="C513" s="147"/>
      <c r="D513" s="187" t="b">
        <f aca="false">FALSE()</f>
        <v>0</v>
      </c>
      <c r="E513" s="119"/>
      <c r="F513" s="104"/>
      <c r="G513" s="119"/>
      <c r="H513" s="104"/>
      <c r="I513" s="104"/>
      <c r="J513" s="104"/>
      <c r="K513" s="104"/>
      <c r="L513" s="104"/>
      <c r="M513" s="104"/>
      <c r="N513" s="104"/>
      <c r="O513" s="104"/>
      <c r="P513" s="104"/>
      <c r="Q513" s="104"/>
      <c r="R513" s="104"/>
      <c r="S513" s="104"/>
      <c r="T513" s="104"/>
      <c r="U513" s="104"/>
      <c r="V513" s="104"/>
      <c r="W513" s="104"/>
      <c r="X513" s="104"/>
      <c r="Y513" s="104"/>
      <c r="Z513" s="104"/>
      <c r="AA513" s="104"/>
      <c r="AC513" s="104"/>
    </row>
    <row r="514" customFormat="false" ht="15" hidden="false" customHeight="false" outlineLevel="0" collapsed="false">
      <c r="A514" s="119"/>
      <c r="B514" s="104"/>
      <c r="C514" s="147"/>
      <c r="D514" s="187" t="b">
        <f aca="false">FALSE()</f>
        <v>0</v>
      </c>
      <c r="E514" s="119"/>
      <c r="F514" s="104"/>
      <c r="G514" s="119"/>
      <c r="H514" s="104"/>
      <c r="I514" s="104"/>
      <c r="J514" s="104"/>
      <c r="K514" s="104"/>
      <c r="L514" s="104"/>
      <c r="M514" s="104"/>
      <c r="N514" s="104"/>
      <c r="O514" s="104"/>
      <c r="P514" s="104"/>
      <c r="Q514" s="104"/>
      <c r="R514" s="104"/>
      <c r="S514" s="104"/>
      <c r="T514" s="104"/>
      <c r="U514" s="104"/>
      <c r="V514" s="104"/>
      <c r="W514" s="104"/>
      <c r="X514" s="104"/>
      <c r="Y514" s="104"/>
      <c r="Z514" s="104"/>
      <c r="AA514" s="104"/>
      <c r="AC514" s="104"/>
    </row>
    <row r="515" customFormat="false" ht="15" hidden="false" customHeight="false" outlineLevel="0" collapsed="false">
      <c r="A515" s="119"/>
      <c r="B515" s="104"/>
      <c r="C515" s="147"/>
      <c r="D515" s="187" t="b">
        <f aca="false">FALSE()</f>
        <v>0</v>
      </c>
      <c r="E515" s="119"/>
      <c r="F515" s="104"/>
      <c r="G515" s="119"/>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row>
    <row r="516" customFormat="false" ht="15" hidden="false" customHeight="false" outlineLevel="0" collapsed="false">
      <c r="A516" s="119"/>
      <c r="B516" s="104"/>
      <c r="C516" s="147"/>
      <c r="D516" s="187" t="b">
        <f aca="false">FALSE()</f>
        <v>0</v>
      </c>
      <c r="E516" s="119"/>
      <c r="F516" s="104"/>
      <c r="G516" s="119"/>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row>
    <row r="517" customFormat="false" ht="15" hidden="false" customHeight="false" outlineLevel="0" collapsed="false">
      <c r="A517" s="119"/>
      <c r="B517" s="104"/>
      <c r="C517" s="147"/>
      <c r="D517" s="187" t="b">
        <f aca="false">FALSE()</f>
        <v>0</v>
      </c>
      <c r="E517" s="119"/>
      <c r="F517" s="104"/>
      <c r="G517" s="119"/>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row>
    <row r="518" customFormat="false" ht="15" hidden="false" customHeight="false" outlineLevel="0" collapsed="false">
      <c r="A518" s="119"/>
      <c r="B518" s="104"/>
      <c r="C518" s="147"/>
      <c r="D518" s="187" t="b">
        <f aca="false">FALSE()</f>
        <v>0</v>
      </c>
      <c r="E518" s="119"/>
      <c r="F518" s="104"/>
      <c r="G518" s="119"/>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row>
    <row r="519" customFormat="false" ht="15" hidden="false" customHeight="false" outlineLevel="0" collapsed="false">
      <c r="A519" s="119"/>
      <c r="B519" s="104"/>
      <c r="C519" s="147"/>
      <c r="D519" s="187" t="b">
        <f aca="false">FALSE()</f>
        <v>0</v>
      </c>
      <c r="E519" s="119"/>
      <c r="F519" s="104"/>
      <c r="G519" s="119"/>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row>
    <row r="520" customFormat="false" ht="15" hidden="false" customHeight="false" outlineLevel="0" collapsed="false">
      <c r="A520" s="119"/>
      <c r="B520" s="104"/>
      <c r="C520" s="147"/>
      <c r="D520" s="187" t="b">
        <f aca="false">FALSE()</f>
        <v>0</v>
      </c>
      <c r="E520" s="119"/>
      <c r="F520" s="104"/>
      <c r="G520" s="119"/>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row>
    <row r="521" customFormat="false" ht="15" hidden="false" customHeight="false" outlineLevel="0" collapsed="false">
      <c r="A521" s="119"/>
      <c r="B521" s="104"/>
      <c r="C521" s="147"/>
      <c r="D521" s="187" t="b">
        <f aca="false">FALSE()</f>
        <v>0</v>
      </c>
      <c r="E521" s="119"/>
      <c r="F521" s="104"/>
      <c r="G521" s="119"/>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row>
    <row r="522" customFormat="false" ht="15" hidden="false" customHeight="false" outlineLevel="0" collapsed="false">
      <c r="A522" s="119"/>
      <c r="B522" s="104"/>
      <c r="C522" s="147"/>
      <c r="D522" s="187" t="b">
        <f aca="false">FALSE()</f>
        <v>0</v>
      </c>
      <c r="E522" s="119"/>
      <c r="F522" s="104"/>
      <c r="G522" s="119"/>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row>
    <row r="523" customFormat="false" ht="15" hidden="false" customHeight="false" outlineLevel="0" collapsed="false">
      <c r="A523" s="104"/>
      <c r="B523" s="104"/>
      <c r="C523" s="147"/>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row>
    <row r="524" customFormat="false" ht="15" hidden="false" customHeight="false" outlineLevel="0" collapsed="false">
      <c r="A524" s="104"/>
      <c r="B524" s="104"/>
      <c r="C524" s="147"/>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row>
    <row r="525" customFormat="false" ht="15" hidden="false" customHeight="false" outlineLevel="0" collapsed="false">
      <c r="A525" s="104"/>
      <c r="B525" s="104"/>
      <c r="C525" s="147"/>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row>
    <row r="526" customFormat="false" ht="15" hidden="false" customHeight="false" outlineLevel="0" collapsed="false">
      <c r="A526" s="104"/>
      <c r="B526" s="104"/>
      <c r="C526" s="147"/>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row>
    <row r="527" customFormat="false" ht="15" hidden="false" customHeight="false" outlineLevel="0" collapsed="false">
      <c r="A527" s="104"/>
      <c r="B527" s="104"/>
      <c r="C527" s="147"/>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row>
    <row r="528" customFormat="false" ht="15" hidden="false" customHeight="false" outlineLevel="0" collapsed="false">
      <c r="A528" s="104"/>
      <c r="B528" s="104"/>
      <c r="C528" s="147"/>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row>
    <row r="529" customFormat="false" ht="15" hidden="false" customHeight="false" outlineLevel="0" collapsed="false">
      <c r="A529" s="104"/>
      <c r="B529" s="104"/>
      <c r="C529" s="147"/>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row>
    <row r="530" customFormat="false" ht="15" hidden="false" customHeight="false" outlineLevel="0" collapsed="false">
      <c r="A530" s="104"/>
      <c r="B530" s="104"/>
      <c r="C530" s="147"/>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row>
    <row r="531" customFormat="false" ht="15" hidden="false" customHeight="false" outlineLevel="0" collapsed="false">
      <c r="A531" s="104"/>
      <c r="B531" s="104"/>
      <c r="C531" s="147"/>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row>
    <row r="532" customFormat="false" ht="15" hidden="false" customHeight="false" outlineLevel="0" collapsed="false">
      <c r="A532" s="104"/>
      <c r="B532" s="104"/>
      <c r="C532" s="147"/>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row>
    <row r="533" customFormat="false" ht="15" hidden="false" customHeight="false" outlineLevel="0" collapsed="false">
      <c r="A533" s="104"/>
      <c r="B533" s="104"/>
      <c r="C533" s="147"/>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row>
    <row r="534" customFormat="false" ht="15" hidden="false" customHeight="false" outlineLevel="0" collapsed="false">
      <c r="A534" s="104"/>
      <c r="B534" s="104"/>
      <c r="C534" s="147"/>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row>
    <row r="535" customFormat="false" ht="15" hidden="false" customHeight="false" outlineLevel="0" collapsed="false">
      <c r="A535" s="104"/>
      <c r="B535" s="104"/>
      <c r="C535" s="147"/>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row>
    <row r="536" customFormat="false" ht="15" hidden="false" customHeight="false" outlineLevel="0" collapsed="false">
      <c r="A536" s="104"/>
      <c r="B536" s="104"/>
      <c r="C536" s="147"/>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row>
    <row r="537" customFormat="false" ht="15" hidden="false" customHeight="false" outlineLevel="0" collapsed="false">
      <c r="A537" s="104"/>
      <c r="B537" s="104"/>
      <c r="C537" s="147"/>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row>
    <row r="538" customFormat="false" ht="15" hidden="false" customHeight="false" outlineLevel="0" collapsed="false">
      <c r="A538" s="104"/>
      <c r="B538" s="104"/>
      <c r="C538" s="147"/>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row>
    <row r="539" customFormat="false" ht="15" hidden="false" customHeight="false" outlineLevel="0" collapsed="false">
      <c r="A539" s="104"/>
      <c r="B539" s="104"/>
      <c r="C539" s="147"/>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row>
    <row r="540" customFormat="false" ht="15" hidden="false" customHeight="false" outlineLevel="0" collapsed="false">
      <c r="A540" s="104"/>
      <c r="B540" s="104"/>
      <c r="C540" s="147"/>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row>
    <row r="541" customFormat="false" ht="15" hidden="false" customHeight="false" outlineLevel="0" collapsed="false">
      <c r="A541" s="104"/>
      <c r="B541" s="104"/>
      <c r="C541" s="147"/>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row>
    <row r="542" customFormat="false" ht="15" hidden="false" customHeight="false" outlineLevel="0" collapsed="false">
      <c r="A542" s="104"/>
      <c r="B542" s="104"/>
      <c r="C542" s="147"/>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row>
    <row r="543" customFormat="false" ht="15" hidden="false" customHeight="false" outlineLevel="0" collapsed="false">
      <c r="A543" s="104"/>
      <c r="B543" s="104"/>
      <c r="C543" s="147"/>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row>
    <row r="544" customFormat="false" ht="15" hidden="false" customHeight="false" outlineLevel="0" collapsed="false">
      <c r="A544" s="104"/>
      <c r="B544" s="104"/>
      <c r="C544" s="147"/>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row>
    <row r="545" customFormat="false" ht="15" hidden="false" customHeight="false" outlineLevel="0" collapsed="false">
      <c r="A545" s="104"/>
      <c r="B545" s="104"/>
      <c r="C545" s="147"/>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row>
    <row r="546" customFormat="false" ht="15" hidden="false" customHeight="false" outlineLevel="0" collapsed="false">
      <c r="A546" s="104"/>
      <c r="B546" s="104"/>
      <c r="C546" s="147"/>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row>
    <row r="547" customFormat="false" ht="15" hidden="false" customHeight="false" outlineLevel="0" collapsed="false">
      <c r="A547" s="104"/>
      <c r="B547" s="104"/>
      <c r="C547" s="147"/>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row>
    <row r="548" customFormat="false" ht="15" hidden="false" customHeight="false" outlineLevel="0" collapsed="false">
      <c r="A548" s="104"/>
      <c r="B548" s="104"/>
      <c r="C548" s="147"/>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row>
    <row r="549" customFormat="false" ht="15" hidden="false" customHeight="false" outlineLevel="0" collapsed="false">
      <c r="A549" s="104"/>
      <c r="B549" s="104"/>
      <c r="C549" s="147"/>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row>
    <row r="550" customFormat="false" ht="15" hidden="false" customHeight="false" outlineLevel="0" collapsed="false">
      <c r="A550" s="104"/>
      <c r="B550" s="104"/>
      <c r="C550" s="147"/>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row>
    <row r="551" customFormat="false" ht="15" hidden="false" customHeight="false" outlineLevel="0" collapsed="false">
      <c r="A551" s="104"/>
      <c r="B551" s="104"/>
      <c r="C551" s="147"/>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row>
    <row r="552" customFormat="false" ht="15" hidden="false" customHeight="false" outlineLevel="0" collapsed="false">
      <c r="A552" s="104"/>
      <c r="B552" s="104"/>
      <c r="C552" s="147"/>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row>
    <row r="553" customFormat="false" ht="15" hidden="false" customHeight="false" outlineLevel="0" collapsed="false">
      <c r="A553" s="104"/>
      <c r="B553" s="104"/>
      <c r="C553" s="147"/>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row>
    <row r="554" customFormat="false" ht="15" hidden="false" customHeight="false" outlineLevel="0" collapsed="false">
      <c r="A554" s="104"/>
      <c r="B554" s="104"/>
      <c r="C554" s="147"/>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row>
    <row r="555" customFormat="false" ht="15" hidden="false" customHeight="false" outlineLevel="0" collapsed="false">
      <c r="A555" s="104"/>
      <c r="B555" s="104"/>
      <c r="C555" s="147"/>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row>
    <row r="556" customFormat="false" ht="15" hidden="false" customHeight="false" outlineLevel="0" collapsed="false">
      <c r="A556" s="104"/>
      <c r="B556" s="104"/>
      <c r="C556" s="147"/>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row>
    <row r="557" customFormat="false" ht="15" hidden="false" customHeight="false" outlineLevel="0" collapsed="false">
      <c r="A557" s="104"/>
      <c r="B557" s="104"/>
      <c r="C557" s="147"/>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row>
    <row r="558" customFormat="false" ht="15" hidden="false" customHeight="false" outlineLevel="0" collapsed="false">
      <c r="A558" s="104"/>
      <c r="B558" s="104"/>
      <c r="C558" s="147"/>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row>
    <row r="559" customFormat="false" ht="15" hidden="false" customHeight="false" outlineLevel="0" collapsed="false">
      <c r="A559" s="104"/>
      <c r="B559" s="104"/>
      <c r="C559" s="147"/>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row>
    <row r="560" customFormat="false" ht="15" hidden="false" customHeight="false" outlineLevel="0" collapsed="false">
      <c r="A560" s="104"/>
      <c r="B560" s="104"/>
      <c r="C560" s="147"/>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row>
    <row r="561" customFormat="false" ht="15" hidden="false" customHeight="false" outlineLevel="0" collapsed="false">
      <c r="A561" s="104"/>
      <c r="B561" s="104"/>
      <c r="C561" s="147"/>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row>
    <row r="562" customFormat="false" ht="15" hidden="false" customHeight="false" outlineLevel="0" collapsed="false">
      <c r="A562" s="104"/>
      <c r="B562" s="104"/>
      <c r="C562" s="147"/>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row>
    <row r="563" customFormat="false" ht="15" hidden="false" customHeight="false" outlineLevel="0" collapsed="false">
      <c r="A563" s="104"/>
      <c r="B563" s="104"/>
      <c r="C563" s="147"/>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row>
    <row r="564" customFormat="false" ht="15" hidden="false" customHeight="false" outlineLevel="0" collapsed="false">
      <c r="A564" s="104"/>
      <c r="B564" s="104"/>
      <c r="C564" s="147"/>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row>
    <row r="565" customFormat="false" ht="15" hidden="false" customHeight="false" outlineLevel="0" collapsed="false">
      <c r="A565" s="104"/>
      <c r="B565" s="104"/>
      <c r="C565" s="147"/>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row>
    <row r="566" customFormat="false" ht="15" hidden="false" customHeight="false" outlineLevel="0" collapsed="false">
      <c r="A566" s="104"/>
      <c r="B566" s="104"/>
      <c r="C566" s="147"/>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row>
    <row r="567" customFormat="false" ht="15" hidden="false" customHeight="false" outlineLevel="0" collapsed="false">
      <c r="A567" s="104"/>
      <c r="B567" s="104"/>
      <c r="C567" s="147"/>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row>
    <row r="568" customFormat="false" ht="15" hidden="false" customHeight="false" outlineLevel="0" collapsed="false">
      <c r="A568" s="104"/>
      <c r="B568" s="104"/>
      <c r="C568" s="147"/>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row>
    <row r="569" customFormat="false" ht="15" hidden="false" customHeight="false" outlineLevel="0" collapsed="false">
      <c r="A569" s="104"/>
      <c r="B569" s="104"/>
      <c r="C569" s="147"/>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row>
    <row r="570" customFormat="false" ht="15" hidden="false" customHeight="false" outlineLevel="0" collapsed="false">
      <c r="A570" s="104"/>
      <c r="B570" s="104"/>
      <c r="C570" s="147"/>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row>
    <row r="571" customFormat="false" ht="15" hidden="false" customHeight="false" outlineLevel="0" collapsed="false">
      <c r="A571" s="104"/>
      <c r="B571" s="104"/>
      <c r="C571" s="147"/>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row>
    <row r="572" customFormat="false" ht="15" hidden="false" customHeight="false" outlineLevel="0" collapsed="false">
      <c r="A572" s="104"/>
      <c r="B572" s="104"/>
      <c r="C572" s="147"/>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row>
    <row r="573" customFormat="false" ht="15" hidden="false" customHeight="false" outlineLevel="0" collapsed="false">
      <c r="A573" s="104"/>
      <c r="B573" s="104"/>
      <c r="C573" s="147"/>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row>
    <row r="574" customFormat="false" ht="15" hidden="false" customHeight="false" outlineLevel="0" collapsed="false">
      <c r="A574" s="104"/>
      <c r="B574" s="104"/>
      <c r="C574" s="147"/>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row>
    <row r="575" customFormat="false" ht="15" hidden="false" customHeight="false" outlineLevel="0" collapsed="false">
      <c r="A575" s="104"/>
      <c r="B575" s="104"/>
      <c r="C575" s="147"/>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row>
    <row r="576" customFormat="false" ht="15" hidden="false" customHeight="false" outlineLevel="0" collapsed="false">
      <c r="A576" s="104"/>
      <c r="B576" s="104"/>
      <c r="C576" s="147"/>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row>
    <row r="577" customFormat="false" ht="15" hidden="false" customHeight="false" outlineLevel="0" collapsed="false">
      <c r="A577" s="104"/>
      <c r="B577" s="104"/>
      <c r="C577" s="147"/>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row>
    <row r="578" customFormat="false" ht="15" hidden="false" customHeight="false" outlineLevel="0" collapsed="false">
      <c r="A578" s="104"/>
      <c r="B578" s="104"/>
      <c r="C578" s="147"/>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row>
    <row r="579" customFormat="false" ht="15" hidden="false" customHeight="false" outlineLevel="0" collapsed="false">
      <c r="A579" s="104"/>
      <c r="B579" s="104"/>
      <c r="C579" s="147"/>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row>
    <row r="580" customFormat="false" ht="15" hidden="false" customHeight="false" outlineLevel="0" collapsed="false">
      <c r="A580" s="104"/>
      <c r="B580" s="104"/>
      <c r="C580" s="147"/>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row>
    <row r="581" customFormat="false" ht="15" hidden="false" customHeight="false" outlineLevel="0" collapsed="false">
      <c r="A581" s="104"/>
      <c r="B581" s="104"/>
      <c r="C581" s="147"/>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row>
    <row r="582" customFormat="false" ht="15" hidden="false" customHeight="false" outlineLevel="0" collapsed="false">
      <c r="A582" s="104"/>
      <c r="B582" s="104"/>
      <c r="C582" s="147"/>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row>
    <row r="583" customFormat="false" ht="15" hidden="false" customHeight="false" outlineLevel="0" collapsed="false">
      <c r="A583" s="104"/>
      <c r="B583" s="104"/>
      <c r="C583" s="147"/>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row>
    <row r="584" customFormat="false" ht="15" hidden="false" customHeight="false" outlineLevel="0" collapsed="false">
      <c r="A584" s="104"/>
      <c r="B584" s="104"/>
      <c r="C584" s="147"/>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row>
    <row r="585" customFormat="false" ht="15" hidden="false" customHeight="false" outlineLevel="0" collapsed="false">
      <c r="A585" s="104"/>
      <c r="B585" s="104"/>
      <c r="C585" s="147"/>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row>
    <row r="586" customFormat="false" ht="15" hidden="false" customHeight="false" outlineLevel="0" collapsed="false">
      <c r="A586" s="104"/>
      <c r="B586" s="104"/>
      <c r="C586" s="147"/>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row>
    <row r="587" customFormat="false" ht="15" hidden="false" customHeight="false" outlineLevel="0" collapsed="false">
      <c r="A587" s="104"/>
      <c r="B587" s="104"/>
      <c r="C587" s="147"/>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row>
    <row r="588" customFormat="false" ht="15" hidden="false" customHeight="false" outlineLevel="0" collapsed="false">
      <c r="A588" s="104"/>
      <c r="B588" s="104"/>
      <c r="C588" s="147"/>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row>
    <row r="589" customFormat="false" ht="15" hidden="false" customHeight="false" outlineLevel="0" collapsed="false">
      <c r="A589" s="104"/>
      <c r="B589" s="104"/>
      <c r="C589" s="147"/>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row>
    <row r="590" customFormat="false" ht="15" hidden="false" customHeight="false" outlineLevel="0" collapsed="false">
      <c r="A590" s="104"/>
      <c r="B590" s="104"/>
      <c r="C590" s="147"/>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row>
    <row r="591" customFormat="false" ht="15" hidden="false" customHeight="false" outlineLevel="0" collapsed="false">
      <c r="A591" s="104"/>
      <c r="B591" s="104"/>
      <c r="C591" s="147"/>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row>
    <row r="592" customFormat="false" ht="15" hidden="false" customHeight="false" outlineLevel="0" collapsed="false">
      <c r="A592" s="104"/>
      <c r="B592" s="104"/>
      <c r="C592" s="147"/>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row>
    <row r="593" customFormat="false" ht="15" hidden="false" customHeight="false" outlineLevel="0" collapsed="false">
      <c r="A593" s="104"/>
      <c r="B593" s="104"/>
      <c r="C593" s="147"/>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row>
    <row r="594" customFormat="false" ht="15" hidden="false" customHeight="false" outlineLevel="0" collapsed="false">
      <c r="A594" s="104"/>
      <c r="B594" s="104"/>
      <c r="C594" s="147"/>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row>
    <row r="595" customFormat="false" ht="15" hidden="false" customHeight="false" outlineLevel="0" collapsed="false">
      <c r="A595" s="104"/>
      <c r="B595" s="104"/>
      <c r="C595" s="147"/>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row>
    <row r="596" customFormat="false" ht="15" hidden="false" customHeight="false" outlineLevel="0" collapsed="false">
      <c r="A596" s="104"/>
      <c r="B596" s="104"/>
      <c r="C596" s="147"/>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row>
    <row r="597" customFormat="false" ht="15" hidden="false" customHeight="false" outlineLevel="0" collapsed="false">
      <c r="A597" s="104"/>
      <c r="B597" s="104"/>
      <c r="C597" s="147"/>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row>
    <row r="598" customFormat="false" ht="15" hidden="false" customHeight="false" outlineLevel="0" collapsed="false">
      <c r="A598" s="104"/>
      <c r="B598" s="104"/>
      <c r="C598" s="147"/>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row>
    <row r="599" customFormat="false" ht="15" hidden="false" customHeight="false" outlineLevel="0" collapsed="false">
      <c r="A599" s="104"/>
      <c r="B599" s="104"/>
      <c r="C599" s="147"/>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row>
    <row r="600" customFormat="false" ht="15" hidden="false" customHeight="false" outlineLevel="0" collapsed="false">
      <c r="A600" s="104"/>
      <c r="B600" s="104"/>
      <c r="C600" s="147"/>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row>
    <row r="601" customFormat="false" ht="15" hidden="false" customHeight="false" outlineLevel="0" collapsed="false">
      <c r="A601" s="104"/>
      <c r="B601" s="104"/>
      <c r="C601" s="147"/>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row>
    <row r="602" customFormat="false" ht="15" hidden="false" customHeight="false" outlineLevel="0" collapsed="false">
      <c r="A602" s="104"/>
      <c r="B602" s="104"/>
      <c r="C602" s="147"/>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row>
    <row r="603" customFormat="false" ht="15" hidden="false" customHeight="false" outlineLevel="0" collapsed="false">
      <c r="A603" s="104"/>
      <c r="B603" s="104"/>
      <c r="C603" s="147"/>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row>
    <row r="604" customFormat="false" ht="15" hidden="false" customHeight="false" outlineLevel="0" collapsed="false">
      <c r="A604" s="104"/>
      <c r="B604" s="104"/>
      <c r="C604" s="147"/>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row>
    <row r="605" customFormat="false" ht="15" hidden="false" customHeight="false" outlineLevel="0" collapsed="false">
      <c r="A605" s="104"/>
      <c r="B605" s="104"/>
      <c r="C605" s="147"/>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row>
    <row r="606" customFormat="false" ht="15" hidden="false" customHeight="false" outlineLevel="0" collapsed="false">
      <c r="A606" s="104"/>
      <c r="B606" s="104"/>
      <c r="C606" s="147"/>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row>
    <row r="607" customFormat="false" ht="15" hidden="false" customHeight="false" outlineLevel="0" collapsed="false">
      <c r="A607" s="104"/>
      <c r="B607" s="104"/>
      <c r="C607" s="147"/>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row>
    <row r="608" customFormat="false" ht="15" hidden="false" customHeight="false" outlineLevel="0" collapsed="false">
      <c r="A608" s="104"/>
      <c r="B608" s="104"/>
      <c r="C608" s="147"/>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row>
    <row r="609" customFormat="false" ht="15" hidden="false" customHeight="false" outlineLevel="0" collapsed="false">
      <c r="A609" s="104"/>
      <c r="B609" s="104"/>
      <c r="C609" s="147"/>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row>
    <row r="610" customFormat="false" ht="15" hidden="false" customHeight="false" outlineLevel="0" collapsed="false">
      <c r="A610" s="104"/>
      <c r="B610" s="104"/>
      <c r="C610" s="147"/>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row>
    <row r="611" customFormat="false" ht="15" hidden="false" customHeight="false" outlineLevel="0" collapsed="false">
      <c r="A611" s="104"/>
      <c r="B611" s="104"/>
      <c r="C611" s="147"/>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row>
    <row r="612" customFormat="false" ht="15" hidden="false" customHeight="false" outlineLevel="0" collapsed="false">
      <c r="A612" s="104"/>
      <c r="B612" s="104"/>
      <c r="C612" s="147"/>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row>
    <row r="613" customFormat="false" ht="15" hidden="false" customHeight="false" outlineLevel="0" collapsed="false">
      <c r="A613" s="104"/>
      <c r="B613" s="104"/>
      <c r="C613" s="147"/>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row>
    <row r="614" customFormat="false" ht="15" hidden="false" customHeight="false" outlineLevel="0" collapsed="false">
      <c r="A614" s="104"/>
      <c r="B614" s="104"/>
      <c r="C614" s="147"/>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row>
    <row r="615" customFormat="false" ht="15" hidden="false" customHeight="false" outlineLevel="0" collapsed="false">
      <c r="A615" s="104"/>
      <c r="B615" s="104"/>
      <c r="C615" s="147"/>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row>
    <row r="616" customFormat="false" ht="15" hidden="false" customHeight="false" outlineLevel="0" collapsed="false">
      <c r="A616" s="104"/>
      <c r="B616" s="104"/>
      <c r="C616" s="147"/>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row>
    <row r="617" customFormat="false" ht="15" hidden="false" customHeight="false" outlineLevel="0" collapsed="false">
      <c r="A617" s="104"/>
      <c r="B617" s="104"/>
      <c r="C617" s="147"/>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row>
    <row r="618" customFormat="false" ht="15" hidden="false" customHeight="false" outlineLevel="0" collapsed="false">
      <c r="A618" s="104"/>
      <c r="B618" s="104"/>
      <c r="C618" s="147"/>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row>
    <row r="619" customFormat="false" ht="15" hidden="false" customHeight="false" outlineLevel="0" collapsed="false">
      <c r="A619" s="104"/>
      <c r="B619" s="104"/>
      <c r="C619" s="147"/>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row>
    <row r="620" customFormat="false" ht="15" hidden="false" customHeight="false" outlineLevel="0" collapsed="false">
      <c r="A620" s="104"/>
      <c r="B620" s="104"/>
      <c r="C620" s="147"/>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row>
    <row r="621" customFormat="false" ht="15" hidden="false" customHeight="false" outlineLevel="0" collapsed="false">
      <c r="A621" s="104"/>
      <c r="B621" s="104"/>
      <c r="C621" s="147"/>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row>
    <row r="622" customFormat="false" ht="15" hidden="false" customHeight="false" outlineLevel="0" collapsed="false">
      <c r="A622" s="104"/>
      <c r="B622" s="104"/>
      <c r="C622" s="147"/>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row>
    <row r="623" customFormat="false" ht="15" hidden="false" customHeight="false" outlineLevel="0" collapsed="false">
      <c r="A623" s="104"/>
      <c r="B623" s="104"/>
      <c r="C623" s="147"/>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row>
    <row r="624" customFormat="false" ht="15" hidden="false" customHeight="false" outlineLevel="0" collapsed="false">
      <c r="A624" s="104"/>
      <c r="B624" s="104"/>
      <c r="C624" s="147"/>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row>
    <row r="625" customFormat="false" ht="15" hidden="false" customHeight="false" outlineLevel="0" collapsed="false">
      <c r="A625" s="104"/>
      <c r="B625" s="104"/>
      <c r="C625" s="147"/>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row>
    <row r="626" customFormat="false" ht="15" hidden="false" customHeight="false" outlineLevel="0" collapsed="false">
      <c r="A626" s="104"/>
      <c r="B626" s="104"/>
      <c r="C626" s="147"/>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row>
    <row r="627" customFormat="false" ht="15" hidden="false" customHeight="false" outlineLevel="0" collapsed="false">
      <c r="A627" s="104"/>
      <c r="B627" s="104"/>
      <c r="C627" s="147"/>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row>
    <row r="628" customFormat="false" ht="15" hidden="false" customHeight="false" outlineLevel="0" collapsed="false">
      <c r="A628" s="104"/>
      <c r="B628" s="104"/>
      <c r="C628" s="147"/>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row>
    <row r="629" customFormat="false" ht="15" hidden="false" customHeight="false" outlineLevel="0" collapsed="false">
      <c r="A629" s="104"/>
      <c r="B629" s="104"/>
      <c r="C629" s="147"/>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row>
    <row r="630" customFormat="false" ht="15" hidden="false" customHeight="false" outlineLevel="0" collapsed="false">
      <c r="A630" s="104"/>
      <c r="B630" s="104"/>
      <c r="C630" s="147"/>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row>
    <row r="631" customFormat="false" ht="15" hidden="false" customHeight="false" outlineLevel="0" collapsed="false">
      <c r="A631" s="104"/>
      <c r="B631" s="104"/>
      <c r="C631" s="147"/>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row>
    <row r="632" customFormat="false" ht="15" hidden="false" customHeight="false" outlineLevel="0" collapsed="false">
      <c r="A632" s="104"/>
      <c r="B632" s="104"/>
      <c r="C632" s="147"/>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row>
    <row r="633" customFormat="false" ht="15" hidden="false" customHeight="false" outlineLevel="0" collapsed="false">
      <c r="A633" s="104"/>
      <c r="B633" s="104"/>
      <c r="C633" s="147"/>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row>
    <row r="634" customFormat="false" ht="15" hidden="false" customHeight="false" outlineLevel="0" collapsed="false">
      <c r="A634" s="104"/>
      <c r="B634" s="104"/>
      <c r="C634" s="147"/>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row>
    <row r="635" customFormat="false" ht="15" hidden="false" customHeight="false" outlineLevel="0" collapsed="false">
      <c r="A635" s="104"/>
      <c r="B635" s="104"/>
      <c r="C635" s="147"/>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row>
    <row r="636" customFormat="false" ht="15" hidden="false" customHeight="false" outlineLevel="0" collapsed="false">
      <c r="A636" s="104"/>
      <c r="B636" s="104"/>
      <c r="C636" s="147"/>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row>
    <row r="637" customFormat="false" ht="15" hidden="false" customHeight="false" outlineLevel="0" collapsed="false">
      <c r="A637" s="104"/>
      <c r="B637" s="104"/>
      <c r="C637" s="147"/>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row>
    <row r="638" customFormat="false" ht="15" hidden="false" customHeight="false" outlineLevel="0" collapsed="false">
      <c r="A638" s="104"/>
      <c r="B638" s="104"/>
      <c r="C638" s="147"/>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row>
    <row r="639" customFormat="false" ht="15" hidden="false" customHeight="false" outlineLevel="0" collapsed="false">
      <c r="A639" s="104"/>
      <c r="B639" s="104"/>
      <c r="C639" s="147"/>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row>
    <row r="640" customFormat="false" ht="15" hidden="false" customHeight="false" outlineLevel="0" collapsed="false">
      <c r="A640" s="104"/>
      <c r="B640" s="104"/>
      <c r="C640" s="147"/>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row>
    <row r="641" customFormat="false" ht="15" hidden="false" customHeight="false" outlineLevel="0" collapsed="false">
      <c r="A641" s="104"/>
      <c r="B641" s="104"/>
      <c r="C641" s="147"/>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row>
    <row r="642" customFormat="false" ht="15" hidden="false" customHeight="false" outlineLevel="0" collapsed="false">
      <c r="A642" s="104"/>
      <c r="B642" s="104"/>
      <c r="C642" s="147"/>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row>
    <row r="643" customFormat="false" ht="15" hidden="false" customHeight="false" outlineLevel="0" collapsed="false">
      <c r="A643" s="104"/>
      <c r="B643" s="104"/>
      <c r="C643" s="147"/>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row>
    <row r="644" customFormat="false" ht="15" hidden="false" customHeight="false" outlineLevel="0" collapsed="false">
      <c r="A644" s="104"/>
      <c r="B644" s="104"/>
      <c r="C644" s="147"/>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row>
    <row r="645" customFormat="false" ht="15" hidden="false" customHeight="false" outlineLevel="0" collapsed="false">
      <c r="A645" s="104"/>
      <c r="B645" s="104"/>
      <c r="C645" s="147"/>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row>
    <row r="646" customFormat="false" ht="15" hidden="false" customHeight="false" outlineLevel="0" collapsed="false">
      <c r="A646" s="104"/>
      <c r="B646" s="104"/>
      <c r="C646" s="147"/>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row>
    <row r="647" customFormat="false" ht="15" hidden="false" customHeight="false" outlineLevel="0" collapsed="false">
      <c r="A647" s="104"/>
      <c r="B647" s="104"/>
      <c r="C647" s="147"/>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row>
    <row r="648" customFormat="false" ht="15" hidden="false" customHeight="false" outlineLevel="0" collapsed="false">
      <c r="A648" s="104"/>
      <c r="B648" s="104"/>
      <c r="C648" s="147"/>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row>
    <row r="649" customFormat="false" ht="15" hidden="false" customHeight="false" outlineLevel="0" collapsed="false">
      <c r="A649" s="104"/>
      <c r="B649" s="104"/>
      <c r="C649" s="147"/>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row>
    <row r="650" customFormat="false" ht="15" hidden="false" customHeight="false" outlineLevel="0" collapsed="false">
      <c r="A650" s="104"/>
      <c r="B650" s="104"/>
      <c r="C650" s="147"/>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row>
    <row r="651" customFormat="false" ht="15" hidden="false" customHeight="false" outlineLevel="0" collapsed="false">
      <c r="A651" s="104"/>
      <c r="B651" s="104"/>
      <c r="C651" s="147"/>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row>
    <row r="652" customFormat="false" ht="15" hidden="false" customHeight="false" outlineLevel="0" collapsed="false">
      <c r="A652" s="104"/>
      <c r="B652" s="104"/>
      <c r="C652" s="147"/>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row>
    <row r="653" customFormat="false" ht="15" hidden="false" customHeight="false" outlineLevel="0" collapsed="false">
      <c r="A653" s="104"/>
      <c r="B653" s="104"/>
      <c r="C653" s="147"/>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row>
    <row r="654" customFormat="false" ht="15" hidden="false" customHeight="false" outlineLevel="0" collapsed="false">
      <c r="A654" s="104"/>
      <c r="B654" s="104"/>
      <c r="C654" s="147"/>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row>
    <row r="655" customFormat="false" ht="15" hidden="false" customHeight="false" outlineLevel="0" collapsed="false">
      <c r="A655" s="104"/>
      <c r="B655" s="104"/>
      <c r="C655" s="147"/>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row>
    <row r="656" customFormat="false" ht="15" hidden="false" customHeight="false" outlineLevel="0" collapsed="false">
      <c r="A656" s="104"/>
      <c r="B656" s="104"/>
      <c r="C656" s="147"/>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row>
    <row r="657" customFormat="false" ht="15" hidden="false" customHeight="false" outlineLevel="0" collapsed="false">
      <c r="A657" s="104"/>
      <c r="B657" s="104"/>
      <c r="C657" s="147"/>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row>
    <row r="658" customFormat="false" ht="15" hidden="false" customHeight="false" outlineLevel="0" collapsed="false">
      <c r="A658" s="104"/>
      <c r="B658" s="104"/>
      <c r="C658" s="147"/>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row>
    <row r="659" customFormat="false" ht="15" hidden="false" customHeight="false" outlineLevel="0" collapsed="false">
      <c r="A659" s="104"/>
      <c r="B659" s="104"/>
      <c r="C659" s="147"/>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row>
    <row r="660" customFormat="false" ht="15" hidden="false" customHeight="false" outlineLevel="0" collapsed="false">
      <c r="A660" s="104"/>
      <c r="B660" s="104"/>
      <c r="C660" s="147"/>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row>
    <row r="661" customFormat="false" ht="15" hidden="false" customHeight="false" outlineLevel="0" collapsed="false">
      <c r="A661" s="104"/>
      <c r="B661" s="104"/>
      <c r="C661" s="147"/>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row>
    <row r="662" customFormat="false" ht="15" hidden="false" customHeight="false" outlineLevel="0" collapsed="false">
      <c r="A662" s="104"/>
      <c r="B662" s="104"/>
      <c r="C662" s="147"/>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row>
    <row r="663" customFormat="false" ht="15" hidden="false" customHeight="false" outlineLevel="0" collapsed="false">
      <c r="A663" s="104"/>
      <c r="B663" s="104"/>
      <c r="C663" s="147"/>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row>
    <row r="664" customFormat="false" ht="15" hidden="false" customHeight="false" outlineLevel="0" collapsed="false">
      <c r="A664" s="104"/>
      <c r="B664" s="104"/>
      <c r="C664" s="147"/>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row>
    <row r="665" customFormat="false" ht="15" hidden="false" customHeight="false" outlineLevel="0" collapsed="false">
      <c r="A665" s="104"/>
      <c r="B665" s="104"/>
      <c r="C665" s="147"/>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row>
    <row r="666" customFormat="false" ht="15" hidden="false" customHeight="false" outlineLevel="0" collapsed="false">
      <c r="A666" s="104"/>
      <c r="B666" s="104"/>
      <c r="C666" s="147"/>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row>
    <row r="667" customFormat="false" ht="15" hidden="false" customHeight="false" outlineLevel="0" collapsed="false">
      <c r="A667" s="104"/>
      <c r="B667" s="104"/>
      <c r="C667" s="147"/>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row>
    <row r="668" customFormat="false" ht="15" hidden="false" customHeight="false" outlineLevel="0" collapsed="false">
      <c r="A668" s="104"/>
      <c r="B668" s="104"/>
      <c r="C668" s="147"/>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row>
    <row r="669" customFormat="false" ht="15" hidden="false" customHeight="false" outlineLevel="0" collapsed="false">
      <c r="A669" s="104"/>
      <c r="B669" s="104"/>
      <c r="C669" s="147"/>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row>
    <row r="670" customFormat="false" ht="15" hidden="false" customHeight="false" outlineLevel="0" collapsed="false">
      <c r="A670" s="104"/>
      <c r="B670" s="104"/>
      <c r="C670" s="147"/>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row>
    <row r="671" customFormat="false" ht="15" hidden="false" customHeight="false" outlineLevel="0" collapsed="false">
      <c r="A671" s="104"/>
      <c r="B671" s="104"/>
      <c r="C671" s="147"/>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row>
    <row r="672" customFormat="false" ht="15" hidden="false" customHeight="false" outlineLevel="0" collapsed="false">
      <c r="A672" s="104"/>
      <c r="B672" s="104"/>
      <c r="C672" s="147"/>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row>
    <row r="673" customFormat="false" ht="15" hidden="false" customHeight="false" outlineLevel="0" collapsed="false">
      <c r="A673" s="104"/>
      <c r="B673" s="104"/>
      <c r="C673" s="147"/>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row>
    <row r="674" customFormat="false" ht="15" hidden="false" customHeight="false" outlineLevel="0" collapsed="false">
      <c r="A674" s="104"/>
      <c r="B674" s="104"/>
      <c r="C674" s="147"/>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row>
    <row r="675" customFormat="false" ht="15" hidden="false" customHeight="false" outlineLevel="0" collapsed="false">
      <c r="A675" s="104"/>
      <c r="B675" s="104"/>
      <c r="C675" s="147"/>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row>
    <row r="676" customFormat="false" ht="15" hidden="false" customHeight="false" outlineLevel="0" collapsed="false">
      <c r="A676" s="104"/>
      <c r="B676" s="104"/>
      <c r="C676" s="147"/>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row>
    <row r="677" customFormat="false" ht="15" hidden="false" customHeight="false" outlineLevel="0" collapsed="false">
      <c r="A677" s="104"/>
      <c r="B677" s="104"/>
      <c r="C677" s="147"/>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row>
    <row r="678" customFormat="false" ht="15" hidden="false" customHeight="false" outlineLevel="0" collapsed="false">
      <c r="A678" s="104"/>
      <c r="B678" s="104"/>
      <c r="C678" s="147"/>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row>
    <row r="679" customFormat="false" ht="15" hidden="false" customHeight="false" outlineLevel="0" collapsed="false">
      <c r="A679" s="104"/>
      <c r="B679" s="104"/>
      <c r="C679" s="147"/>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row>
    <row r="680" customFormat="false" ht="15" hidden="false" customHeight="false" outlineLevel="0" collapsed="false">
      <c r="A680" s="104"/>
      <c r="B680" s="104"/>
      <c r="C680" s="147"/>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row>
    <row r="681" customFormat="false" ht="15" hidden="false" customHeight="false" outlineLevel="0" collapsed="false">
      <c r="A681" s="104"/>
      <c r="B681" s="104"/>
      <c r="C681" s="147"/>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row>
    <row r="682" customFormat="false" ht="15" hidden="false" customHeight="false" outlineLevel="0" collapsed="false">
      <c r="A682" s="104"/>
      <c r="B682" s="104"/>
      <c r="C682" s="147"/>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row>
    <row r="683" customFormat="false" ht="15" hidden="false" customHeight="false" outlineLevel="0" collapsed="false">
      <c r="A683" s="104"/>
      <c r="B683" s="104"/>
      <c r="C683" s="147"/>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row>
    <row r="684" customFormat="false" ht="15" hidden="false" customHeight="false" outlineLevel="0" collapsed="false">
      <c r="A684" s="104"/>
      <c r="B684" s="104"/>
      <c r="C684" s="147"/>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row>
    <row r="685" customFormat="false" ht="15" hidden="false" customHeight="false" outlineLevel="0" collapsed="false">
      <c r="A685" s="104"/>
      <c r="B685" s="104"/>
      <c r="C685" s="147"/>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row>
    <row r="686" customFormat="false" ht="15" hidden="false" customHeight="false" outlineLevel="0" collapsed="false">
      <c r="A686" s="104"/>
      <c r="B686" s="104"/>
      <c r="C686" s="147"/>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row>
    <row r="687" customFormat="false" ht="15" hidden="false" customHeight="false" outlineLevel="0" collapsed="false">
      <c r="A687" s="104"/>
      <c r="B687" s="104"/>
      <c r="C687" s="147"/>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row>
    <row r="688" customFormat="false" ht="15" hidden="false" customHeight="false" outlineLevel="0" collapsed="false">
      <c r="A688" s="104"/>
      <c r="B688" s="104"/>
      <c r="C688" s="147"/>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row>
    <row r="689" customFormat="false" ht="15" hidden="false" customHeight="false" outlineLevel="0" collapsed="false">
      <c r="A689" s="104"/>
      <c r="B689" s="104"/>
      <c r="C689" s="147"/>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row>
    <row r="690" customFormat="false" ht="15" hidden="false" customHeight="false" outlineLevel="0" collapsed="false">
      <c r="A690" s="104"/>
      <c r="B690" s="104"/>
      <c r="C690" s="147"/>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row>
    <row r="691" customFormat="false" ht="15" hidden="false" customHeight="false" outlineLevel="0" collapsed="false">
      <c r="A691" s="104"/>
      <c r="B691" s="104"/>
      <c r="C691" s="147"/>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row>
    <row r="692" customFormat="false" ht="15" hidden="false" customHeight="false" outlineLevel="0" collapsed="false">
      <c r="A692" s="104"/>
      <c r="B692" s="104"/>
      <c r="C692" s="147"/>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row>
    <row r="693" customFormat="false" ht="15" hidden="false" customHeight="false" outlineLevel="0" collapsed="false">
      <c r="A693" s="104"/>
      <c r="B693" s="104"/>
      <c r="C693" s="147"/>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row>
    <row r="694" customFormat="false" ht="15" hidden="false" customHeight="false" outlineLevel="0" collapsed="false">
      <c r="A694" s="104"/>
      <c r="B694" s="104"/>
      <c r="C694" s="147"/>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row>
    <row r="695" customFormat="false" ht="15" hidden="false" customHeight="false" outlineLevel="0" collapsed="false">
      <c r="A695" s="104"/>
      <c r="B695" s="104"/>
      <c r="C695" s="147"/>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row>
    <row r="696" customFormat="false" ht="15" hidden="false" customHeight="false" outlineLevel="0" collapsed="false">
      <c r="A696" s="104"/>
      <c r="B696" s="104"/>
      <c r="C696" s="147"/>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row>
    <row r="697" customFormat="false" ht="15" hidden="false" customHeight="false" outlineLevel="0" collapsed="false">
      <c r="A697" s="104"/>
      <c r="B697" s="104"/>
      <c r="C697" s="147"/>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row>
    <row r="698" customFormat="false" ht="15" hidden="false" customHeight="false" outlineLevel="0" collapsed="false">
      <c r="A698" s="104"/>
      <c r="B698" s="104"/>
      <c r="C698" s="147"/>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row>
    <row r="699" customFormat="false" ht="15" hidden="false" customHeight="false" outlineLevel="0" collapsed="false">
      <c r="A699" s="104"/>
      <c r="B699" s="104"/>
      <c r="C699" s="147"/>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row>
    <row r="700" customFormat="false" ht="15" hidden="false" customHeight="false" outlineLevel="0" collapsed="false">
      <c r="A700" s="104"/>
      <c r="B700" s="104"/>
      <c r="C700" s="147"/>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row>
    <row r="701" customFormat="false" ht="15" hidden="false" customHeight="false" outlineLevel="0" collapsed="false">
      <c r="A701" s="104"/>
      <c r="B701" s="104"/>
      <c r="C701" s="147"/>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row>
    <row r="702" customFormat="false" ht="15" hidden="false" customHeight="false" outlineLevel="0" collapsed="false">
      <c r="A702" s="104"/>
      <c r="B702" s="104"/>
      <c r="C702" s="147"/>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row>
    <row r="703" customFormat="false" ht="15" hidden="false" customHeight="false" outlineLevel="0" collapsed="false">
      <c r="A703" s="104"/>
      <c r="B703" s="104"/>
      <c r="C703" s="147"/>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row>
    <row r="704" customFormat="false" ht="15" hidden="false" customHeight="false" outlineLevel="0" collapsed="false">
      <c r="A704" s="104"/>
      <c r="B704" s="104"/>
      <c r="C704" s="147"/>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row>
    <row r="705" customFormat="false" ht="15" hidden="false" customHeight="false" outlineLevel="0" collapsed="false">
      <c r="A705" s="104"/>
      <c r="B705" s="104"/>
      <c r="C705" s="147"/>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row>
    <row r="706" customFormat="false" ht="15" hidden="false" customHeight="false" outlineLevel="0" collapsed="false">
      <c r="A706" s="104"/>
      <c r="B706" s="104"/>
      <c r="C706" s="147"/>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row>
    <row r="707" customFormat="false" ht="15" hidden="false" customHeight="false" outlineLevel="0" collapsed="false">
      <c r="A707" s="104"/>
      <c r="B707" s="104"/>
      <c r="C707" s="147"/>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row>
    <row r="708" customFormat="false" ht="15" hidden="false" customHeight="false" outlineLevel="0" collapsed="false">
      <c r="A708" s="104"/>
      <c r="B708" s="104"/>
      <c r="C708" s="147"/>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row>
    <row r="709" customFormat="false" ht="15" hidden="false" customHeight="false" outlineLevel="0" collapsed="false">
      <c r="A709" s="104"/>
      <c r="B709" s="104"/>
      <c r="C709" s="147"/>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row>
    <row r="710" customFormat="false" ht="15" hidden="false" customHeight="false" outlineLevel="0" collapsed="false">
      <c r="A710" s="104"/>
      <c r="B710" s="104"/>
      <c r="C710" s="147"/>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row>
    <row r="711" customFormat="false" ht="15" hidden="false" customHeight="false" outlineLevel="0" collapsed="false">
      <c r="A711" s="104"/>
      <c r="B711" s="104"/>
      <c r="C711" s="147"/>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row>
    <row r="712" customFormat="false" ht="15" hidden="false" customHeight="false" outlineLevel="0" collapsed="false">
      <c r="A712" s="104"/>
      <c r="B712" s="104"/>
      <c r="C712" s="147"/>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row>
    <row r="713" customFormat="false" ht="15" hidden="false" customHeight="false" outlineLevel="0" collapsed="false">
      <c r="A713" s="104"/>
      <c r="B713" s="104"/>
      <c r="C713" s="147"/>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row>
    <row r="714" customFormat="false" ht="15" hidden="false" customHeight="false" outlineLevel="0" collapsed="false">
      <c r="A714" s="104"/>
      <c r="B714" s="104"/>
      <c r="C714" s="147"/>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row>
    <row r="715" customFormat="false" ht="15" hidden="false" customHeight="false" outlineLevel="0" collapsed="false">
      <c r="A715" s="104"/>
      <c r="B715" s="104"/>
      <c r="C715" s="147"/>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row>
    <row r="716" customFormat="false" ht="15" hidden="false" customHeight="false" outlineLevel="0" collapsed="false">
      <c r="A716" s="104"/>
      <c r="B716" s="104"/>
      <c r="C716" s="147"/>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row>
    <row r="717" customFormat="false" ht="15" hidden="false" customHeight="false" outlineLevel="0" collapsed="false">
      <c r="A717" s="104"/>
      <c r="B717" s="104"/>
      <c r="C717" s="147"/>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row>
    <row r="718" customFormat="false" ht="15" hidden="false" customHeight="false" outlineLevel="0" collapsed="false">
      <c r="A718" s="104"/>
      <c r="B718" s="104"/>
      <c r="C718" s="147"/>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row>
    <row r="719" customFormat="false" ht="15" hidden="false" customHeight="false" outlineLevel="0" collapsed="false">
      <c r="A719" s="104"/>
      <c r="B719" s="104"/>
      <c r="C719" s="147"/>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row>
    <row r="720" customFormat="false" ht="15" hidden="false" customHeight="false" outlineLevel="0" collapsed="false">
      <c r="A720" s="104"/>
      <c r="B720" s="104"/>
      <c r="C720" s="147"/>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row>
    <row r="721" customFormat="false" ht="15" hidden="false" customHeight="false" outlineLevel="0" collapsed="false">
      <c r="A721" s="104"/>
      <c r="B721" s="104"/>
      <c r="C721" s="147"/>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row>
    <row r="722" customFormat="false" ht="15" hidden="false" customHeight="false" outlineLevel="0" collapsed="false">
      <c r="A722" s="104"/>
      <c r="B722" s="104"/>
      <c r="C722" s="147"/>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row>
    <row r="723" customFormat="false" ht="15" hidden="false" customHeight="false" outlineLevel="0" collapsed="false">
      <c r="A723" s="104"/>
      <c r="B723" s="104"/>
      <c r="C723" s="147"/>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row>
    <row r="724" customFormat="false" ht="15" hidden="false" customHeight="false" outlineLevel="0" collapsed="false">
      <c r="A724" s="104"/>
      <c r="B724" s="104"/>
      <c r="C724" s="147"/>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row>
    <row r="725" customFormat="false" ht="15" hidden="false" customHeight="false" outlineLevel="0" collapsed="false">
      <c r="A725" s="104"/>
      <c r="B725" s="104"/>
      <c r="C725" s="147"/>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row>
    <row r="726" customFormat="false" ht="15" hidden="false" customHeight="false" outlineLevel="0" collapsed="false">
      <c r="A726" s="104"/>
      <c r="B726" s="104"/>
      <c r="C726" s="147"/>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row>
    <row r="727" customFormat="false" ht="15" hidden="false" customHeight="false" outlineLevel="0" collapsed="false">
      <c r="A727" s="104"/>
      <c r="B727" s="104"/>
      <c r="C727" s="147"/>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row>
    <row r="728" customFormat="false" ht="15" hidden="false" customHeight="false" outlineLevel="0" collapsed="false">
      <c r="A728" s="104"/>
      <c r="B728" s="104"/>
      <c r="C728" s="147"/>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row>
    <row r="729" customFormat="false" ht="15" hidden="false" customHeight="false" outlineLevel="0" collapsed="false">
      <c r="A729" s="104"/>
      <c r="B729" s="104"/>
      <c r="C729" s="147"/>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row>
    <row r="730" customFormat="false" ht="15" hidden="false" customHeight="false" outlineLevel="0" collapsed="false">
      <c r="A730" s="104"/>
      <c r="B730" s="104"/>
      <c r="C730" s="147"/>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row>
    <row r="731" customFormat="false" ht="15" hidden="false" customHeight="false" outlineLevel="0" collapsed="false">
      <c r="A731" s="104"/>
      <c r="B731" s="104"/>
      <c r="C731" s="147"/>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row>
    <row r="732" customFormat="false" ht="15" hidden="false" customHeight="false" outlineLevel="0" collapsed="false">
      <c r="A732" s="104"/>
      <c r="B732" s="104"/>
      <c r="C732" s="147"/>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row>
    <row r="733" customFormat="false" ht="15" hidden="false" customHeight="false" outlineLevel="0" collapsed="false">
      <c r="A733" s="104"/>
      <c r="B733" s="104"/>
      <c r="C733" s="147"/>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row>
    <row r="734" customFormat="false" ht="15" hidden="false" customHeight="false" outlineLevel="0" collapsed="false">
      <c r="A734" s="104"/>
      <c r="B734" s="104"/>
      <c r="C734" s="147"/>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row>
    <row r="735" customFormat="false" ht="15" hidden="false" customHeight="false" outlineLevel="0" collapsed="false">
      <c r="A735" s="104"/>
      <c r="B735" s="104"/>
      <c r="C735" s="147"/>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row>
    <row r="736" customFormat="false" ht="15" hidden="false" customHeight="false" outlineLevel="0" collapsed="false">
      <c r="A736" s="104"/>
      <c r="B736" s="104"/>
      <c r="C736" s="147"/>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row>
    <row r="737" customFormat="false" ht="15" hidden="false" customHeight="false" outlineLevel="0" collapsed="false">
      <c r="A737" s="104"/>
      <c r="B737" s="104"/>
      <c r="C737" s="147"/>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row>
    <row r="738" customFormat="false" ht="15" hidden="false" customHeight="false" outlineLevel="0" collapsed="false">
      <c r="A738" s="104"/>
      <c r="B738" s="104"/>
      <c r="C738" s="147"/>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row>
    <row r="739" customFormat="false" ht="15" hidden="false" customHeight="false" outlineLevel="0" collapsed="false">
      <c r="A739" s="104"/>
      <c r="B739" s="104"/>
      <c r="C739" s="147"/>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row>
    <row r="740" customFormat="false" ht="15" hidden="false" customHeight="false" outlineLevel="0" collapsed="false">
      <c r="A740" s="104"/>
      <c r="B740" s="104"/>
      <c r="C740" s="147"/>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row>
    <row r="741" customFormat="false" ht="15" hidden="false" customHeight="false" outlineLevel="0" collapsed="false">
      <c r="A741" s="104"/>
      <c r="B741" s="104"/>
      <c r="C741" s="147"/>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row>
    <row r="742" customFormat="false" ht="15" hidden="false" customHeight="false" outlineLevel="0" collapsed="false">
      <c r="A742" s="104"/>
      <c r="B742" s="104"/>
      <c r="C742" s="147"/>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row>
    <row r="743" customFormat="false" ht="15" hidden="false" customHeight="false" outlineLevel="0" collapsed="false">
      <c r="A743" s="104"/>
      <c r="B743" s="104"/>
      <c r="C743" s="147"/>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row>
    <row r="744" customFormat="false" ht="15" hidden="false" customHeight="false" outlineLevel="0" collapsed="false">
      <c r="A744" s="104"/>
      <c r="B744" s="104"/>
      <c r="C744" s="147"/>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row>
    <row r="745" customFormat="false" ht="15" hidden="false" customHeight="false" outlineLevel="0" collapsed="false">
      <c r="A745" s="104"/>
      <c r="B745" s="104"/>
      <c r="C745" s="147"/>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row>
    <row r="746" customFormat="false" ht="15" hidden="false" customHeight="false" outlineLevel="0" collapsed="false">
      <c r="A746" s="104"/>
      <c r="B746" s="104"/>
      <c r="C746" s="147"/>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row>
    <row r="747" customFormat="false" ht="15" hidden="false" customHeight="false" outlineLevel="0" collapsed="false">
      <c r="A747" s="104"/>
      <c r="B747" s="104"/>
      <c r="C747" s="147"/>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row>
    <row r="748" customFormat="false" ht="15" hidden="false" customHeight="false" outlineLevel="0" collapsed="false">
      <c r="A748" s="104"/>
      <c r="B748" s="104"/>
      <c r="C748" s="147"/>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row>
    <row r="749" customFormat="false" ht="15" hidden="false" customHeight="false" outlineLevel="0" collapsed="false">
      <c r="A749" s="104"/>
      <c r="B749" s="104"/>
      <c r="C749" s="147"/>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row>
    <row r="750" customFormat="false" ht="15" hidden="false" customHeight="false" outlineLevel="0" collapsed="false">
      <c r="A750" s="104"/>
      <c r="B750" s="104"/>
      <c r="C750" s="147"/>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row>
    <row r="751" customFormat="false" ht="15" hidden="false" customHeight="false" outlineLevel="0" collapsed="false">
      <c r="A751" s="104"/>
      <c r="B751" s="104"/>
      <c r="C751" s="147"/>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row>
    <row r="752" customFormat="false" ht="15" hidden="false" customHeight="false" outlineLevel="0" collapsed="false">
      <c r="A752" s="104"/>
      <c r="B752" s="104"/>
      <c r="C752" s="147"/>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row>
    <row r="753" customFormat="false" ht="15" hidden="false" customHeight="false" outlineLevel="0" collapsed="false">
      <c r="A753" s="104"/>
      <c r="B753" s="104"/>
      <c r="C753" s="147"/>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row>
    <row r="754" customFormat="false" ht="15" hidden="false" customHeight="false" outlineLevel="0" collapsed="false">
      <c r="A754" s="104"/>
      <c r="B754" s="104"/>
      <c r="C754" s="147"/>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row>
    <row r="755" customFormat="false" ht="15" hidden="false" customHeight="false" outlineLevel="0" collapsed="false">
      <c r="A755" s="104"/>
      <c r="B755" s="104"/>
      <c r="C755" s="147"/>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row>
    <row r="756" customFormat="false" ht="15" hidden="false" customHeight="false" outlineLevel="0" collapsed="false">
      <c r="A756" s="104"/>
      <c r="B756" s="104"/>
      <c r="C756" s="147"/>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row>
    <row r="757" customFormat="false" ht="15" hidden="false" customHeight="false" outlineLevel="0" collapsed="false">
      <c r="A757" s="104"/>
      <c r="B757" s="104"/>
      <c r="C757" s="147"/>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row>
    <row r="758" customFormat="false" ht="15" hidden="false" customHeight="false" outlineLevel="0" collapsed="false">
      <c r="A758" s="104"/>
      <c r="B758" s="104"/>
      <c r="C758" s="147"/>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row>
    <row r="759" customFormat="false" ht="15" hidden="false" customHeight="false" outlineLevel="0" collapsed="false">
      <c r="A759" s="104"/>
      <c r="B759" s="104"/>
      <c r="C759" s="147"/>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row>
    <row r="760" customFormat="false" ht="15" hidden="false" customHeight="false" outlineLevel="0" collapsed="false">
      <c r="A760" s="104"/>
      <c r="B760" s="104"/>
      <c r="C760" s="147"/>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row>
    <row r="761" customFormat="false" ht="15" hidden="false" customHeight="false" outlineLevel="0" collapsed="false">
      <c r="A761" s="104"/>
      <c r="B761" s="104"/>
      <c r="C761" s="147"/>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row>
    <row r="762" customFormat="false" ht="15" hidden="false" customHeight="false" outlineLevel="0" collapsed="false">
      <c r="A762" s="104"/>
      <c r="B762" s="104"/>
      <c r="C762" s="147"/>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row>
    <row r="763" customFormat="false" ht="15" hidden="false" customHeight="false" outlineLevel="0" collapsed="false">
      <c r="A763" s="104"/>
      <c r="B763" s="104"/>
      <c r="C763" s="147"/>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row>
    <row r="764" customFormat="false" ht="15" hidden="false" customHeight="false" outlineLevel="0" collapsed="false">
      <c r="A764" s="104"/>
      <c r="B764" s="104"/>
      <c r="C764" s="147"/>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row>
    <row r="765" customFormat="false" ht="15" hidden="false" customHeight="false" outlineLevel="0" collapsed="false">
      <c r="A765" s="104"/>
      <c r="B765" s="104"/>
      <c r="C765" s="147"/>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row>
    <row r="766" customFormat="false" ht="15" hidden="false" customHeight="false" outlineLevel="0" collapsed="false">
      <c r="A766" s="104"/>
      <c r="B766" s="104"/>
      <c r="C766" s="147"/>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row>
    <row r="767" customFormat="false" ht="15" hidden="false" customHeight="false" outlineLevel="0" collapsed="false">
      <c r="A767" s="104"/>
      <c r="B767" s="104"/>
      <c r="C767" s="147"/>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row>
    <row r="768" customFormat="false" ht="15" hidden="false" customHeight="false" outlineLevel="0" collapsed="false">
      <c r="A768" s="104"/>
      <c r="B768" s="104"/>
      <c r="C768" s="147"/>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row>
    <row r="769" customFormat="false" ht="15" hidden="false" customHeight="false" outlineLevel="0" collapsed="false">
      <c r="A769" s="104"/>
      <c r="B769" s="104"/>
      <c r="C769" s="147"/>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row>
    <row r="770" customFormat="false" ht="15" hidden="false" customHeight="false" outlineLevel="0" collapsed="false">
      <c r="A770" s="104"/>
      <c r="B770" s="104"/>
      <c r="C770" s="147"/>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row>
    <row r="771" customFormat="false" ht="15" hidden="false" customHeight="false" outlineLevel="0" collapsed="false">
      <c r="A771" s="104"/>
      <c r="B771" s="104"/>
      <c r="C771" s="147"/>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row>
    <row r="772" customFormat="false" ht="15" hidden="false" customHeight="false" outlineLevel="0" collapsed="false">
      <c r="A772" s="104"/>
      <c r="B772" s="104"/>
      <c r="C772" s="147"/>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row>
    <row r="773" customFormat="false" ht="15" hidden="false" customHeight="false" outlineLevel="0" collapsed="false">
      <c r="A773" s="104"/>
      <c r="B773" s="104"/>
      <c r="C773" s="147"/>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row>
    <row r="774" customFormat="false" ht="15" hidden="false" customHeight="false" outlineLevel="0" collapsed="false">
      <c r="A774" s="104"/>
      <c r="B774" s="104"/>
      <c r="C774" s="147"/>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row>
    <row r="775" customFormat="false" ht="15" hidden="false" customHeight="false" outlineLevel="0" collapsed="false">
      <c r="A775" s="104"/>
      <c r="B775" s="104"/>
      <c r="C775" s="147"/>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row>
    <row r="776" customFormat="false" ht="15" hidden="false" customHeight="false" outlineLevel="0" collapsed="false">
      <c r="A776" s="104"/>
      <c r="B776" s="104"/>
      <c r="C776" s="147"/>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row>
    <row r="777" customFormat="false" ht="15" hidden="false" customHeight="false" outlineLevel="0" collapsed="false">
      <c r="A777" s="104"/>
      <c r="B777" s="104"/>
      <c r="C777" s="147"/>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row>
    <row r="778" customFormat="false" ht="15" hidden="false" customHeight="false" outlineLevel="0" collapsed="false">
      <c r="A778" s="104"/>
      <c r="B778" s="104"/>
      <c r="C778" s="147"/>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row>
    <row r="779" customFormat="false" ht="15" hidden="false" customHeight="false" outlineLevel="0" collapsed="false">
      <c r="A779" s="104"/>
      <c r="B779" s="104"/>
      <c r="C779" s="147"/>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row>
    <row r="780" customFormat="false" ht="15" hidden="false" customHeight="false" outlineLevel="0" collapsed="false">
      <c r="A780" s="104"/>
      <c r="B780" s="104"/>
      <c r="C780" s="147"/>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row>
    <row r="781" customFormat="false" ht="15" hidden="false" customHeight="false" outlineLevel="0" collapsed="false">
      <c r="A781" s="104"/>
      <c r="B781" s="104"/>
      <c r="C781" s="147"/>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row>
    <row r="782" customFormat="false" ht="15" hidden="false" customHeight="false" outlineLevel="0" collapsed="false">
      <c r="A782" s="104"/>
      <c r="B782" s="104"/>
      <c r="C782" s="147"/>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row>
    <row r="783" customFormat="false" ht="15" hidden="false" customHeight="false" outlineLevel="0" collapsed="false">
      <c r="A783" s="104"/>
      <c r="B783" s="104"/>
      <c r="C783" s="147"/>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row>
    <row r="784" customFormat="false" ht="15" hidden="false" customHeight="false" outlineLevel="0" collapsed="false">
      <c r="A784" s="104"/>
      <c r="B784" s="104"/>
      <c r="C784" s="147"/>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row>
    <row r="785" customFormat="false" ht="15" hidden="false" customHeight="false" outlineLevel="0" collapsed="false">
      <c r="A785" s="104"/>
      <c r="B785" s="104"/>
      <c r="C785" s="147"/>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row>
    <row r="786" customFormat="false" ht="15" hidden="false" customHeight="false" outlineLevel="0" collapsed="false">
      <c r="A786" s="104"/>
      <c r="B786" s="104"/>
      <c r="C786" s="147"/>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row>
    <row r="787" customFormat="false" ht="15" hidden="false" customHeight="false" outlineLevel="0" collapsed="false">
      <c r="A787" s="104"/>
      <c r="B787" s="104"/>
      <c r="C787" s="147"/>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row>
    <row r="788" customFormat="false" ht="15" hidden="false" customHeight="false" outlineLevel="0" collapsed="false">
      <c r="A788" s="104"/>
      <c r="B788" s="104"/>
      <c r="C788" s="147"/>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row>
    <row r="789" customFormat="false" ht="15" hidden="false" customHeight="false" outlineLevel="0" collapsed="false">
      <c r="A789" s="104"/>
      <c r="B789" s="104"/>
      <c r="C789" s="147"/>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row>
    <row r="790" customFormat="false" ht="15" hidden="false" customHeight="false" outlineLevel="0" collapsed="false">
      <c r="A790" s="104"/>
      <c r="B790" s="104"/>
      <c r="C790" s="147"/>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row>
    <row r="791" customFormat="false" ht="15" hidden="false" customHeight="false" outlineLevel="0" collapsed="false">
      <c r="A791" s="104"/>
      <c r="B791" s="104"/>
      <c r="C791" s="147"/>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row>
    <row r="792" customFormat="false" ht="15" hidden="false" customHeight="false" outlineLevel="0" collapsed="false">
      <c r="A792" s="104"/>
      <c r="B792" s="104"/>
      <c r="C792" s="147"/>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row>
    <row r="793" customFormat="false" ht="15" hidden="false" customHeight="false" outlineLevel="0" collapsed="false">
      <c r="A793" s="104"/>
      <c r="B793" s="104"/>
      <c r="C793" s="147"/>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row>
    <row r="794" customFormat="false" ht="15" hidden="false" customHeight="false" outlineLevel="0" collapsed="false">
      <c r="A794" s="104"/>
      <c r="B794" s="104"/>
      <c r="C794" s="147"/>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row>
    <row r="795" customFormat="false" ht="15" hidden="false" customHeight="false" outlineLevel="0" collapsed="false">
      <c r="A795" s="104"/>
      <c r="B795" s="104"/>
      <c r="C795" s="147"/>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row>
    <row r="796" customFormat="false" ht="15" hidden="false" customHeight="false" outlineLevel="0" collapsed="false">
      <c r="A796" s="104"/>
      <c r="B796" s="104"/>
      <c r="C796" s="147"/>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row>
    <row r="797" customFormat="false" ht="15" hidden="false" customHeight="false" outlineLevel="0" collapsed="false">
      <c r="A797" s="104"/>
      <c r="B797" s="104"/>
      <c r="C797" s="147"/>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row>
    <row r="798" customFormat="false" ht="15" hidden="false" customHeight="false" outlineLevel="0" collapsed="false">
      <c r="A798" s="104"/>
      <c r="B798" s="104"/>
      <c r="C798" s="147"/>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row>
    <row r="799" customFormat="false" ht="15" hidden="false" customHeight="false" outlineLevel="0" collapsed="false">
      <c r="A799" s="104"/>
      <c r="B799" s="104"/>
      <c r="C799" s="147"/>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row>
    <row r="800" customFormat="false" ht="15" hidden="false" customHeight="false" outlineLevel="0" collapsed="false">
      <c r="A800" s="104"/>
      <c r="B800" s="104"/>
      <c r="C800" s="147"/>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row>
    <row r="801" customFormat="false" ht="15" hidden="false" customHeight="false" outlineLevel="0" collapsed="false">
      <c r="A801" s="104"/>
      <c r="B801" s="104"/>
      <c r="C801" s="147"/>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row>
    <row r="802" customFormat="false" ht="15" hidden="false" customHeight="false" outlineLevel="0" collapsed="false">
      <c r="A802" s="104"/>
      <c r="B802" s="104"/>
      <c r="C802" s="147"/>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row>
    <row r="803" customFormat="false" ht="15" hidden="false" customHeight="false" outlineLevel="0" collapsed="false">
      <c r="A803" s="104"/>
      <c r="B803" s="104"/>
      <c r="C803" s="147"/>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row>
    <row r="804" customFormat="false" ht="15" hidden="false" customHeight="false" outlineLevel="0" collapsed="false">
      <c r="A804" s="104"/>
      <c r="B804" s="104"/>
      <c r="C804" s="147"/>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row>
    <row r="805" customFormat="false" ht="15" hidden="false" customHeight="false" outlineLevel="0" collapsed="false">
      <c r="A805" s="104"/>
      <c r="B805" s="104"/>
      <c r="C805" s="147"/>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row>
    <row r="806" customFormat="false" ht="15" hidden="false" customHeight="false" outlineLevel="0" collapsed="false">
      <c r="A806" s="104"/>
      <c r="B806" s="104"/>
      <c r="C806" s="147"/>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row>
    <row r="807" customFormat="false" ht="15" hidden="false" customHeight="false" outlineLevel="0" collapsed="false">
      <c r="A807" s="104"/>
      <c r="B807" s="104"/>
      <c r="C807" s="147"/>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row>
    <row r="808" customFormat="false" ht="15" hidden="false" customHeight="false" outlineLevel="0" collapsed="false">
      <c r="A808" s="104"/>
      <c r="B808" s="104"/>
      <c r="C808" s="147"/>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row>
    <row r="809" customFormat="false" ht="15" hidden="false" customHeight="false" outlineLevel="0" collapsed="false">
      <c r="A809" s="104"/>
      <c r="B809" s="104"/>
      <c r="C809" s="147"/>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row>
    <row r="810" customFormat="false" ht="15" hidden="false" customHeight="false" outlineLevel="0" collapsed="false">
      <c r="A810" s="104"/>
      <c r="B810" s="104"/>
      <c r="C810" s="147"/>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row>
    <row r="811" customFormat="false" ht="15" hidden="false" customHeight="false" outlineLevel="0" collapsed="false">
      <c r="A811" s="104"/>
      <c r="B811" s="104"/>
      <c r="C811" s="147"/>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row>
    <row r="812" customFormat="false" ht="15" hidden="false" customHeight="false" outlineLevel="0" collapsed="false">
      <c r="A812" s="104"/>
      <c r="B812" s="104"/>
      <c r="C812" s="147"/>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row>
    <row r="813" customFormat="false" ht="15" hidden="false" customHeight="false" outlineLevel="0" collapsed="false">
      <c r="A813" s="104"/>
      <c r="B813" s="104"/>
      <c r="C813" s="147"/>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row>
    <row r="814" customFormat="false" ht="15" hidden="false" customHeight="false" outlineLevel="0" collapsed="false">
      <c r="A814" s="104"/>
      <c r="B814" s="104"/>
      <c r="C814" s="147"/>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row>
    <row r="815" customFormat="false" ht="15" hidden="false" customHeight="false" outlineLevel="0" collapsed="false">
      <c r="A815" s="104"/>
      <c r="B815" s="104"/>
      <c r="C815" s="147"/>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row>
    <row r="816" customFormat="false" ht="15" hidden="false" customHeight="false" outlineLevel="0" collapsed="false">
      <c r="A816" s="104"/>
      <c r="B816" s="104"/>
      <c r="C816" s="147"/>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row>
    <row r="817" customFormat="false" ht="15" hidden="false" customHeight="false" outlineLevel="0" collapsed="false">
      <c r="A817" s="104"/>
      <c r="B817" s="104"/>
      <c r="C817" s="147"/>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row>
    <row r="818" customFormat="false" ht="15" hidden="false" customHeight="false" outlineLevel="0" collapsed="false">
      <c r="A818" s="104"/>
      <c r="B818" s="104"/>
      <c r="C818" s="147"/>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row>
    <row r="819" customFormat="false" ht="15" hidden="false" customHeight="false" outlineLevel="0" collapsed="false">
      <c r="A819" s="104"/>
      <c r="B819" s="104"/>
      <c r="C819" s="147"/>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row>
    <row r="820" customFormat="false" ht="15" hidden="false" customHeight="false" outlineLevel="0" collapsed="false">
      <c r="A820" s="104"/>
      <c r="B820" s="104"/>
      <c r="C820" s="147"/>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row>
    <row r="821" customFormat="false" ht="15" hidden="false" customHeight="false" outlineLevel="0" collapsed="false">
      <c r="A821" s="104"/>
      <c r="B821" s="104"/>
      <c r="C821" s="147"/>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row>
    <row r="822" customFormat="false" ht="15" hidden="false" customHeight="false" outlineLevel="0" collapsed="false">
      <c r="A822" s="104"/>
      <c r="B822" s="104"/>
      <c r="C822" s="147"/>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row>
    <row r="823" customFormat="false" ht="15" hidden="false" customHeight="false" outlineLevel="0" collapsed="false">
      <c r="A823" s="104"/>
      <c r="B823" s="104"/>
      <c r="C823" s="147"/>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row>
    <row r="824" customFormat="false" ht="15" hidden="false" customHeight="false" outlineLevel="0" collapsed="false">
      <c r="A824" s="104"/>
      <c r="B824" s="104"/>
      <c r="C824" s="147"/>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row>
    <row r="825" customFormat="false" ht="15" hidden="false" customHeight="false" outlineLevel="0" collapsed="false">
      <c r="A825" s="104"/>
      <c r="B825" s="104"/>
      <c r="C825" s="147"/>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row>
    <row r="826" customFormat="false" ht="15" hidden="false" customHeight="false" outlineLevel="0" collapsed="false">
      <c r="A826" s="104"/>
      <c r="B826" s="104"/>
      <c r="C826" s="147"/>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row>
    <row r="827" customFormat="false" ht="15" hidden="false" customHeight="false" outlineLevel="0" collapsed="false">
      <c r="A827" s="104"/>
      <c r="B827" s="104"/>
      <c r="C827" s="147"/>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row>
    <row r="828" customFormat="false" ht="15" hidden="false" customHeight="false" outlineLevel="0" collapsed="false">
      <c r="A828" s="104"/>
      <c r="B828" s="104"/>
      <c r="C828" s="147"/>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row>
    <row r="829" customFormat="false" ht="15" hidden="false" customHeight="false" outlineLevel="0" collapsed="false">
      <c r="A829" s="104"/>
      <c r="B829" s="104"/>
      <c r="C829" s="147"/>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row>
    <row r="830" customFormat="false" ht="15" hidden="false" customHeight="false" outlineLevel="0" collapsed="false">
      <c r="A830" s="104"/>
      <c r="B830" s="104"/>
      <c r="C830" s="147"/>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row>
    <row r="831" customFormat="false" ht="15" hidden="false" customHeight="false" outlineLevel="0" collapsed="false">
      <c r="A831" s="104"/>
      <c r="B831" s="104"/>
      <c r="C831" s="147"/>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row>
    <row r="832" customFormat="false" ht="15" hidden="false" customHeight="false" outlineLevel="0" collapsed="false">
      <c r="A832" s="104"/>
      <c r="B832" s="104"/>
      <c r="C832" s="147"/>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row>
    <row r="833" customFormat="false" ht="15" hidden="false" customHeight="false" outlineLevel="0" collapsed="false">
      <c r="A833" s="104"/>
      <c r="B833" s="104"/>
      <c r="C833" s="147"/>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row>
    <row r="834" customFormat="false" ht="15" hidden="false" customHeight="false" outlineLevel="0" collapsed="false">
      <c r="A834" s="104"/>
      <c r="B834" s="104"/>
      <c r="C834" s="147"/>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row>
    <row r="835" customFormat="false" ht="15" hidden="false" customHeight="false" outlineLevel="0" collapsed="false">
      <c r="A835" s="104"/>
      <c r="B835" s="104"/>
      <c r="C835" s="147"/>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row>
    <row r="836" customFormat="false" ht="15" hidden="false" customHeight="false" outlineLevel="0" collapsed="false">
      <c r="A836" s="104"/>
      <c r="B836" s="104"/>
      <c r="C836" s="147"/>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row>
    <row r="837" customFormat="false" ht="15" hidden="false" customHeight="false" outlineLevel="0" collapsed="false">
      <c r="A837" s="104"/>
      <c r="B837" s="104"/>
      <c r="C837" s="147"/>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row>
    <row r="838" customFormat="false" ht="15" hidden="false" customHeight="false" outlineLevel="0" collapsed="false">
      <c r="A838" s="104"/>
      <c r="B838" s="104"/>
      <c r="C838" s="147"/>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row>
    <row r="839" customFormat="false" ht="15" hidden="false" customHeight="false" outlineLevel="0" collapsed="false">
      <c r="A839" s="104"/>
      <c r="B839" s="104"/>
      <c r="C839" s="147"/>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row>
    <row r="840" customFormat="false" ht="15" hidden="false" customHeight="false" outlineLevel="0" collapsed="false">
      <c r="A840" s="104"/>
      <c r="B840" s="104"/>
      <c r="C840" s="147"/>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row>
    <row r="841" customFormat="false" ht="15" hidden="false" customHeight="false" outlineLevel="0" collapsed="false">
      <c r="A841" s="104"/>
      <c r="B841" s="104"/>
      <c r="C841" s="147"/>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row>
    <row r="842" customFormat="false" ht="15" hidden="false" customHeight="false" outlineLevel="0" collapsed="false">
      <c r="A842" s="104"/>
      <c r="B842" s="104"/>
      <c r="C842" s="147"/>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row>
    <row r="843" customFormat="false" ht="15" hidden="false" customHeight="false" outlineLevel="0" collapsed="false">
      <c r="A843" s="104"/>
      <c r="B843" s="104"/>
      <c r="C843" s="147"/>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row>
    <row r="844" customFormat="false" ht="15" hidden="false" customHeight="false" outlineLevel="0" collapsed="false">
      <c r="A844" s="104"/>
      <c r="B844" s="104"/>
      <c r="C844" s="147"/>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row>
    <row r="845" customFormat="false" ht="15" hidden="false" customHeight="false" outlineLevel="0" collapsed="false">
      <c r="A845" s="104"/>
      <c r="B845" s="104"/>
      <c r="C845" s="147"/>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row>
    <row r="846" customFormat="false" ht="15" hidden="false" customHeight="false" outlineLevel="0" collapsed="false">
      <c r="A846" s="104"/>
      <c r="B846" s="104"/>
      <c r="C846" s="147"/>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row>
    <row r="847" customFormat="false" ht="15" hidden="false" customHeight="false" outlineLevel="0" collapsed="false">
      <c r="A847" s="104"/>
      <c r="B847" s="104"/>
      <c r="C847" s="147"/>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row>
    <row r="848" customFormat="false" ht="15" hidden="false" customHeight="false" outlineLevel="0" collapsed="false">
      <c r="A848" s="104"/>
      <c r="B848" s="104"/>
      <c r="C848" s="147"/>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row>
    <row r="849" customFormat="false" ht="15" hidden="false" customHeight="false" outlineLevel="0" collapsed="false">
      <c r="A849" s="104"/>
      <c r="B849" s="104"/>
      <c r="C849" s="147"/>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row>
    <row r="850" customFormat="false" ht="15" hidden="false" customHeight="false" outlineLevel="0" collapsed="false">
      <c r="A850" s="104"/>
      <c r="B850" s="104"/>
      <c r="C850" s="147"/>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row>
    <row r="851" customFormat="false" ht="15" hidden="false" customHeight="false" outlineLevel="0" collapsed="false">
      <c r="A851" s="104"/>
      <c r="B851" s="104"/>
      <c r="C851" s="147"/>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row>
    <row r="852" customFormat="false" ht="15" hidden="false" customHeight="false" outlineLevel="0" collapsed="false">
      <c r="A852" s="104"/>
      <c r="B852" s="104"/>
      <c r="C852" s="147"/>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row>
    <row r="853" customFormat="false" ht="15" hidden="false" customHeight="false" outlineLevel="0" collapsed="false">
      <c r="A853" s="104"/>
      <c r="B853" s="104"/>
      <c r="C853" s="147"/>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row>
    <row r="854" customFormat="false" ht="15" hidden="false" customHeight="false" outlineLevel="0" collapsed="false">
      <c r="A854" s="104"/>
      <c r="B854" s="104"/>
      <c r="C854" s="147"/>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row>
    <row r="855" customFormat="false" ht="15" hidden="false" customHeight="false" outlineLevel="0" collapsed="false">
      <c r="A855" s="104"/>
      <c r="B855" s="104"/>
      <c r="C855" s="147"/>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row>
    <row r="856" customFormat="false" ht="15" hidden="false" customHeight="false" outlineLevel="0" collapsed="false">
      <c r="A856" s="104"/>
      <c r="B856" s="104"/>
      <c r="C856" s="147"/>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row>
    <row r="857" customFormat="false" ht="15" hidden="false" customHeight="false" outlineLevel="0" collapsed="false">
      <c r="A857" s="104"/>
      <c r="B857" s="104"/>
      <c r="C857" s="147"/>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row>
    <row r="858" customFormat="false" ht="15" hidden="false" customHeight="false" outlineLevel="0" collapsed="false">
      <c r="A858" s="104"/>
      <c r="B858" s="104"/>
      <c r="C858" s="147"/>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row>
    <row r="859" customFormat="false" ht="15" hidden="false" customHeight="false" outlineLevel="0" collapsed="false">
      <c r="A859" s="104"/>
      <c r="B859" s="104"/>
      <c r="C859" s="147"/>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row>
    <row r="860" customFormat="false" ht="15" hidden="false" customHeight="false" outlineLevel="0" collapsed="false">
      <c r="A860" s="104"/>
      <c r="B860" s="104"/>
      <c r="C860" s="147"/>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row>
    <row r="861" customFormat="false" ht="15" hidden="false" customHeight="false" outlineLevel="0" collapsed="false">
      <c r="A861" s="104"/>
      <c r="B861" s="104"/>
      <c r="C861" s="147"/>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row>
    <row r="862" customFormat="false" ht="15" hidden="false" customHeight="false" outlineLevel="0" collapsed="false">
      <c r="A862" s="104"/>
      <c r="B862" s="104"/>
      <c r="C862" s="147"/>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row>
    <row r="863" customFormat="false" ht="15" hidden="false" customHeight="false" outlineLevel="0" collapsed="false">
      <c r="A863" s="104"/>
      <c r="B863" s="104"/>
      <c r="C863" s="147"/>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row>
    <row r="864" customFormat="false" ht="15" hidden="false" customHeight="false" outlineLevel="0" collapsed="false">
      <c r="A864" s="104"/>
      <c r="B864" s="104"/>
      <c r="C864" s="147"/>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row>
    <row r="865" customFormat="false" ht="15" hidden="false" customHeight="false" outlineLevel="0" collapsed="false">
      <c r="A865" s="104"/>
      <c r="B865" s="104"/>
      <c r="C865" s="147"/>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row>
    <row r="866" customFormat="false" ht="15" hidden="false" customHeight="false" outlineLevel="0" collapsed="false">
      <c r="A866" s="104"/>
      <c r="B866" s="104"/>
      <c r="C866" s="147"/>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row>
    <row r="867" customFormat="false" ht="15" hidden="false" customHeight="false" outlineLevel="0" collapsed="false">
      <c r="A867" s="104"/>
      <c r="B867" s="104"/>
      <c r="C867" s="147"/>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row>
    <row r="868" customFormat="false" ht="15" hidden="false" customHeight="false" outlineLevel="0" collapsed="false">
      <c r="A868" s="104"/>
      <c r="B868" s="104"/>
      <c r="C868" s="147"/>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row>
    <row r="869" customFormat="false" ht="15" hidden="false" customHeight="false" outlineLevel="0" collapsed="false">
      <c r="A869" s="104"/>
      <c r="B869" s="104"/>
      <c r="C869" s="147"/>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row>
    <row r="870" customFormat="false" ht="15" hidden="false" customHeight="false" outlineLevel="0" collapsed="false">
      <c r="A870" s="104"/>
      <c r="B870" s="104"/>
      <c r="C870" s="147"/>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row>
    <row r="871" customFormat="false" ht="15" hidden="false" customHeight="false" outlineLevel="0" collapsed="false">
      <c r="A871" s="104"/>
      <c r="B871" s="104"/>
      <c r="C871" s="147"/>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row>
    <row r="872" customFormat="false" ht="15" hidden="false" customHeight="false" outlineLevel="0" collapsed="false">
      <c r="A872" s="104"/>
      <c r="B872" s="104"/>
      <c r="C872" s="147"/>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row>
    <row r="873" customFormat="false" ht="15" hidden="false" customHeight="false" outlineLevel="0" collapsed="false">
      <c r="A873" s="104"/>
      <c r="B873" s="104"/>
      <c r="C873" s="147"/>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row>
    <row r="874" customFormat="false" ht="15" hidden="false" customHeight="false" outlineLevel="0" collapsed="false">
      <c r="A874" s="104"/>
      <c r="B874" s="104"/>
      <c r="C874" s="147"/>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row>
    <row r="875" customFormat="false" ht="15" hidden="false" customHeight="false" outlineLevel="0" collapsed="false">
      <c r="A875" s="104"/>
      <c r="B875" s="104"/>
      <c r="C875" s="147"/>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row>
    <row r="876" customFormat="false" ht="15" hidden="false" customHeight="false" outlineLevel="0" collapsed="false">
      <c r="A876" s="104"/>
      <c r="B876" s="104"/>
      <c r="C876" s="147"/>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row>
    <row r="877" customFormat="false" ht="15" hidden="false" customHeight="false" outlineLevel="0" collapsed="false">
      <c r="A877" s="104"/>
      <c r="B877" s="104"/>
      <c r="C877" s="147"/>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row>
    <row r="878" customFormat="false" ht="15" hidden="false" customHeight="false" outlineLevel="0" collapsed="false">
      <c r="A878" s="104"/>
      <c r="B878" s="104"/>
      <c r="C878" s="147"/>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row>
    <row r="879" customFormat="false" ht="15" hidden="false" customHeight="false" outlineLevel="0" collapsed="false">
      <c r="A879" s="104"/>
      <c r="B879" s="104"/>
      <c r="C879" s="147"/>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row>
    <row r="880" customFormat="false" ht="15" hidden="false" customHeight="false" outlineLevel="0" collapsed="false">
      <c r="A880" s="104"/>
      <c r="B880" s="104"/>
      <c r="C880" s="147"/>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row>
    <row r="881" customFormat="false" ht="15" hidden="false" customHeight="false" outlineLevel="0" collapsed="false">
      <c r="A881" s="104"/>
      <c r="B881" s="104"/>
      <c r="C881" s="147"/>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row>
    <row r="882" customFormat="false" ht="15" hidden="false" customHeight="false" outlineLevel="0" collapsed="false">
      <c r="A882" s="104"/>
      <c r="B882" s="104"/>
      <c r="C882" s="147"/>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row>
    <row r="883" customFormat="false" ht="15" hidden="false" customHeight="false" outlineLevel="0" collapsed="false">
      <c r="A883" s="104"/>
      <c r="B883" s="104"/>
      <c r="C883" s="147"/>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row>
    <row r="884" customFormat="false" ht="15" hidden="false" customHeight="false" outlineLevel="0" collapsed="false">
      <c r="A884" s="104"/>
      <c r="B884" s="104"/>
      <c r="C884" s="147"/>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row>
    <row r="885" customFormat="false" ht="15" hidden="false" customHeight="false" outlineLevel="0" collapsed="false">
      <c r="A885" s="104"/>
      <c r="B885" s="104"/>
      <c r="C885" s="147"/>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row>
    <row r="886" customFormat="false" ht="15" hidden="false" customHeight="false" outlineLevel="0" collapsed="false">
      <c r="A886" s="104"/>
      <c r="B886" s="104"/>
      <c r="C886" s="147"/>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row>
    <row r="887" customFormat="false" ht="15" hidden="false" customHeight="false" outlineLevel="0" collapsed="false">
      <c r="A887" s="104"/>
      <c r="B887" s="104"/>
      <c r="C887" s="147"/>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row>
    <row r="888" customFormat="false" ht="15" hidden="false" customHeight="false" outlineLevel="0" collapsed="false">
      <c r="A888" s="104"/>
      <c r="B888" s="104"/>
      <c r="C888" s="147"/>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row>
    <row r="889" customFormat="false" ht="15" hidden="false" customHeight="false" outlineLevel="0" collapsed="false">
      <c r="A889" s="104"/>
      <c r="B889" s="104"/>
      <c r="C889" s="147"/>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row>
    <row r="890" customFormat="false" ht="15" hidden="false" customHeight="false" outlineLevel="0" collapsed="false">
      <c r="A890" s="104"/>
      <c r="B890" s="104"/>
      <c r="C890" s="147"/>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row>
    <row r="891" customFormat="false" ht="15" hidden="false" customHeight="false" outlineLevel="0" collapsed="false">
      <c r="A891" s="104"/>
      <c r="B891" s="104"/>
      <c r="C891" s="147"/>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row>
    <row r="892" customFormat="false" ht="15" hidden="false" customHeight="false" outlineLevel="0" collapsed="false">
      <c r="A892" s="104"/>
      <c r="B892" s="104"/>
      <c r="C892" s="147"/>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row>
    <row r="893" customFormat="false" ht="15" hidden="false" customHeight="false" outlineLevel="0" collapsed="false">
      <c r="A893" s="104"/>
      <c r="B893" s="104"/>
      <c r="C893" s="147"/>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row>
    <row r="894" customFormat="false" ht="15" hidden="false" customHeight="false" outlineLevel="0" collapsed="false">
      <c r="A894" s="104"/>
      <c r="B894" s="104"/>
      <c r="C894" s="147"/>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row>
    <row r="895" customFormat="false" ht="15" hidden="false" customHeight="false" outlineLevel="0" collapsed="false">
      <c r="A895" s="104"/>
      <c r="B895" s="104"/>
      <c r="C895" s="147"/>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row>
    <row r="896" customFormat="false" ht="15" hidden="false" customHeight="false" outlineLevel="0" collapsed="false">
      <c r="A896" s="104"/>
      <c r="B896" s="104"/>
      <c r="C896" s="147"/>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row>
    <row r="897" customFormat="false" ht="15" hidden="false" customHeight="false" outlineLevel="0" collapsed="false">
      <c r="A897" s="104"/>
      <c r="B897" s="104"/>
      <c r="C897" s="147"/>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row>
    <row r="898" customFormat="false" ht="15" hidden="false" customHeight="false" outlineLevel="0" collapsed="false">
      <c r="A898" s="104"/>
      <c r="B898" s="104"/>
      <c r="C898" s="147"/>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row>
    <row r="899" customFormat="false" ht="15" hidden="false" customHeight="false" outlineLevel="0" collapsed="false">
      <c r="A899" s="104"/>
      <c r="B899" s="104"/>
      <c r="C899" s="147"/>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row>
    <row r="900" customFormat="false" ht="15" hidden="false" customHeight="false" outlineLevel="0" collapsed="false">
      <c r="A900" s="104"/>
      <c r="B900" s="104"/>
      <c r="C900" s="147"/>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row>
    <row r="901" customFormat="false" ht="15" hidden="false" customHeight="false" outlineLevel="0" collapsed="false">
      <c r="A901" s="104"/>
      <c r="B901" s="104"/>
      <c r="C901" s="147"/>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row>
    <row r="902" customFormat="false" ht="15" hidden="false" customHeight="false" outlineLevel="0" collapsed="false">
      <c r="A902" s="104"/>
      <c r="B902" s="104"/>
      <c r="C902" s="147"/>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row>
    <row r="903" customFormat="false" ht="15" hidden="false" customHeight="false" outlineLevel="0" collapsed="false">
      <c r="A903" s="104"/>
      <c r="B903" s="104"/>
      <c r="C903" s="147"/>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row>
    <row r="904" customFormat="false" ht="15" hidden="false" customHeight="false" outlineLevel="0" collapsed="false">
      <c r="A904" s="104"/>
      <c r="B904" s="104"/>
      <c r="C904" s="147"/>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row>
    <row r="905" customFormat="false" ht="15" hidden="false" customHeight="false" outlineLevel="0" collapsed="false">
      <c r="A905" s="104"/>
      <c r="B905" s="104"/>
      <c r="C905" s="147"/>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row>
    <row r="906" customFormat="false" ht="15" hidden="false" customHeight="false" outlineLevel="0" collapsed="false">
      <c r="A906" s="104"/>
      <c r="B906" s="104"/>
      <c r="C906" s="147"/>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row>
    <row r="907" customFormat="false" ht="15" hidden="false" customHeight="false" outlineLevel="0" collapsed="false">
      <c r="A907" s="104"/>
      <c r="B907" s="104"/>
      <c r="C907" s="147"/>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row>
    <row r="908" customFormat="false" ht="15" hidden="false" customHeight="false" outlineLevel="0" collapsed="false">
      <c r="A908" s="104"/>
      <c r="B908" s="104"/>
      <c r="C908" s="147"/>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row>
    <row r="909" customFormat="false" ht="15" hidden="false" customHeight="false" outlineLevel="0" collapsed="false">
      <c r="A909" s="104"/>
      <c r="B909" s="104"/>
      <c r="C909" s="147"/>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row>
    <row r="910" customFormat="false" ht="15" hidden="false" customHeight="false" outlineLevel="0" collapsed="false">
      <c r="A910" s="104"/>
      <c r="B910" s="104"/>
      <c r="C910" s="147"/>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row>
    <row r="911" customFormat="false" ht="15" hidden="false" customHeight="false" outlineLevel="0" collapsed="false">
      <c r="A911" s="104"/>
      <c r="B911" s="104"/>
      <c r="C911" s="147"/>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row>
    <row r="912" customFormat="false" ht="15" hidden="false" customHeight="false" outlineLevel="0" collapsed="false">
      <c r="A912" s="104"/>
      <c r="B912" s="104"/>
      <c r="C912" s="147"/>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row>
    <row r="913" customFormat="false" ht="15" hidden="false" customHeight="false" outlineLevel="0" collapsed="false">
      <c r="A913" s="104"/>
      <c r="B913" s="104"/>
      <c r="C913" s="147"/>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row>
    <row r="914" customFormat="false" ht="15" hidden="false" customHeight="false" outlineLevel="0" collapsed="false">
      <c r="A914" s="104"/>
      <c r="B914" s="104"/>
      <c r="C914" s="147"/>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row>
    <row r="915" customFormat="false" ht="15" hidden="false" customHeight="false" outlineLevel="0" collapsed="false">
      <c r="A915" s="104"/>
      <c r="B915" s="104"/>
      <c r="C915" s="147"/>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row>
    <row r="916" customFormat="false" ht="15" hidden="false" customHeight="false" outlineLevel="0" collapsed="false">
      <c r="A916" s="104"/>
      <c r="B916" s="104"/>
      <c r="C916" s="147"/>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row>
    <row r="917" customFormat="false" ht="15" hidden="false" customHeight="false" outlineLevel="0" collapsed="false">
      <c r="A917" s="104"/>
      <c r="B917" s="104"/>
      <c r="C917" s="147"/>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row>
    <row r="918" customFormat="false" ht="15" hidden="false" customHeight="false" outlineLevel="0" collapsed="false">
      <c r="A918" s="104"/>
      <c r="B918" s="104"/>
      <c r="C918" s="147"/>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row>
    <row r="919" customFormat="false" ht="15" hidden="false" customHeight="false" outlineLevel="0" collapsed="false">
      <c r="A919" s="104"/>
      <c r="B919" s="104"/>
      <c r="C919" s="147"/>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row>
    <row r="920" customFormat="false" ht="15" hidden="false" customHeight="false" outlineLevel="0" collapsed="false">
      <c r="A920" s="104"/>
      <c r="B920" s="104"/>
      <c r="C920" s="147"/>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row>
    <row r="921" customFormat="false" ht="15" hidden="false" customHeight="false" outlineLevel="0" collapsed="false">
      <c r="A921" s="104"/>
      <c r="B921" s="104"/>
      <c r="C921" s="147"/>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row>
    <row r="922" customFormat="false" ht="15" hidden="false" customHeight="false" outlineLevel="0" collapsed="false">
      <c r="A922" s="104"/>
      <c r="B922" s="104"/>
      <c r="C922" s="147"/>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row>
    <row r="923" customFormat="false" ht="15" hidden="false" customHeight="false" outlineLevel="0" collapsed="false">
      <c r="A923" s="104"/>
      <c r="B923" s="104"/>
      <c r="C923" s="147"/>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row>
    <row r="924" customFormat="false" ht="15" hidden="false" customHeight="false" outlineLevel="0" collapsed="false">
      <c r="A924" s="104"/>
      <c r="B924" s="104"/>
      <c r="C924" s="147"/>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row>
    <row r="925" customFormat="false" ht="15" hidden="false" customHeight="false" outlineLevel="0" collapsed="false">
      <c r="A925" s="104"/>
      <c r="B925" s="104"/>
      <c r="C925" s="147"/>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row>
    <row r="926" customFormat="false" ht="15" hidden="false" customHeight="false" outlineLevel="0" collapsed="false">
      <c r="A926" s="104"/>
      <c r="B926" s="104"/>
      <c r="C926" s="147"/>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row>
    <row r="927" customFormat="false" ht="15" hidden="false" customHeight="false" outlineLevel="0" collapsed="false">
      <c r="A927" s="104"/>
      <c r="B927" s="104"/>
      <c r="C927" s="147"/>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row>
    <row r="928" customFormat="false" ht="15" hidden="false" customHeight="false" outlineLevel="0" collapsed="false">
      <c r="A928" s="104"/>
      <c r="B928" s="104"/>
      <c r="C928" s="147"/>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row>
    <row r="929" customFormat="false" ht="15" hidden="false" customHeight="false" outlineLevel="0" collapsed="false">
      <c r="A929" s="104"/>
      <c r="B929" s="104"/>
      <c r="C929" s="147"/>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row>
    <row r="930" customFormat="false" ht="15" hidden="false" customHeight="false" outlineLevel="0" collapsed="false">
      <c r="A930" s="104"/>
      <c r="B930" s="104"/>
      <c r="C930" s="147"/>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row>
    <row r="931" customFormat="false" ht="15" hidden="false" customHeight="false" outlineLevel="0" collapsed="false">
      <c r="A931" s="104"/>
      <c r="B931" s="104"/>
      <c r="C931" s="147"/>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row>
    <row r="932" customFormat="false" ht="15" hidden="false" customHeight="false" outlineLevel="0" collapsed="false">
      <c r="A932" s="104"/>
      <c r="B932" s="104"/>
      <c r="C932" s="147"/>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row>
    <row r="933" customFormat="false" ht="15" hidden="false" customHeight="false" outlineLevel="0" collapsed="false">
      <c r="A933" s="104"/>
      <c r="B933" s="104"/>
      <c r="C933" s="147"/>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row>
    <row r="934" customFormat="false" ht="15" hidden="false" customHeight="false" outlineLevel="0" collapsed="false">
      <c r="A934" s="104"/>
      <c r="B934" s="104"/>
      <c r="C934" s="147"/>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94" t="s">
        <v>941</v>
      </c>
      <c r="AA934" s="104"/>
      <c r="AB934" s="104"/>
      <c r="AC934" s="104"/>
    </row>
    <row r="935" customFormat="false" ht="15" hidden="false" customHeight="false" outlineLevel="0" collapsed="false">
      <c r="A935" s="104"/>
      <c r="B935" s="104"/>
      <c r="C935" s="147"/>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94" t="s">
        <v>992</v>
      </c>
      <c r="AA935" s="104"/>
      <c r="AB935" s="104"/>
      <c r="AC935" s="104"/>
    </row>
    <row r="936" customFormat="false" ht="15" hidden="false" customHeight="false" outlineLevel="0" collapsed="false">
      <c r="A936" s="104"/>
      <c r="B936" s="104"/>
      <c r="C936" s="147"/>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94" t="s">
        <v>921</v>
      </c>
      <c r="AA936" s="104"/>
      <c r="AB936" s="104"/>
      <c r="AC936" s="104"/>
    </row>
    <row r="937" customFormat="false" ht="15" hidden="false" customHeight="false" outlineLevel="0" collapsed="false">
      <c r="A937" s="104"/>
      <c r="B937" s="104"/>
      <c r="C937" s="147"/>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94" t="s">
        <v>1003</v>
      </c>
      <c r="AA937" s="104"/>
      <c r="AB937" s="104"/>
      <c r="AC937" s="104"/>
    </row>
    <row r="938" customFormat="false" ht="15" hidden="false" customHeight="false" outlineLevel="0" collapsed="false">
      <c r="A938" s="104"/>
      <c r="B938" s="104"/>
      <c r="C938" s="147"/>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94" t="s">
        <v>1005</v>
      </c>
      <c r="AA938" s="104"/>
      <c r="AB938" s="104"/>
      <c r="AC938" s="104"/>
    </row>
    <row r="939" customFormat="false" ht="15" hidden="false" customHeight="false" outlineLevel="0" collapsed="false">
      <c r="A939" s="104"/>
      <c r="B939" s="104"/>
      <c r="C939" s="147"/>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94" t="s">
        <v>1007</v>
      </c>
      <c r="AA939" s="104"/>
      <c r="AB939" s="104"/>
      <c r="AC939" s="104"/>
    </row>
    <row r="940" customFormat="false" ht="15" hidden="false" customHeight="false" outlineLevel="0" collapsed="false">
      <c r="A940" s="104"/>
      <c r="B940" s="104"/>
      <c r="C940" s="147"/>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94" t="s">
        <v>1009</v>
      </c>
      <c r="AA940" s="104"/>
      <c r="AB940" s="104"/>
      <c r="AC940" s="104"/>
    </row>
    <row r="941" customFormat="false" ht="15" hidden="false" customHeight="false" outlineLevel="0" collapsed="false">
      <c r="A941" s="104"/>
      <c r="B941" s="104"/>
      <c r="C941" s="147"/>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88" t="s">
        <v>1011</v>
      </c>
      <c r="AA941" s="104"/>
      <c r="AB941" s="104"/>
      <c r="AC941" s="104"/>
    </row>
    <row r="942" customFormat="false" ht="15" hidden="false" customHeight="false" outlineLevel="0" collapsed="false">
      <c r="A942" s="104"/>
      <c r="B942" s="104"/>
      <c r="C942" s="147"/>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94" t="s">
        <v>1012</v>
      </c>
      <c r="AA942" s="104"/>
      <c r="AB942" s="104"/>
      <c r="AC942" s="104"/>
    </row>
    <row r="943" customFormat="false" ht="15" hidden="false" customHeight="false" outlineLevel="0" collapsed="false">
      <c r="A943" s="104"/>
      <c r="B943" s="104"/>
      <c r="C943" s="147"/>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94" t="s">
        <v>1014</v>
      </c>
      <c r="AA943" s="104"/>
      <c r="AB943" s="104"/>
      <c r="AC943" s="104"/>
    </row>
    <row r="944" customFormat="false" ht="15" hidden="false" customHeight="false" outlineLevel="0" collapsed="false">
      <c r="A944" s="104"/>
      <c r="B944" s="104"/>
      <c r="C944" s="147"/>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94" t="s">
        <v>1017</v>
      </c>
      <c r="AA944" s="104"/>
      <c r="AB944" s="104"/>
      <c r="AC944" s="104"/>
    </row>
    <row r="945" customFormat="false" ht="15" hidden="false" customHeight="false" outlineLevel="0" collapsed="false">
      <c r="A945" s="104"/>
      <c r="B945" s="104"/>
      <c r="C945" s="147"/>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94" t="s">
        <v>1019</v>
      </c>
      <c r="AA945" s="104"/>
      <c r="AB945" s="104"/>
      <c r="AC945" s="104"/>
    </row>
    <row r="946" customFormat="false" ht="15" hidden="false" customHeight="false" outlineLevel="0" collapsed="false">
      <c r="A946" s="104"/>
      <c r="B946" s="104"/>
      <c r="C946" s="147"/>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94" t="s">
        <v>1022</v>
      </c>
      <c r="AA946" s="104"/>
      <c r="AB946" s="104"/>
      <c r="AC946" s="104"/>
    </row>
    <row r="947" customFormat="false" ht="15" hidden="false" customHeight="false" outlineLevel="0" collapsed="false">
      <c r="A947" s="104"/>
      <c r="B947" s="104"/>
      <c r="C947" s="147"/>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94" t="s">
        <v>932</v>
      </c>
      <c r="AA947" s="104"/>
      <c r="AB947" s="104"/>
      <c r="AC947" s="104"/>
    </row>
    <row r="948" customFormat="false" ht="15" hidden="false" customHeight="false" outlineLevel="0" collapsed="false">
      <c r="A948" s="104"/>
      <c r="B948" s="104"/>
      <c r="C948" s="147"/>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89" t="s">
        <v>923</v>
      </c>
      <c r="AA948" s="104"/>
      <c r="AB948" s="104"/>
      <c r="AC948" s="104"/>
    </row>
    <row r="949" customFormat="false" ht="15" hidden="false" customHeight="false" outlineLevel="0" collapsed="false">
      <c r="A949" s="104"/>
      <c r="B949" s="104"/>
      <c r="C949" s="147"/>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94" t="s">
        <v>1027</v>
      </c>
      <c r="AA949" s="104"/>
      <c r="AB949" s="104"/>
      <c r="AC949" s="104"/>
    </row>
    <row r="950" customFormat="false" ht="15" hidden="false" customHeight="false" outlineLevel="0" collapsed="false">
      <c r="A950" s="104"/>
      <c r="B950" s="104"/>
      <c r="C950" s="147"/>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94" t="s">
        <v>1028</v>
      </c>
      <c r="AA950" s="104"/>
      <c r="AB950" s="104"/>
      <c r="AC950" s="104"/>
    </row>
    <row r="951" customFormat="false" ht="15" hidden="false" customHeight="false" outlineLevel="0" collapsed="false">
      <c r="A951" s="104"/>
      <c r="B951" s="104"/>
      <c r="C951" s="147"/>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94" t="s">
        <v>1030</v>
      </c>
      <c r="AA951" s="104"/>
      <c r="AB951" s="104"/>
      <c r="AC951" s="104"/>
    </row>
    <row r="952" customFormat="false" ht="15" hidden="false" customHeight="false" outlineLevel="0" collapsed="false">
      <c r="A952" s="104"/>
      <c r="B952" s="104"/>
      <c r="C952" s="147"/>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94" t="s">
        <v>971</v>
      </c>
      <c r="AA952" s="104"/>
      <c r="AB952" s="104"/>
      <c r="AC952" s="104"/>
    </row>
    <row r="953" customFormat="false" ht="15" hidden="false" customHeight="false" outlineLevel="0" collapsed="false">
      <c r="A953" s="104"/>
      <c r="B953" s="104"/>
      <c r="C953" s="147"/>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94" t="s">
        <v>1031</v>
      </c>
      <c r="AA953" s="104"/>
      <c r="AB953" s="104"/>
      <c r="AC953" s="104"/>
    </row>
    <row r="954" customFormat="false" ht="15" hidden="false" customHeight="false" outlineLevel="0" collapsed="false">
      <c r="A954" s="104"/>
      <c r="B954" s="104"/>
      <c r="C954" s="147"/>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94" t="s">
        <v>1035</v>
      </c>
      <c r="AA954" s="104"/>
      <c r="AB954" s="104"/>
      <c r="AC954" s="104"/>
    </row>
    <row r="955" customFormat="false" ht="15" hidden="false" customHeight="false" outlineLevel="0" collapsed="false">
      <c r="A955" s="104"/>
      <c r="B955" s="104"/>
      <c r="C955" s="147"/>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94" t="s">
        <v>1036</v>
      </c>
      <c r="AA955" s="104"/>
      <c r="AB955" s="104"/>
      <c r="AC955" s="104"/>
    </row>
    <row r="956" customFormat="false" ht="15" hidden="false" customHeight="false" outlineLevel="0" collapsed="false">
      <c r="A956" s="104"/>
      <c r="B956" s="104"/>
      <c r="C956" s="147"/>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94" t="s">
        <v>1037</v>
      </c>
      <c r="AA956" s="104"/>
      <c r="AB956" s="104"/>
      <c r="AC956" s="104"/>
    </row>
    <row r="957" customFormat="false" ht="15" hidden="false" customHeight="false" outlineLevel="0" collapsed="false">
      <c r="A957" s="104"/>
      <c r="B957" s="104"/>
      <c r="C957" s="147"/>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94" t="s">
        <v>1039</v>
      </c>
      <c r="AA957" s="104"/>
      <c r="AB957" s="104"/>
      <c r="AC957" s="104"/>
    </row>
    <row r="958" customFormat="false" ht="15" hidden="false" customHeight="false" outlineLevel="0" collapsed="false">
      <c r="A958" s="104"/>
      <c r="B958" s="104"/>
      <c r="C958" s="147"/>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94" t="s">
        <v>1041</v>
      </c>
      <c r="AA958" s="104"/>
      <c r="AB958" s="104"/>
      <c r="AC958" s="104"/>
    </row>
    <row r="959" customFormat="false" ht="15" hidden="false" customHeight="false" outlineLevel="0" collapsed="false">
      <c r="A959" s="104"/>
      <c r="B959" s="104"/>
      <c r="C959" s="147"/>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90" t="s">
        <v>1042</v>
      </c>
      <c r="AA959" s="104"/>
      <c r="AB959" s="104"/>
      <c r="AC959" s="104"/>
    </row>
    <row r="960" customFormat="false" ht="15" hidden="false" customHeight="false" outlineLevel="0" collapsed="false">
      <c r="A960" s="104"/>
      <c r="B960" s="104"/>
      <c r="C960" s="147"/>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94" t="s">
        <v>1043</v>
      </c>
      <c r="AA960" s="104"/>
      <c r="AB960" s="104"/>
      <c r="AC960" s="104"/>
    </row>
    <row r="961" customFormat="false" ht="15" hidden="false" customHeight="false" outlineLevel="0" collapsed="false">
      <c r="A961" s="104"/>
      <c r="B961" s="104"/>
      <c r="C961" s="147"/>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94" t="s">
        <v>1044</v>
      </c>
      <c r="AA961" s="104"/>
      <c r="AB961" s="104"/>
      <c r="AC961" s="104"/>
    </row>
    <row r="962" customFormat="false" ht="15" hidden="false" customHeight="false" outlineLevel="0" collapsed="false">
      <c r="A962" s="104"/>
      <c r="B962" s="104"/>
      <c r="C962" s="147"/>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94" t="s">
        <v>1046</v>
      </c>
      <c r="AA962" s="104"/>
      <c r="AB962" s="104"/>
      <c r="AC962" s="104"/>
    </row>
    <row r="963" customFormat="false" ht="15" hidden="false" customHeight="false" outlineLevel="0" collapsed="false">
      <c r="A963" s="104"/>
      <c r="B963" s="104"/>
      <c r="C963" s="147"/>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94" t="s">
        <v>1049</v>
      </c>
      <c r="AA963" s="104"/>
      <c r="AB963" s="104"/>
      <c r="AC963" s="104"/>
    </row>
    <row r="964" customFormat="false" ht="15" hidden="false" customHeight="false" outlineLevel="0" collapsed="false">
      <c r="A964" s="104"/>
      <c r="B964" s="104"/>
      <c r="C964" s="147"/>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94" t="s">
        <v>1050</v>
      </c>
      <c r="AA964" s="104"/>
      <c r="AB964" s="104"/>
      <c r="AC964" s="104"/>
    </row>
    <row r="965" customFormat="false" ht="15" hidden="false" customHeight="false" outlineLevel="0" collapsed="false">
      <c r="A965" s="104"/>
      <c r="B965" s="104"/>
      <c r="C965" s="147"/>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94" t="s">
        <v>1051</v>
      </c>
      <c r="AA965" s="104"/>
      <c r="AB965" s="104"/>
      <c r="AC965" s="104"/>
    </row>
    <row r="966" customFormat="false" ht="15" hidden="false" customHeight="false" outlineLevel="0" collapsed="false">
      <c r="A966" s="104"/>
      <c r="B966" s="104"/>
      <c r="C966" s="147"/>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94" t="s">
        <v>1053</v>
      </c>
      <c r="AA966" s="104"/>
      <c r="AB966" s="104"/>
      <c r="AC966" s="104"/>
    </row>
    <row r="967" customFormat="false" ht="15" hidden="false" customHeight="false" outlineLevel="0" collapsed="false">
      <c r="A967" s="104"/>
      <c r="B967" s="104"/>
      <c r="C967" s="147"/>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94" t="s">
        <v>1054</v>
      </c>
      <c r="AA967" s="104"/>
      <c r="AB967" s="104"/>
      <c r="AC967" s="104"/>
    </row>
    <row r="968" customFormat="false" ht="15" hidden="false" customHeight="false" outlineLevel="0" collapsed="false">
      <c r="A968" s="104"/>
      <c r="B968" s="104"/>
      <c r="C968" s="147"/>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94" t="s">
        <v>1055</v>
      </c>
      <c r="AA968" s="104"/>
      <c r="AB968" s="104"/>
      <c r="AC968" s="104"/>
    </row>
    <row r="969" customFormat="false" ht="15" hidden="false" customHeight="false" outlineLevel="0" collapsed="false">
      <c r="A969" s="104"/>
      <c r="B969" s="104"/>
      <c r="C969" s="147"/>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94" t="s">
        <v>1058</v>
      </c>
      <c r="AA969" s="104"/>
      <c r="AB969" s="104"/>
      <c r="AC969" s="104"/>
    </row>
    <row r="970" customFormat="false" ht="15" hidden="false" customHeight="false" outlineLevel="0" collapsed="false">
      <c r="A970" s="104"/>
      <c r="B970" s="104"/>
      <c r="C970" s="147"/>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94" t="s">
        <v>1001</v>
      </c>
      <c r="AA970" s="104"/>
      <c r="AB970" s="104"/>
      <c r="AC970" s="104"/>
    </row>
    <row r="971" customFormat="false" ht="15" hidden="false" customHeight="false" outlineLevel="0" collapsed="false">
      <c r="A971" s="104"/>
      <c r="B971" s="104"/>
      <c r="C971" s="147"/>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94" t="s">
        <v>998</v>
      </c>
      <c r="AA971" s="104"/>
      <c r="AB971" s="104"/>
      <c r="AC971" s="104"/>
    </row>
    <row r="972" customFormat="false" ht="15" hidden="false" customHeight="false" outlineLevel="0" collapsed="false">
      <c r="A972" s="104"/>
      <c r="B972" s="104"/>
      <c r="C972" s="147"/>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94" t="s">
        <v>1060</v>
      </c>
      <c r="AA972" s="104"/>
      <c r="AB972" s="104"/>
      <c r="AC972" s="104"/>
    </row>
    <row r="973" customFormat="false" ht="15" hidden="false" customHeight="false" outlineLevel="0" collapsed="false">
      <c r="A973" s="104"/>
      <c r="B973" s="104"/>
      <c r="C973" s="147"/>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94" t="s">
        <v>1061</v>
      </c>
      <c r="AA973" s="104"/>
      <c r="AB973" s="104"/>
      <c r="AC973" s="104"/>
    </row>
    <row r="974" customFormat="false" ht="15" hidden="false" customHeight="false" outlineLevel="0" collapsed="false">
      <c r="A974" s="104"/>
      <c r="B974" s="104"/>
      <c r="C974" s="147"/>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94" t="s">
        <v>965</v>
      </c>
      <c r="AA974" s="104"/>
      <c r="AB974" s="104"/>
      <c r="AC974" s="104"/>
    </row>
    <row r="975" customFormat="false" ht="15" hidden="false" customHeight="false" outlineLevel="0" collapsed="false">
      <c r="A975" s="104"/>
      <c r="B975" s="104"/>
      <c r="C975" s="147"/>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94" t="s">
        <v>1063</v>
      </c>
      <c r="AA975" s="104"/>
      <c r="AB975" s="104"/>
      <c r="AC975" s="104"/>
    </row>
    <row r="976" customFormat="false" ht="15" hidden="false" customHeight="false" outlineLevel="0" collapsed="false">
      <c r="A976" s="104"/>
      <c r="B976" s="104"/>
      <c r="C976" s="147"/>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94" t="s">
        <v>1064</v>
      </c>
      <c r="AA976" s="104"/>
      <c r="AB976" s="104"/>
      <c r="AC976" s="104"/>
    </row>
    <row r="977" customFormat="false" ht="15" hidden="false" customHeight="false" outlineLevel="0" collapsed="false">
      <c r="A977" s="104"/>
      <c r="B977" s="104"/>
      <c r="C977" s="147"/>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94" t="s">
        <v>968</v>
      </c>
      <c r="AA977" s="104"/>
      <c r="AB977" s="104"/>
      <c r="AC977" s="104"/>
    </row>
    <row r="978" customFormat="false" ht="15" hidden="false" customHeight="false" outlineLevel="0" collapsed="false">
      <c r="A978" s="104"/>
      <c r="B978" s="104"/>
      <c r="C978" s="147"/>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94" t="s">
        <v>985</v>
      </c>
      <c r="AA978" s="104"/>
      <c r="AB978" s="104"/>
      <c r="AC978" s="104"/>
    </row>
    <row r="979" customFormat="false" ht="15" hidden="false" customHeight="false" outlineLevel="0" collapsed="false">
      <c r="A979" s="104"/>
      <c r="B979" s="104"/>
      <c r="C979" s="147"/>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94" t="s">
        <v>1026</v>
      </c>
      <c r="AA979" s="104"/>
      <c r="AB979" s="104"/>
      <c r="AC979" s="104"/>
    </row>
    <row r="980" customFormat="false" ht="15" hidden="false" customHeight="false" outlineLevel="0" collapsed="false">
      <c r="A980" s="104"/>
      <c r="B980" s="104"/>
      <c r="C980" s="147"/>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94" t="s">
        <v>1067</v>
      </c>
      <c r="AA980" s="104"/>
      <c r="AB980" s="104"/>
      <c r="AC980" s="104"/>
    </row>
    <row r="981" customFormat="false" ht="15" hidden="false" customHeight="false" outlineLevel="0" collapsed="false">
      <c r="A981" s="104"/>
      <c r="B981" s="104"/>
      <c r="C981" s="147"/>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94" t="s">
        <v>1068</v>
      </c>
      <c r="AA981" s="104"/>
      <c r="AB981" s="104"/>
      <c r="AC981" s="104"/>
    </row>
    <row r="982" customFormat="false" ht="15" hidden="false" customHeight="false" outlineLevel="0" collapsed="false">
      <c r="A982" s="104"/>
      <c r="B982" s="104"/>
      <c r="C982" s="147"/>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94" t="s">
        <v>1069</v>
      </c>
      <c r="AA982" s="104"/>
      <c r="AB982" s="104"/>
      <c r="AC982" s="104"/>
    </row>
    <row r="983" customFormat="false" ht="15" hidden="false" customHeight="false" outlineLevel="0" collapsed="false">
      <c r="A983" s="104"/>
      <c r="B983" s="104"/>
      <c r="C983" s="147"/>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94" t="s">
        <v>1070</v>
      </c>
      <c r="AA983" s="104"/>
      <c r="AB983" s="104"/>
      <c r="AC983" s="104"/>
    </row>
    <row r="984" customFormat="false" ht="15" hidden="false" customHeight="false" outlineLevel="0" collapsed="false">
      <c r="A984" s="104"/>
      <c r="B984" s="104"/>
      <c r="C984" s="147"/>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94" t="s">
        <v>1071</v>
      </c>
      <c r="AA984" s="104"/>
      <c r="AB984" s="104"/>
      <c r="AC984" s="104"/>
    </row>
    <row r="985" customFormat="false" ht="15" hidden="false" customHeight="false" outlineLevel="0" collapsed="false">
      <c r="A985" s="104"/>
      <c r="B985" s="104"/>
      <c r="C985" s="147"/>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94" t="s">
        <v>1072</v>
      </c>
      <c r="AA985" s="104"/>
      <c r="AB985" s="104"/>
      <c r="AC985" s="104"/>
    </row>
    <row r="986" customFormat="false" ht="15" hidden="false" customHeight="false" outlineLevel="0" collapsed="false">
      <c r="A986" s="104"/>
      <c r="B986" s="104"/>
      <c r="C986" s="147"/>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94" t="s">
        <v>1073</v>
      </c>
      <c r="AA986" s="104"/>
      <c r="AB986" s="104"/>
      <c r="AC986" s="104"/>
    </row>
    <row r="987" customFormat="false" ht="15" hidden="false" customHeight="false" outlineLevel="0" collapsed="false">
      <c r="A987" s="104"/>
      <c r="B987" s="104"/>
      <c r="C987" s="147"/>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94" t="s">
        <v>1075</v>
      </c>
      <c r="AA987" s="104"/>
      <c r="AB987" s="104"/>
      <c r="AC987" s="104"/>
    </row>
    <row r="988" customFormat="false" ht="15" hidden="false" customHeight="false" outlineLevel="0" collapsed="false">
      <c r="A988" s="104"/>
      <c r="B988" s="104"/>
      <c r="C988" s="147"/>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94" t="s">
        <v>1076</v>
      </c>
      <c r="AA988" s="104"/>
      <c r="AB988" s="104"/>
      <c r="AC988" s="104"/>
    </row>
    <row r="989" customFormat="false" ht="15" hidden="false" customHeight="false" outlineLevel="0" collapsed="false">
      <c r="A989" s="104"/>
      <c r="B989" s="104"/>
      <c r="C989" s="147"/>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94" t="s">
        <v>1077</v>
      </c>
      <c r="AA989" s="104"/>
      <c r="AB989" s="104"/>
      <c r="AC989" s="104"/>
    </row>
    <row r="990" customFormat="false" ht="15" hidden="false" customHeight="false" outlineLevel="0" collapsed="false">
      <c r="A990" s="104"/>
      <c r="B990" s="104"/>
      <c r="C990" s="147"/>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94" t="s">
        <v>1078</v>
      </c>
      <c r="AA990" s="104"/>
      <c r="AB990" s="104"/>
      <c r="AC990" s="104"/>
    </row>
    <row r="991" customFormat="false" ht="15" hidden="false" customHeight="false" outlineLevel="0" collapsed="false">
      <c r="A991" s="104"/>
      <c r="B991" s="104"/>
      <c r="C991" s="147"/>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94" t="s">
        <v>1080</v>
      </c>
      <c r="AA991" s="104"/>
      <c r="AB991" s="104"/>
      <c r="AC991" s="104"/>
    </row>
    <row r="992" customFormat="false" ht="15" hidden="false" customHeight="false" outlineLevel="0" collapsed="false">
      <c r="A992" s="104"/>
      <c r="B992" s="104"/>
      <c r="C992" s="147"/>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94" t="s">
        <v>1082</v>
      </c>
      <c r="AA992" s="104"/>
      <c r="AB992" s="104"/>
      <c r="AC992" s="104"/>
    </row>
    <row r="993" customFormat="false" ht="15" hidden="false" customHeight="false" outlineLevel="0" collapsed="false">
      <c r="A993" s="104"/>
      <c r="B993" s="104"/>
      <c r="C993" s="147"/>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94" t="s">
        <v>1083</v>
      </c>
      <c r="AA993" s="104"/>
      <c r="AB993" s="104"/>
      <c r="AC993" s="104"/>
    </row>
    <row r="994" customFormat="false" ht="15" hidden="false" customHeight="false" outlineLevel="0" collapsed="false">
      <c r="A994" s="104"/>
      <c r="B994" s="104"/>
      <c r="C994" s="147"/>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94" t="s">
        <v>978</v>
      </c>
      <c r="AA994" s="104"/>
      <c r="AB994" s="104"/>
      <c r="AC994" s="104"/>
    </row>
    <row r="995" customFormat="false" ht="15" hidden="false" customHeight="false" outlineLevel="0" collapsed="false">
      <c r="A995" s="104"/>
      <c r="B995" s="104"/>
      <c r="C995" s="147"/>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row>
    <row r="996" customFormat="false" ht="15" hidden="false" customHeight="false" outlineLevel="0" collapsed="false">
      <c r="A996" s="104"/>
      <c r="B996" s="104"/>
      <c r="C996" s="147"/>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row>
    <row r="997" customFormat="false" ht="15" hidden="false" customHeight="false" outlineLevel="0" collapsed="false">
      <c r="A997" s="104"/>
      <c r="B997" s="104"/>
      <c r="C997" s="147"/>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row>
    <row r="998" customFormat="false" ht="15" hidden="false" customHeight="false" outlineLevel="0" collapsed="false">
      <c r="A998" s="104"/>
      <c r="B998" s="104"/>
      <c r="C998" s="147"/>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row>
    <row r="999" customFormat="false" ht="15" hidden="false" customHeight="false" outlineLevel="0" collapsed="false">
      <c r="A999" s="104"/>
      <c r="B999" s="104"/>
      <c r="C999" s="147"/>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row>
    <row r="1000" customFormat="false" ht="15" hidden="false" customHeight="false" outlineLevel="0" collapsed="false">
      <c r="A1000" s="104"/>
      <c r="B1000" s="104"/>
      <c r="C1000" s="147"/>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row>
    <row r="1001" customFormat="false" ht="15" hidden="false" customHeight="false" outlineLevel="0" collapsed="false">
      <c r="A1001" s="104"/>
      <c r="B1001" s="104"/>
      <c r="C1001" s="147"/>
      <c r="D1001" s="104"/>
      <c r="E1001" s="104"/>
      <c r="F1001" s="104"/>
      <c r="G1001" s="104"/>
      <c r="H1001" s="104"/>
      <c r="I1001" s="104"/>
      <c r="J1001" s="104"/>
      <c r="K1001" s="104"/>
      <c r="L1001" s="104"/>
      <c r="M1001" s="104"/>
      <c r="N1001" s="104"/>
      <c r="O1001" s="104"/>
      <c r="P1001" s="104"/>
      <c r="Q1001" s="104"/>
      <c r="R1001" s="104"/>
      <c r="S1001" s="104"/>
      <c r="T1001" s="104"/>
      <c r="U1001" s="104"/>
      <c r="V1001" s="104"/>
      <c r="W1001" s="104"/>
      <c r="X1001" s="104"/>
      <c r="Y1001" s="104"/>
      <c r="Z1001" s="104"/>
      <c r="AA1001" s="104"/>
      <c r="AB1001" s="104"/>
      <c r="AC1001" s="104"/>
    </row>
    <row r="1002" customFormat="false" ht="15" hidden="false" customHeight="false" outlineLevel="0" collapsed="false">
      <c r="A1002" s="104"/>
      <c r="B1002" s="104"/>
      <c r="C1002" s="147"/>
      <c r="D1002" s="104"/>
      <c r="E1002" s="104"/>
      <c r="F1002" s="104"/>
      <c r="G1002" s="104"/>
      <c r="H1002" s="104"/>
      <c r="I1002" s="104"/>
      <c r="J1002" s="104"/>
      <c r="K1002" s="104"/>
      <c r="L1002" s="104"/>
      <c r="M1002" s="104"/>
      <c r="N1002" s="104"/>
      <c r="O1002" s="104"/>
      <c r="P1002" s="104"/>
      <c r="Q1002" s="104"/>
      <c r="R1002" s="104"/>
      <c r="S1002" s="104"/>
      <c r="T1002" s="104"/>
      <c r="U1002" s="104"/>
      <c r="V1002" s="104"/>
      <c r="W1002" s="104"/>
      <c r="X1002" s="104"/>
      <c r="Y1002" s="104"/>
      <c r="Z1002" s="104"/>
      <c r="AA1002" s="104"/>
      <c r="AB1002" s="104"/>
      <c r="AC1002" s="104"/>
    </row>
    <row r="1003" customFormat="false" ht="15" hidden="false" customHeight="false" outlineLevel="0" collapsed="false">
      <c r="A1003" s="104"/>
      <c r="B1003" s="104"/>
      <c r="C1003" s="147"/>
      <c r="D1003" s="104"/>
      <c r="E1003" s="104"/>
      <c r="F1003" s="104"/>
      <c r="G1003" s="104"/>
      <c r="H1003" s="104"/>
      <c r="I1003" s="104"/>
      <c r="J1003" s="104"/>
      <c r="K1003" s="104"/>
      <c r="L1003" s="104"/>
      <c r="M1003" s="104"/>
      <c r="N1003" s="104"/>
      <c r="O1003" s="104"/>
      <c r="P1003" s="104"/>
      <c r="Q1003" s="104"/>
      <c r="R1003" s="104"/>
      <c r="S1003" s="104"/>
      <c r="T1003" s="104"/>
      <c r="U1003" s="104"/>
      <c r="V1003" s="104"/>
      <c r="W1003" s="104"/>
      <c r="X1003" s="104"/>
      <c r="Y1003" s="104"/>
      <c r="Z1003" s="104"/>
      <c r="AA1003" s="104"/>
      <c r="AB1003" s="104"/>
      <c r="AC1003" s="104"/>
    </row>
    <row r="1004" customFormat="false" ht="15" hidden="false" customHeight="false" outlineLevel="0" collapsed="false">
      <c r="A1004" s="104"/>
      <c r="B1004" s="104"/>
      <c r="C1004" s="147"/>
      <c r="D1004" s="104"/>
      <c r="E1004" s="104"/>
      <c r="F1004" s="104"/>
      <c r="G1004" s="104"/>
      <c r="H1004" s="104"/>
      <c r="I1004" s="104"/>
      <c r="J1004" s="104"/>
      <c r="K1004" s="104"/>
      <c r="L1004" s="104"/>
      <c r="M1004" s="104"/>
      <c r="N1004" s="104"/>
      <c r="O1004" s="104"/>
      <c r="P1004" s="104"/>
      <c r="Q1004" s="104"/>
      <c r="R1004" s="104"/>
      <c r="S1004" s="104"/>
      <c r="T1004" s="104"/>
      <c r="U1004" s="104"/>
      <c r="V1004" s="104"/>
      <c r="W1004" s="104"/>
      <c r="X1004" s="104"/>
      <c r="Y1004" s="104"/>
      <c r="Z1004" s="104"/>
      <c r="AA1004" s="104"/>
      <c r="AB1004" s="104"/>
      <c r="AC1004" s="104"/>
    </row>
    <row r="1005" customFormat="false" ht="15" hidden="false" customHeight="false" outlineLevel="0" collapsed="false">
      <c r="A1005" s="104"/>
      <c r="B1005" s="104"/>
      <c r="C1005" s="147"/>
      <c r="D1005" s="104"/>
      <c r="E1005" s="104"/>
      <c r="F1005" s="104"/>
      <c r="G1005" s="104"/>
      <c r="H1005" s="104"/>
      <c r="I1005" s="104"/>
      <c r="J1005" s="104"/>
      <c r="K1005" s="104"/>
      <c r="L1005" s="104"/>
      <c r="M1005" s="104"/>
      <c r="N1005" s="104"/>
      <c r="O1005" s="104"/>
      <c r="P1005" s="104"/>
      <c r="Q1005" s="104"/>
      <c r="R1005" s="104"/>
      <c r="S1005" s="104"/>
      <c r="T1005" s="104"/>
      <c r="U1005" s="104"/>
      <c r="V1005" s="104"/>
      <c r="W1005" s="104"/>
      <c r="X1005" s="104"/>
      <c r="Y1005" s="104"/>
      <c r="Z1005" s="104"/>
      <c r="AA1005" s="104"/>
      <c r="AB1005" s="104"/>
      <c r="AC1005" s="104"/>
    </row>
    <row r="1006" customFormat="false" ht="15" hidden="false" customHeight="false" outlineLevel="0" collapsed="false">
      <c r="A1006" s="104"/>
      <c r="B1006" s="104"/>
      <c r="C1006" s="147"/>
      <c r="D1006" s="104"/>
      <c r="E1006" s="104"/>
      <c r="F1006" s="104"/>
      <c r="G1006" s="104"/>
      <c r="H1006" s="104"/>
      <c r="I1006" s="104"/>
      <c r="J1006" s="104"/>
      <c r="K1006" s="104"/>
      <c r="L1006" s="104"/>
      <c r="M1006" s="104"/>
      <c r="N1006" s="104"/>
      <c r="O1006" s="104"/>
      <c r="P1006" s="104"/>
      <c r="Q1006" s="104"/>
      <c r="R1006" s="104"/>
      <c r="S1006" s="104"/>
      <c r="T1006" s="104"/>
      <c r="U1006" s="104"/>
      <c r="V1006" s="104"/>
      <c r="W1006" s="104"/>
      <c r="X1006" s="104"/>
      <c r="Y1006" s="104"/>
      <c r="Z1006" s="104"/>
      <c r="AA1006" s="104"/>
      <c r="AB1006" s="104"/>
      <c r="AC1006" s="104"/>
    </row>
    <row r="1007" customFormat="false" ht="15" hidden="false" customHeight="false" outlineLevel="0" collapsed="false">
      <c r="A1007" s="104"/>
      <c r="B1007" s="104"/>
      <c r="C1007" s="147"/>
      <c r="D1007" s="104"/>
      <c r="E1007" s="104"/>
      <c r="F1007" s="104"/>
      <c r="G1007" s="104"/>
      <c r="H1007" s="104"/>
      <c r="I1007" s="104"/>
      <c r="J1007" s="104"/>
      <c r="K1007" s="104"/>
      <c r="L1007" s="104"/>
      <c r="M1007" s="104"/>
      <c r="N1007" s="104"/>
      <c r="O1007" s="104"/>
      <c r="P1007" s="104"/>
      <c r="Q1007" s="104"/>
      <c r="R1007" s="104"/>
      <c r="S1007" s="104"/>
      <c r="T1007" s="104"/>
      <c r="U1007" s="104"/>
      <c r="V1007" s="104"/>
      <c r="W1007" s="104"/>
      <c r="X1007" s="104"/>
      <c r="Y1007" s="104"/>
      <c r="Z1007" s="104"/>
      <c r="AA1007" s="104"/>
      <c r="AB1007" s="104"/>
      <c r="AC1007" s="104"/>
    </row>
    <row r="1008" customFormat="false" ht="15" hidden="false" customHeight="false" outlineLevel="0" collapsed="false">
      <c r="A1008" s="104"/>
      <c r="B1008" s="104"/>
      <c r="C1008" s="147"/>
      <c r="D1008" s="104"/>
      <c r="E1008" s="104"/>
      <c r="F1008" s="104"/>
      <c r="G1008" s="104"/>
      <c r="H1008" s="104"/>
      <c r="I1008" s="104"/>
      <c r="J1008" s="104"/>
      <c r="K1008" s="104"/>
      <c r="L1008" s="104"/>
      <c r="M1008" s="104"/>
      <c r="N1008" s="104"/>
      <c r="O1008" s="104"/>
      <c r="P1008" s="104"/>
      <c r="Q1008" s="104"/>
      <c r="R1008" s="104"/>
      <c r="S1008" s="104"/>
      <c r="T1008" s="104"/>
      <c r="U1008" s="104"/>
      <c r="V1008" s="104"/>
      <c r="W1008" s="104"/>
      <c r="X1008" s="104"/>
      <c r="Y1008" s="104"/>
      <c r="Z1008" s="104"/>
      <c r="AA1008" s="104"/>
      <c r="AB1008" s="104"/>
      <c r="AC1008" s="104"/>
    </row>
    <row r="1009" customFormat="false" ht="15" hidden="false" customHeight="false" outlineLevel="0" collapsed="false">
      <c r="A1009" s="104"/>
      <c r="B1009" s="104"/>
      <c r="C1009" s="147"/>
      <c r="D1009" s="104"/>
      <c r="E1009" s="104"/>
      <c r="F1009" s="104"/>
      <c r="G1009" s="104"/>
      <c r="H1009" s="104"/>
      <c r="I1009" s="104"/>
      <c r="J1009" s="104"/>
      <c r="K1009" s="104"/>
      <c r="L1009" s="104"/>
      <c r="M1009" s="104"/>
      <c r="N1009" s="104"/>
      <c r="O1009" s="104"/>
      <c r="P1009" s="104"/>
      <c r="Q1009" s="104"/>
      <c r="R1009" s="104"/>
      <c r="S1009" s="104"/>
      <c r="T1009" s="104"/>
      <c r="U1009" s="104"/>
      <c r="V1009" s="104"/>
      <c r="W1009" s="104"/>
      <c r="X1009" s="104"/>
      <c r="Y1009" s="104"/>
      <c r="Z1009" s="104"/>
      <c r="AA1009" s="104"/>
      <c r="AB1009" s="104"/>
      <c r="AC1009" s="104"/>
    </row>
    <row r="1010" customFormat="false" ht="15" hidden="false" customHeight="false" outlineLevel="0" collapsed="false">
      <c r="A1010" s="104"/>
      <c r="B1010" s="104"/>
      <c r="C1010" s="147"/>
      <c r="D1010" s="104"/>
      <c r="E1010" s="104"/>
      <c r="F1010" s="104"/>
      <c r="G1010" s="104"/>
      <c r="H1010" s="104"/>
      <c r="I1010" s="104"/>
      <c r="J1010" s="104"/>
      <c r="K1010" s="104"/>
      <c r="L1010" s="104"/>
      <c r="M1010" s="104"/>
      <c r="N1010" s="104"/>
      <c r="O1010" s="104"/>
      <c r="P1010" s="104"/>
      <c r="Q1010" s="104"/>
      <c r="R1010" s="104"/>
      <c r="S1010" s="104"/>
      <c r="T1010" s="104"/>
      <c r="U1010" s="104"/>
      <c r="V1010" s="104"/>
      <c r="W1010" s="104"/>
      <c r="X1010" s="104"/>
      <c r="Y1010" s="104"/>
      <c r="Z1010" s="104"/>
      <c r="AA1010" s="104"/>
      <c r="AB1010" s="104"/>
      <c r="AC1010" s="104"/>
    </row>
    <row r="1011" customFormat="false" ht="15" hidden="false" customHeight="false" outlineLevel="0" collapsed="false">
      <c r="A1011" s="104"/>
      <c r="B1011" s="104"/>
      <c r="C1011" s="147"/>
      <c r="D1011" s="104"/>
      <c r="E1011" s="104"/>
      <c r="F1011" s="104"/>
      <c r="G1011" s="104"/>
      <c r="H1011" s="104"/>
      <c r="I1011" s="104"/>
      <c r="J1011" s="104"/>
      <c r="K1011" s="104"/>
      <c r="L1011" s="104"/>
      <c r="M1011" s="104"/>
      <c r="N1011" s="104"/>
      <c r="O1011" s="104"/>
      <c r="P1011" s="104"/>
      <c r="Q1011" s="104"/>
      <c r="R1011" s="104"/>
      <c r="S1011" s="104"/>
      <c r="T1011" s="104"/>
      <c r="U1011" s="104"/>
      <c r="V1011" s="104"/>
      <c r="W1011" s="104"/>
      <c r="X1011" s="104"/>
      <c r="Y1011" s="104"/>
      <c r="Z1011" s="104"/>
      <c r="AA1011" s="104"/>
      <c r="AB1011" s="104"/>
      <c r="AC1011" s="104"/>
    </row>
    <row r="1012" customFormat="false" ht="15" hidden="false" customHeight="false" outlineLevel="0" collapsed="false">
      <c r="A1012" s="104"/>
      <c r="B1012" s="104"/>
      <c r="C1012" s="147"/>
      <c r="D1012" s="104"/>
      <c r="E1012" s="104"/>
      <c r="F1012" s="104"/>
      <c r="G1012" s="104"/>
      <c r="H1012" s="104"/>
      <c r="I1012" s="104"/>
      <c r="J1012" s="104"/>
      <c r="K1012" s="104"/>
      <c r="L1012" s="104"/>
      <c r="M1012" s="104"/>
      <c r="N1012" s="104"/>
      <c r="O1012" s="104"/>
      <c r="P1012" s="104"/>
      <c r="Q1012" s="104"/>
      <c r="R1012" s="104"/>
      <c r="S1012" s="104"/>
      <c r="T1012" s="104"/>
      <c r="U1012" s="104"/>
      <c r="V1012" s="104"/>
      <c r="W1012" s="104"/>
      <c r="X1012" s="104"/>
      <c r="Y1012" s="104"/>
      <c r="Z1012" s="104"/>
      <c r="AA1012" s="104"/>
      <c r="AB1012" s="104"/>
      <c r="AC1012" s="104"/>
    </row>
    <row r="1013" customFormat="false" ht="15" hidden="false" customHeight="false" outlineLevel="0" collapsed="false">
      <c r="A1013" s="104"/>
      <c r="B1013" s="104"/>
      <c r="C1013" s="147"/>
      <c r="D1013" s="104"/>
      <c r="E1013" s="104"/>
      <c r="F1013" s="104"/>
      <c r="G1013" s="104"/>
      <c r="H1013" s="104"/>
      <c r="I1013" s="104"/>
      <c r="J1013" s="104"/>
      <c r="K1013" s="104"/>
      <c r="L1013" s="104"/>
      <c r="M1013" s="104"/>
      <c r="N1013" s="104"/>
      <c r="O1013" s="104"/>
      <c r="P1013" s="104"/>
      <c r="Q1013" s="104"/>
      <c r="R1013" s="104"/>
      <c r="S1013" s="104"/>
      <c r="T1013" s="104"/>
      <c r="U1013" s="104"/>
      <c r="V1013" s="104"/>
      <c r="W1013" s="104"/>
      <c r="X1013" s="104"/>
      <c r="Y1013" s="104"/>
      <c r="Z1013" s="104"/>
      <c r="AA1013" s="104"/>
      <c r="AB1013" s="104"/>
      <c r="AC1013" s="104"/>
    </row>
    <row r="1014" customFormat="false" ht="15" hidden="false" customHeight="false" outlineLevel="0" collapsed="false">
      <c r="A1014" s="104"/>
      <c r="B1014" s="104"/>
      <c r="C1014" s="147"/>
      <c r="D1014" s="104"/>
      <c r="E1014" s="104"/>
      <c r="F1014" s="104"/>
      <c r="G1014" s="104"/>
      <c r="H1014" s="104"/>
      <c r="I1014" s="104"/>
      <c r="J1014" s="104"/>
      <c r="K1014" s="104"/>
      <c r="L1014" s="104"/>
      <c r="M1014" s="104"/>
      <c r="N1014" s="104"/>
      <c r="O1014" s="104"/>
      <c r="P1014" s="104"/>
      <c r="Q1014" s="104"/>
      <c r="R1014" s="104"/>
      <c r="S1014" s="104"/>
      <c r="T1014" s="104"/>
      <c r="U1014" s="104"/>
      <c r="V1014" s="104"/>
      <c r="W1014" s="104"/>
      <c r="X1014" s="104"/>
      <c r="Y1014" s="104"/>
      <c r="Z1014" s="104"/>
      <c r="AA1014" s="104"/>
      <c r="AB1014" s="104"/>
      <c r="AC1014" s="104"/>
    </row>
    <row r="1015" customFormat="false" ht="15" hidden="false" customHeight="false" outlineLevel="0" collapsed="false">
      <c r="A1015" s="104"/>
      <c r="B1015" s="104"/>
      <c r="C1015" s="147"/>
      <c r="D1015" s="104"/>
      <c r="E1015" s="104"/>
      <c r="F1015" s="104"/>
      <c r="G1015" s="104"/>
      <c r="H1015" s="104"/>
      <c r="I1015" s="104"/>
      <c r="J1015" s="104"/>
      <c r="K1015" s="104"/>
      <c r="L1015" s="104"/>
      <c r="M1015" s="104"/>
      <c r="N1015" s="104"/>
      <c r="O1015" s="104"/>
      <c r="P1015" s="104"/>
      <c r="Q1015" s="104"/>
      <c r="R1015" s="104"/>
      <c r="S1015" s="104"/>
      <c r="T1015" s="104"/>
      <c r="U1015" s="104"/>
      <c r="V1015" s="104"/>
      <c r="W1015" s="104"/>
      <c r="X1015" s="104"/>
      <c r="Y1015" s="104"/>
      <c r="Z1015" s="104"/>
      <c r="AA1015" s="104"/>
      <c r="AB1015" s="104"/>
      <c r="AC1015" s="104"/>
    </row>
    <row r="1016" customFormat="false" ht="15" hidden="false" customHeight="false" outlineLevel="0" collapsed="false">
      <c r="A1016" s="104"/>
      <c r="B1016" s="104"/>
      <c r="C1016" s="147"/>
      <c r="D1016" s="104"/>
      <c r="E1016" s="104"/>
      <c r="F1016" s="104"/>
      <c r="G1016" s="104"/>
      <c r="H1016" s="104"/>
      <c r="I1016" s="104"/>
      <c r="J1016" s="104"/>
      <c r="K1016" s="104"/>
      <c r="L1016" s="104"/>
      <c r="M1016" s="104"/>
      <c r="N1016" s="104"/>
      <c r="O1016" s="104"/>
      <c r="P1016" s="104"/>
      <c r="Q1016" s="104"/>
      <c r="R1016" s="104"/>
      <c r="S1016" s="104"/>
      <c r="T1016" s="104"/>
      <c r="U1016" s="104"/>
      <c r="V1016" s="104"/>
      <c r="W1016" s="104"/>
      <c r="X1016" s="104"/>
      <c r="Y1016" s="104"/>
      <c r="Z1016" s="104"/>
      <c r="AA1016" s="104"/>
      <c r="AB1016" s="104"/>
      <c r="AC1016" s="104"/>
    </row>
    <row r="1017" customFormat="false" ht="15" hidden="false" customHeight="false" outlineLevel="0" collapsed="false">
      <c r="A1017" s="104"/>
      <c r="B1017" s="104"/>
      <c r="C1017" s="147"/>
      <c r="D1017" s="104"/>
      <c r="E1017" s="104"/>
      <c r="F1017" s="104"/>
      <c r="G1017" s="104"/>
      <c r="H1017" s="104"/>
      <c r="I1017" s="104"/>
      <c r="J1017" s="104"/>
      <c r="K1017" s="104"/>
      <c r="L1017" s="104"/>
      <c r="M1017" s="104"/>
      <c r="N1017" s="104"/>
      <c r="O1017" s="104"/>
      <c r="P1017" s="104"/>
      <c r="Q1017" s="104"/>
      <c r="R1017" s="104"/>
      <c r="S1017" s="104"/>
      <c r="T1017" s="104"/>
      <c r="U1017" s="104"/>
      <c r="V1017" s="104"/>
      <c r="W1017" s="104"/>
      <c r="X1017" s="104"/>
      <c r="Y1017" s="104"/>
      <c r="Z1017" s="104"/>
      <c r="AA1017" s="104"/>
      <c r="AB1017" s="104"/>
      <c r="AC1017" s="104"/>
    </row>
    <row r="1018" customFormat="false" ht="15" hidden="false" customHeight="false" outlineLevel="0" collapsed="false">
      <c r="A1018" s="104"/>
      <c r="B1018" s="104"/>
      <c r="C1018" s="147"/>
      <c r="D1018" s="104"/>
      <c r="E1018" s="104"/>
      <c r="F1018" s="104"/>
      <c r="G1018" s="104"/>
      <c r="H1018" s="104"/>
      <c r="I1018" s="104"/>
      <c r="J1018" s="104"/>
      <c r="K1018" s="104"/>
      <c r="L1018" s="104"/>
      <c r="M1018" s="104"/>
      <c r="N1018" s="104"/>
      <c r="O1018" s="104"/>
      <c r="P1018" s="104"/>
      <c r="Q1018" s="104"/>
      <c r="R1018" s="104"/>
      <c r="S1018" s="104"/>
      <c r="T1018" s="104"/>
      <c r="U1018" s="104"/>
      <c r="V1018" s="104"/>
      <c r="W1018" s="104"/>
      <c r="X1018" s="104"/>
      <c r="Y1018" s="104"/>
      <c r="Z1018" s="104"/>
      <c r="AA1018" s="104"/>
      <c r="AB1018" s="104"/>
      <c r="AC1018" s="104"/>
    </row>
    <row r="1019" customFormat="false" ht="15" hidden="false" customHeight="false" outlineLevel="0" collapsed="false">
      <c r="A1019" s="104"/>
      <c r="B1019" s="104"/>
      <c r="C1019" s="147"/>
      <c r="D1019" s="104"/>
      <c r="E1019" s="104"/>
      <c r="F1019" s="104"/>
      <c r="G1019" s="104"/>
      <c r="H1019" s="104"/>
      <c r="I1019" s="104"/>
      <c r="J1019" s="104"/>
      <c r="K1019" s="104"/>
      <c r="L1019" s="104"/>
      <c r="M1019" s="104"/>
      <c r="N1019" s="104"/>
      <c r="O1019" s="104"/>
      <c r="P1019" s="104"/>
      <c r="Q1019" s="104"/>
      <c r="R1019" s="104"/>
      <c r="S1019" s="104"/>
      <c r="T1019" s="104"/>
      <c r="U1019" s="104"/>
      <c r="V1019" s="104"/>
      <c r="W1019" s="104"/>
      <c r="X1019" s="104"/>
      <c r="Y1019" s="104"/>
      <c r="Z1019" s="104"/>
      <c r="AA1019" s="104"/>
      <c r="AB1019" s="104"/>
      <c r="AC1019" s="104"/>
    </row>
    <row r="1020" customFormat="false" ht="15" hidden="false" customHeight="false" outlineLevel="0" collapsed="false">
      <c r="A1020" s="104"/>
      <c r="B1020" s="104"/>
      <c r="C1020" s="147"/>
      <c r="D1020" s="104"/>
      <c r="E1020" s="104"/>
      <c r="F1020" s="104"/>
      <c r="G1020" s="104"/>
      <c r="H1020" s="104"/>
      <c r="I1020" s="104"/>
      <c r="J1020" s="104"/>
      <c r="K1020" s="104"/>
      <c r="L1020" s="104"/>
      <c r="M1020" s="104"/>
      <c r="N1020" s="104"/>
      <c r="O1020" s="104"/>
      <c r="P1020" s="104"/>
      <c r="Q1020" s="104"/>
      <c r="R1020" s="104"/>
      <c r="S1020" s="104"/>
      <c r="T1020" s="104"/>
      <c r="U1020" s="104"/>
      <c r="V1020" s="104"/>
      <c r="W1020" s="104"/>
      <c r="X1020" s="104"/>
      <c r="Y1020" s="104"/>
      <c r="Z1020" s="104"/>
      <c r="AA1020" s="104"/>
      <c r="AB1020" s="104"/>
      <c r="AC1020" s="104"/>
    </row>
    <row r="1021" customFormat="false" ht="15" hidden="false" customHeight="false" outlineLevel="0" collapsed="false">
      <c r="A1021" s="104"/>
      <c r="B1021" s="104"/>
      <c r="C1021" s="147"/>
      <c r="D1021" s="104"/>
      <c r="E1021" s="104"/>
      <c r="F1021" s="104"/>
      <c r="G1021" s="104"/>
      <c r="H1021" s="104"/>
      <c r="I1021" s="104"/>
      <c r="J1021" s="104"/>
      <c r="K1021" s="104"/>
      <c r="L1021" s="104"/>
      <c r="M1021" s="104"/>
      <c r="N1021" s="104"/>
      <c r="O1021" s="104"/>
      <c r="P1021" s="104"/>
      <c r="Q1021" s="104"/>
      <c r="R1021" s="104"/>
      <c r="S1021" s="104"/>
      <c r="T1021" s="104"/>
      <c r="U1021" s="104"/>
      <c r="V1021" s="104"/>
      <c r="W1021" s="104"/>
      <c r="X1021" s="104"/>
      <c r="Y1021" s="104"/>
      <c r="Z1021" s="104"/>
      <c r="AA1021" s="104"/>
      <c r="AB1021" s="104"/>
      <c r="AC1021" s="104"/>
    </row>
    <row r="1022" customFormat="false" ht="15" hidden="false" customHeight="false" outlineLevel="0" collapsed="false">
      <c r="A1022" s="104"/>
      <c r="B1022" s="104"/>
      <c r="C1022" s="147"/>
      <c r="D1022" s="104"/>
      <c r="E1022" s="104"/>
      <c r="F1022" s="104"/>
      <c r="G1022" s="104"/>
      <c r="H1022" s="104"/>
      <c r="I1022" s="104"/>
      <c r="J1022" s="104"/>
      <c r="K1022" s="104"/>
      <c r="L1022" s="104"/>
      <c r="M1022" s="104"/>
      <c r="N1022" s="104"/>
      <c r="O1022" s="104"/>
      <c r="P1022" s="104"/>
      <c r="Q1022" s="104"/>
      <c r="R1022" s="104"/>
      <c r="S1022" s="104"/>
      <c r="T1022" s="104"/>
      <c r="U1022" s="104"/>
      <c r="V1022" s="104"/>
      <c r="W1022" s="104"/>
      <c r="X1022" s="104"/>
      <c r="Y1022" s="104"/>
      <c r="Z1022" s="104"/>
      <c r="AA1022" s="104"/>
      <c r="AB1022" s="104"/>
      <c r="AC1022" s="104"/>
    </row>
    <row r="1023" customFormat="false" ht="15" hidden="false" customHeight="false" outlineLevel="0" collapsed="false">
      <c r="A1023" s="104"/>
      <c r="B1023" s="104"/>
      <c r="C1023" s="147"/>
      <c r="D1023" s="104"/>
      <c r="E1023" s="104"/>
      <c r="F1023" s="104"/>
      <c r="G1023" s="104"/>
      <c r="H1023" s="104"/>
      <c r="I1023" s="104"/>
      <c r="J1023" s="104"/>
      <c r="K1023" s="104"/>
      <c r="L1023" s="104"/>
      <c r="M1023" s="104"/>
      <c r="N1023" s="104"/>
      <c r="O1023" s="104"/>
      <c r="P1023" s="104"/>
      <c r="Q1023" s="104"/>
      <c r="R1023" s="104"/>
      <c r="S1023" s="104"/>
      <c r="T1023" s="104"/>
      <c r="U1023" s="104"/>
      <c r="V1023" s="104"/>
      <c r="W1023" s="104"/>
      <c r="X1023" s="104"/>
      <c r="Y1023" s="104"/>
      <c r="Z1023" s="104"/>
      <c r="AA1023" s="104"/>
      <c r="AB1023" s="104"/>
      <c r="AC1023" s="104"/>
    </row>
    <row r="1024" customFormat="false" ht="15" hidden="false" customHeight="false" outlineLevel="0" collapsed="false">
      <c r="A1024" s="104"/>
      <c r="B1024" s="104"/>
      <c r="C1024" s="147"/>
      <c r="D1024" s="104"/>
      <c r="E1024" s="104"/>
      <c r="F1024" s="104"/>
      <c r="G1024" s="104"/>
      <c r="H1024" s="104"/>
      <c r="I1024" s="104"/>
      <c r="J1024" s="104"/>
      <c r="K1024" s="104"/>
      <c r="L1024" s="104"/>
      <c r="M1024" s="104"/>
      <c r="N1024" s="104"/>
      <c r="O1024" s="104"/>
      <c r="P1024" s="104"/>
      <c r="Q1024" s="104"/>
      <c r="R1024" s="104"/>
      <c r="S1024" s="104"/>
      <c r="T1024" s="104"/>
      <c r="U1024" s="104"/>
      <c r="V1024" s="104"/>
      <c r="W1024" s="104"/>
      <c r="X1024" s="104"/>
      <c r="Y1024" s="104"/>
      <c r="Z1024" s="104"/>
      <c r="AA1024" s="104"/>
      <c r="AB1024" s="104"/>
      <c r="AC1024" s="104"/>
    </row>
    <row r="1025" customFormat="false" ht="15" hidden="false" customHeight="false" outlineLevel="0" collapsed="false">
      <c r="A1025" s="104"/>
      <c r="B1025" s="104"/>
      <c r="C1025" s="147"/>
      <c r="D1025" s="104"/>
      <c r="E1025" s="104"/>
      <c r="F1025" s="104"/>
      <c r="G1025" s="104"/>
      <c r="H1025" s="104"/>
      <c r="I1025" s="104"/>
      <c r="J1025" s="104"/>
      <c r="K1025" s="104"/>
      <c r="L1025" s="104"/>
      <c r="M1025" s="104"/>
      <c r="N1025" s="104"/>
      <c r="O1025" s="104"/>
      <c r="P1025" s="104"/>
      <c r="Q1025" s="104"/>
      <c r="R1025" s="104"/>
      <c r="S1025" s="104"/>
      <c r="T1025" s="104"/>
      <c r="U1025" s="104"/>
      <c r="V1025" s="104"/>
      <c r="W1025" s="104"/>
      <c r="X1025" s="104"/>
      <c r="Y1025" s="104"/>
      <c r="Z1025" s="104"/>
      <c r="AA1025" s="104"/>
      <c r="AB1025" s="104"/>
      <c r="AC1025" s="104"/>
    </row>
    <row r="1026" customFormat="false" ht="15" hidden="false" customHeight="false" outlineLevel="0" collapsed="false">
      <c r="A1026" s="104"/>
      <c r="B1026" s="104"/>
      <c r="C1026" s="147"/>
      <c r="D1026" s="104"/>
      <c r="E1026" s="104"/>
      <c r="F1026" s="104"/>
      <c r="G1026" s="104"/>
      <c r="H1026" s="104"/>
      <c r="I1026" s="104"/>
      <c r="J1026" s="104"/>
      <c r="K1026" s="104"/>
      <c r="L1026" s="104"/>
      <c r="M1026" s="104"/>
      <c r="N1026" s="104"/>
      <c r="O1026" s="104"/>
      <c r="P1026" s="104"/>
      <c r="Q1026" s="104"/>
      <c r="R1026" s="104"/>
      <c r="S1026" s="104"/>
      <c r="T1026" s="104"/>
      <c r="U1026" s="104"/>
      <c r="V1026" s="104"/>
      <c r="W1026" s="104"/>
      <c r="X1026" s="104"/>
      <c r="Y1026" s="104"/>
      <c r="Z1026" s="104"/>
      <c r="AA1026" s="104"/>
      <c r="AB1026" s="104"/>
      <c r="AC1026" s="104"/>
    </row>
    <row r="1027" customFormat="false" ht="15" hidden="false" customHeight="false" outlineLevel="0" collapsed="false">
      <c r="A1027" s="104"/>
      <c r="B1027" s="104"/>
      <c r="C1027" s="147"/>
      <c r="D1027" s="104"/>
      <c r="E1027" s="104"/>
      <c r="F1027" s="104"/>
      <c r="G1027" s="104"/>
      <c r="H1027" s="104"/>
      <c r="I1027" s="104"/>
      <c r="J1027" s="104"/>
      <c r="K1027" s="104"/>
      <c r="L1027" s="104"/>
      <c r="M1027" s="104"/>
      <c r="N1027" s="104"/>
      <c r="O1027" s="104"/>
      <c r="P1027" s="104"/>
      <c r="Q1027" s="104"/>
      <c r="R1027" s="104"/>
      <c r="S1027" s="104"/>
      <c r="T1027" s="104"/>
      <c r="U1027" s="104"/>
      <c r="V1027" s="104"/>
      <c r="W1027" s="104"/>
      <c r="X1027" s="104"/>
      <c r="Y1027" s="104"/>
      <c r="Z1027" s="104"/>
      <c r="AA1027" s="104"/>
      <c r="AB1027" s="104"/>
      <c r="AC1027" s="104"/>
    </row>
    <row r="1028" customFormat="false" ht="15" hidden="false" customHeight="false" outlineLevel="0" collapsed="false">
      <c r="A1028" s="104"/>
      <c r="B1028" s="104"/>
      <c r="C1028" s="147"/>
      <c r="D1028" s="104"/>
      <c r="E1028" s="104"/>
      <c r="F1028" s="104"/>
      <c r="G1028" s="104"/>
      <c r="H1028" s="104"/>
      <c r="I1028" s="104"/>
      <c r="J1028" s="104"/>
      <c r="K1028" s="104"/>
      <c r="L1028" s="104"/>
      <c r="M1028" s="104"/>
      <c r="N1028" s="104"/>
      <c r="O1028" s="104"/>
      <c r="P1028" s="104"/>
      <c r="Q1028" s="104"/>
      <c r="R1028" s="104"/>
      <c r="S1028" s="104"/>
      <c r="T1028" s="104"/>
      <c r="U1028" s="104"/>
      <c r="V1028" s="104"/>
      <c r="W1028" s="104"/>
      <c r="X1028" s="104"/>
      <c r="Y1028" s="104"/>
      <c r="Z1028" s="104"/>
      <c r="AA1028" s="104"/>
      <c r="AB1028" s="104"/>
      <c r="AC1028" s="104"/>
    </row>
    <row r="1029" customFormat="false" ht="15" hidden="false" customHeight="false" outlineLevel="0" collapsed="false">
      <c r="A1029" s="104"/>
      <c r="B1029" s="104"/>
      <c r="C1029" s="147"/>
      <c r="D1029" s="104"/>
      <c r="E1029" s="104"/>
      <c r="F1029" s="104"/>
      <c r="G1029" s="104"/>
      <c r="H1029" s="104"/>
      <c r="I1029" s="104"/>
      <c r="J1029" s="104"/>
      <c r="K1029" s="104"/>
      <c r="L1029" s="104"/>
      <c r="M1029" s="104"/>
      <c r="N1029" s="104"/>
      <c r="O1029" s="104"/>
      <c r="P1029" s="104"/>
      <c r="Q1029" s="104"/>
      <c r="R1029" s="104"/>
      <c r="S1029" s="104"/>
      <c r="T1029" s="104"/>
      <c r="U1029" s="104"/>
      <c r="V1029" s="104"/>
      <c r="W1029" s="104"/>
      <c r="X1029" s="104"/>
      <c r="Y1029" s="104"/>
      <c r="Z1029" s="104"/>
      <c r="AA1029" s="104"/>
      <c r="AB1029" s="104"/>
      <c r="AC1029" s="104"/>
    </row>
    <row r="1030" customFormat="false" ht="15" hidden="false" customHeight="false" outlineLevel="0" collapsed="false">
      <c r="A1030" s="104"/>
      <c r="B1030" s="104"/>
      <c r="C1030" s="147"/>
      <c r="D1030" s="104"/>
      <c r="E1030" s="104"/>
      <c r="F1030" s="104"/>
      <c r="G1030" s="104"/>
      <c r="H1030" s="104"/>
      <c r="I1030" s="104"/>
      <c r="J1030" s="104"/>
      <c r="K1030" s="104"/>
      <c r="L1030" s="104"/>
      <c r="M1030" s="104"/>
      <c r="N1030" s="104"/>
      <c r="O1030" s="104"/>
      <c r="P1030" s="104"/>
      <c r="Q1030" s="104"/>
      <c r="R1030" s="104"/>
      <c r="S1030" s="104"/>
      <c r="T1030" s="104"/>
      <c r="U1030" s="104"/>
      <c r="V1030" s="104"/>
      <c r="W1030" s="104"/>
      <c r="X1030" s="104"/>
      <c r="Y1030" s="104"/>
      <c r="Z1030" s="104"/>
      <c r="AA1030" s="104"/>
      <c r="AB1030" s="104"/>
      <c r="AC1030" s="104"/>
    </row>
    <row r="1031" customFormat="false" ht="15" hidden="false" customHeight="false" outlineLevel="0" collapsed="false">
      <c r="A1031" s="104"/>
      <c r="B1031" s="104"/>
      <c r="C1031" s="147"/>
      <c r="D1031" s="104"/>
      <c r="E1031" s="104"/>
      <c r="F1031" s="104"/>
      <c r="G1031" s="104"/>
      <c r="H1031" s="104"/>
      <c r="I1031" s="104"/>
      <c r="J1031" s="104"/>
      <c r="K1031" s="104"/>
      <c r="L1031" s="104"/>
      <c r="M1031" s="104"/>
      <c r="N1031" s="104"/>
      <c r="O1031" s="104"/>
      <c r="P1031" s="104"/>
      <c r="Q1031" s="104"/>
      <c r="R1031" s="104"/>
      <c r="S1031" s="104"/>
      <c r="T1031" s="104"/>
      <c r="U1031" s="104"/>
      <c r="V1031" s="104"/>
      <c r="W1031" s="104"/>
      <c r="X1031" s="104"/>
      <c r="Y1031" s="104"/>
      <c r="Z1031" s="104"/>
      <c r="AA1031" s="104"/>
      <c r="AB1031" s="104"/>
      <c r="AC1031" s="104"/>
    </row>
    <row r="1032" customFormat="false" ht="15" hidden="false" customHeight="false" outlineLevel="0" collapsed="false">
      <c r="A1032" s="104"/>
      <c r="B1032" s="104"/>
      <c r="C1032" s="147"/>
      <c r="D1032" s="104"/>
      <c r="E1032" s="104"/>
      <c r="F1032" s="104"/>
      <c r="G1032" s="104"/>
      <c r="H1032" s="104"/>
      <c r="I1032" s="104"/>
      <c r="J1032" s="104"/>
      <c r="K1032" s="104"/>
      <c r="L1032" s="104"/>
      <c r="M1032" s="104"/>
      <c r="N1032" s="104"/>
      <c r="O1032" s="104"/>
      <c r="P1032" s="104"/>
      <c r="Q1032" s="104"/>
      <c r="R1032" s="104"/>
      <c r="S1032" s="104"/>
      <c r="T1032" s="104"/>
      <c r="U1032" s="104"/>
      <c r="V1032" s="104"/>
      <c r="W1032" s="104"/>
      <c r="X1032" s="104"/>
      <c r="Y1032" s="104"/>
      <c r="Z1032" s="104"/>
      <c r="AA1032" s="104"/>
      <c r="AB1032" s="104"/>
      <c r="AC1032" s="104"/>
    </row>
    <row r="1033" customFormat="false" ht="15" hidden="false" customHeight="false" outlineLevel="0" collapsed="false">
      <c r="A1033" s="104"/>
      <c r="B1033" s="104"/>
      <c r="C1033" s="147"/>
      <c r="D1033" s="104"/>
      <c r="E1033" s="104"/>
      <c r="F1033" s="104"/>
      <c r="G1033" s="104"/>
      <c r="H1033" s="104"/>
      <c r="I1033" s="104"/>
      <c r="J1033" s="104"/>
      <c r="K1033" s="104"/>
      <c r="L1033" s="104"/>
      <c r="M1033" s="104"/>
      <c r="N1033" s="104"/>
      <c r="O1033" s="104"/>
      <c r="P1033" s="104"/>
      <c r="Q1033" s="104"/>
      <c r="R1033" s="104"/>
      <c r="S1033" s="104"/>
      <c r="T1033" s="104"/>
      <c r="U1033" s="104"/>
      <c r="V1033" s="104"/>
      <c r="W1033" s="104"/>
      <c r="X1033" s="104"/>
      <c r="Y1033" s="104"/>
      <c r="Z1033" s="104"/>
      <c r="AA1033" s="104"/>
      <c r="AB1033" s="104"/>
      <c r="AC1033" s="104"/>
    </row>
    <row r="1034" customFormat="false" ht="15" hidden="false" customHeight="false" outlineLevel="0" collapsed="false">
      <c r="A1034" s="104"/>
      <c r="B1034" s="104"/>
      <c r="C1034" s="147"/>
      <c r="D1034" s="104"/>
      <c r="E1034" s="104"/>
      <c r="F1034" s="104"/>
      <c r="G1034" s="104"/>
      <c r="H1034" s="104"/>
      <c r="I1034" s="104"/>
      <c r="J1034" s="104"/>
      <c r="K1034" s="104"/>
      <c r="L1034" s="104"/>
      <c r="M1034" s="104"/>
      <c r="N1034" s="104"/>
      <c r="O1034" s="104"/>
      <c r="P1034" s="104"/>
      <c r="Q1034" s="104"/>
      <c r="R1034" s="104"/>
      <c r="S1034" s="104"/>
      <c r="T1034" s="104"/>
      <c r="U1034" s="104"/>
      <c r="V1034" s="104"/>
      <c r="W1034" s="104"/>
      <c r="X1034" s="104"/>
      <c r="Y1034" s="104"/>
      <c r="Z1034" s="104"/>
      <c r="AA1034" s="104"/>
      <c r="AB1034" s="104"/>
      <c r="AC1034" s="104"/>
    </row>
    <row r="1035" customFormat="false" ht="15" hidden="false" customHeight="false" outlineLevel="0" collapsed="false">
      <c r="A1035" s="104"/>
      <c r="B1035" s="104"/>
      <c r="C1035" s="147"/>
      <c r="D1035" s="104"/>
      <c r="E1035" s="104"/>
      <c r="F1035" s="104"/>
      <c r="G1035" s="104"/>
      <c r="H1035" s="104"/>
      <c r="I1035" s="104"/>
      <c r="J1035" s="104"/>
      <c r="K1035" s="104"/>
      <c r="L1035" s="104"/>
      <c r="M1035" s="104"/>
      <c r="N1035" s="104"/>
      <c r="O1035" s="104"/>
      <c r="P1035" s="104"/>
      <c r="Q1035" s="104"/>
      <c r="R1035" s="104"/>
      <c r="S1035" s="104"/>
      <c r="T1035" s="104"/>
      <c r="U1035" s="104"/>
      <c r="V1035" s="104"/>
      <c r="W1035" s="104"/>
      <c r="X1035" s="104"/>
      <c r="Y1035" s="104"/>
      <c r="Z1035" s="104"/>
      <c r="AA1035" s="104"/>
      <c r="AB1035" s="104"/>
      <c r="AC1035" s="104"/>
    </row>
    <row r="1036" customFormat="false" ht="15" hidden="false" customHeight="false" outlineLevel="0" collapsed="false">
      <c r="A1036" s="104"/>
      <c r="B1036" s="104"/>
      <c r="C1036" s="147"/>
      <c r="D1036" s="104"/>
      <c r="E1036" s="104"/>
      <c r="F1036" s="104"/>
      <c r="G1036" s="104"/>
      <c r="H1036" s="104"/>
      <c r="I1036" s="104"/>
      <c r="J1036" s="104"/>
      <c r="K1036" s="104"/>
      <c r="L1036" s="104"/>
      <c r="M1036" s="104"/>
      <c r="N1036" s="104"/>
      <c r="O1036" s="104"/>
      <c r="P1036" s="104"/>
      <c r="Q1036" s="104"/>
      <c r="R1036" s="104"/>
      <c r="S1036" s="104"/>
      <c r="T1036" s="104"/>
      <c r="U1036" s="104"/>
      <c r="V1036" s="104"/>
      <c r="W1036" s="104"/>
      <c r="X1036" s="104"/>
      <c r="Y1036" s="104"/>
      <c r="Z1036" s="104"/>
      <c r="AA1036" s="104"/>
      <c r="AB1036" s="104"/>
      <c r="AC1036" s="104"/>
    </row>
    <row r="1037" customFormat="false" ht="15" hidden="false" customHeight="false" outlineLevel="0" collapsed="false">
      <c r="A1037" s="104"/>
      <c r="B1037" s="104"/>
      <c r="C1037" s="147"/>
      <c r="D1037" s="104"/>
      <c r="E1037" s="104"/>
      <c r="F1037" s="104"/>
      <c r="G1037" s="104"/>
      <c r="H1037" s="104"/>
      <c r="I1037" s="104"/>
      <c r="J1037" s="104"/>
      <c r="K1037" s="104"/>
      <c r="L1037" s="104"/>
      <c r="M1037" s="104"/>
      <c r="N1037" s="104"/>
      <c r="O1037" s="104"/>
      <c r="P1037" s="104"/>
      <c r="Q1037" s="104"/>
      <c r="R1037" s="104"/>
      <c r="S1037" s="104"/>
      <c r="T1037" s="104"/>
      <c r="U1037" s="104"/>
      <c r="V1037" s="104"/>
      <c r="W1037" s="104"/>
      <c r="X1037" s="104"/>
      <c r="Y1037" s="104"/>
      <c r="Z1037" s="104"/>
      <c r="AA1037" s="104"/>
      <c r="AB1037" s="104"/>
      <c r="AC1037" s="104"/>
    </row>
    <row r="1038" customFormat="false" ht="15" hidden="false" customHeight="false" outlineLevel="0" collapsed="false">
      <c r="A1038" s="104"/>
      <c r="B1038" s="104"/>
      <c r="C1038" s="147"/>
      <c r="D1038" s="104"/>
      <c r="E1038" s="104"/>
      <c r="F1038" s="104"/>
      <c r="G1038" s="104"/>
      <c r="H1038" s="104"/>
      <c r="I1038" s="104"/>
      <c r="J1038" s="104"/>
      <c r="K1038" s="104"/>
      <c r="L1038" s="104"/>
      <c r="M1038" s="104"/>
      <c r="N1038" s="104"/>
      <c r="O1038" s="104"/>
      <c r="P1038" s="104"/>
      <c r="Q1038" s="104"/>
      <c r="R1038" s="104"/>
      <c r="S1038" s="104"/>
      <c r="T1038" s="104"/>
      <c r="U1038" s="104"/>
      <c r="V1038" s="104"/>
      <c r="W1038" s="104"/>
      <c r="X1038" s="104"/>
      <c r="Y1038" s="104"/>
      <c r="Z1038" s="104"/>
      <c r="AA1038" s="104"/>
      <c r="AB1038" s="104"/>
      <c r="AC1038" s="104"/>
    </row>
    <row r="1039" customFormat="false" ht="15" hidden="false" customHeight="false" outlineLevel="0" collapsed="false">
      <c r="A1039" s="104"/>
      <c r="B1039" s="104"/>
      <c r="C1039" s="147"/>
      <c r="D1039" s="104"/>
      <c r="E1039" s="104"/>
      <c r="F1039" s="104"/>
      <c r="G1039" s="104"/>
      <c r="H1039" s="104"/>
      <c r="I1039" s="104"/>
      <c r="J1039" s="104"/>
      <c r="K1039" s="104"/>
      <c r="L1039" s="104"/>
      <c r="M1039" s="104"/>
      <c r="N1039" s="104"/>
      <c r="O1039" s="104"/>
      <c r="P1039" s="104"/>
      <c r="Q1039" s="104"/>
      <c r="R1039" s="104"/>
      <c r="S1039" s="104"/>
      <c r="T1039" s="104"/>
      <c r="U1039" s="104"/>
      <c r="V1039" s="104"/>
      <c r="W1039" s="104"/>
      <c r="X1039" s="104"/>
      <c r="Y1039" s="104"/>
      <c r="Z1039" s="104"/>
      <c r="AA1039" s="104"/>
      <c r="AB1039" s="104"/>
      <c r="AC1039" s="104"/>
    </row>
    <row r="1040" customFormat="false" ht="15" hidden="false" customHeight="false" outlineLevel="0" collapsed="false">
      <c r="A1040" s="104"/>
      <c r="B1040" s="104"/>
      <c r="C1040" s="147"/>
      <c r="D1040" s="104"/>
      <c r="E1040" s="104"/>
      <c r="F1040" s="104"/>
      <c r="G1040" s="104"/>
      <c r="H1040" s="104"/>
      <c r="I1040" s="104"/>
      <c r="J1040" s="104"/>
      <c r="K1040" s="104"/>
      <c r="L1040" s="104"/>
      <c r="M1040" s="104"/>
      <c r="N1040" s="104"/>
      <c r="O1040" s="104"/>
      <c r="P1040" s="104"/>
      <c r="Q1040" s="104"/>
      <c r="R1040" s="104"/>
      <c r="S1040" s="104"/>
      <c r="T1040" s="104"/>
      <c r="U1040" s="104"/>
      <c r="V1040" s="104"/>
      <c r="W1040" s="104"/>
      <c r="X1040" s="104"/>
      <c r="Y1040" s="104"/>
      <c r="Z1040" s="104"/>
      <c r="AA1040" s="104"/>
      <c r="AB1040" s="104"/>
      <c r="AC1040" s="104"/>
    </row>
    <row r="1041" customFormat="false" ht="15" hidden="false" customHeight="false" outlineLevel="0" collapsed="false">
      <c r="A1041" s="104"/>
      <c r="B1041" s="104"/>
      <c r="C1041" s="147"/>
      <c r="D1041" s="104"/>
      <c r="E1041" s="104"/>
      <c r="F1041" s="104"/>
      <c r="G1041" s="104"/>
      <c r="H1041" s="104"/>
      <c r="I1041" s="104"/>
      <c r="J1041" s="104"/>
      <c r="K1041" s="104"/>
      <c r="L1041" s="104"/>
      <c r="M1041" s="104"/>
      <c r="N1041" s="104"/>
      <c r="O1041" s="104"/>
      <c r="P1041" s="104"/>
      <c r="Q1041" s="104"/>
      <c r="R1041" s="104"/>
      <c r="S1041" s="104"/>
      <c r="T1041" s="104"/>
      <c r="U1041" s="104"/>
      <c r="V1041" s="104"/>
      <c r="W1041" s="104"/>
      <c r="X1041" s="104"/>
      <c r="Y1041" s="104"/>
      <c r="Z1041" s="104"/>
      <c r="AA1041" s="104"/>
      <c r="AB1041" s="104"/>
      <c r="AC1041" s="104"/>
    </row>
    <row r="1042" customFormat="false" ht="15" hidden="false" customHeight="false" outlineLevel="0" collapsed="false">
      <c r="A1042" s="104"/>
      <c r="B1042" s="104"/>
      <c r="C1042" s="147"/>
      <c r="D1042" s="104"/>
      <c r="E1042" s="104"/>
      <c r="F1042" s="104"/>
      <c r="G1042" s="104"/>
      <c r="H1042" s="104"/>
      <c r="I1042" s="104"/>
      <c r="J1042" s="104"/>
      <c r="K1042" s="104"/>
      <c r="L1042" s="104"/>
      <c r="M1042" s="104"/>
      <c r="N1042" s="104"/>
      <c r="O1042" s="104"/>
      <c r="P1042" s="104"/>
      <c r="Q1042" s="104"/>
      <c r="R1042" s="104"/>
      <c r="S1042" s="104"/>
      <c r="T1042" s="104"/>
      <c r="U1042" s="104"/>
      <c r="V1042" s="104"/>
      <c r="W1042" s="104"/>
      <c r="X1042" s="104"/>
      <c r="Y1042" s="104"/>
      <c r="Z1042" s="104"/>
      <c r="AA1042" s="104"/>
      <c r="AB1042" s="104"/>
      <c r="AC1042" s="104"/>
    </row>
    <row r="1043" customFormat="false" ht="15" hidden="false" customHeight="false" outlineLevel="0" collapsed="false">
      <c r="A1043" s="104"/>
      <c r="B1043" s="104"/>
      <c r="C1043" s="147"/>
      <c r="D1043" s="104"/>
      <c r="E1043" s="104"/>
      <c r="F1043" s="104"/>
      <c r="G1043" s="104"/>
      <c r="H1043" s="104"/>
      <c r="I1043" s="104"/>
      <c r="J1043" s="104"/>
      <c r="K1043" s="104"/>
      <c r="L1043" s="104"/>
      <c r="M1043" s="104"/>
      <c r="N1043" s="104"/>
      <c r="O1043" s="104"/>
      <c r="P1043" s="104"/>
      <c r="Q1043" s="104"/>
      <c r="R1043" s="104"/>
      <c r="S1043" s="104"/>
      <c r="T1043" s="104"/>
      <c r="U1043" s="104"/>
      <c r="V1043" s="104"/>
      <c r="W1043" s="104"/>
      <c r="X1043" s="104"/>
      <c r="Y1043" s="104"/>
      <c r="Z1043" s="104"/>
      <c r="AA1043" s="104"/>
      <c r="AB1043" s="104"/>
      <c r="AC1043" s="104"/>
    </row>
    <row r="1044" customFormat="false" ht="15" hidden="false" customHeight="false" outlineLevel="0" collapsed="false">
      <c r="A1044" s="104"/>
      <c r="B1044" s="104"/>
      <c r="C1044" s="147"/>
      <c r="D1044" s="104"/>
      <c r="E1044" s="104"/>
      <c r="F1044" s="104"/>
      <c r="G1044" s="104"/>
      <c r="H1044" s="104"/>
      <c r="I1044" s="104"/>
      <c r="J1044" s="104"/>
      <c r="K1044" s="104"/>
      <c r="L1044" s="104"/>
      <c r="M1044" s="104"/>
      <c r="N1044" s="104"/>
      <c r="O1044" s="104"/>
      <c r="P1044" s="104"/>
      <c r="Q1044" s="104"/>
      <c r="R1044" s="104"/>
      <c r="S1044" s="104"/>
      <c r="T1044" s="104"/>
      <c r="U1044" s="104"/>
      <c r="V1044" s="104"/>
      <c r="W1044" s="104"/>
      <c r="X1044" s="104"/>
      <c r="Y1044" s="104"/>
      <c r="Z1044" s="104"/>
      <c r="AA1044" s="104"/>
      <c r="AB1044" s="104"/>
      <c r="AC1044" s="104"/>
    </row>
    <row r="1045" customFormat="false" ht="15" hidden="false" customHeight="false" outlineLevel="0" collapsed="false">
      <c r="A1045" s="104"/>
      <c r="B1045" s="104"/>
      <c r="C1045" s="147"/>
      <c r="D1045" s="104"/>
      <c r="E1045" s="104"/>
      <c r="F1045" s="104"/>
      <c r="G1045" s="104"/>
      <c r="H1045" s="104"/>
      <c r="I1045" s="104"/>
      <c r="J1045" s="104"/>
      <c r="K1045" s="104"/>
      <c r="L1045" s="104"/>
      <c r="M1045" s="104"/>
      <c r="N1045" s="104"/>
      <c r="O1045" s="104"/>
      <c r="P1045" s="104"/>
      <c r="Q1045" s="104"/>
      <c r="R1045" s="104"/>
      <c r="S1045" s="104"/>
      <c r="T1045" s="104"/>
      <c r="U1045" s="104"/>
      <c r="V1045" s="104"/>
      <c r="W1045" s="104"/>
      <c r="X1045" s="104"/>
      <c r="Y1045" s="104"/>
      <c r="Z1045" s="104"/>
      <c r="AA1045" s="104"/>
      <c r="AB1045" s="104"/>
      <c r="AC1045" s="104"/>
    </row>
    <row r="1046" customFormat="false" ht="15" hidden="false" customHeight="false" outlineLevel="0" collapsed="false">
      <c r="A1046" s="104"/>
      <c r="B1046" s="104"/>
      <c r="C1046" s="147"/>
      <c r="D1046" s="104"/>
      <c r="E1046" s="104"/>
      <c r="F1046" s="104"/>
      <c r="G1046" s="104"/>
      <c r="H1046" s="104"/>
      <c r="I1046" s="104"/>
      <c r="J1046" s="104"/>
      <c r="K1046" s="104"/>
      <c r="L1046" s="104"/>
      <c r="M1046" s="104"/>
      <c r="N1046" s="104"/>
      <c r="O1046" s="104"/>
      <c r="P1046" s="104"/>
      <c r="Q1046" s="104"/>
      <c r="R1046" s="104"/>
      <c r="S1046" s="104"/>
      <c r="T1046" s="104"/>
      <c r="U1046" s="104"/>
      <c r="V1046" s="104"/>
      <c r="W1046" s="104"/>
      <c r="X1046" s="104"/>
      <c r="Y1046" s="104"/>
      <c r="Z1046" s="104"/>
      <c r="AA1046" s="104"/>
      <c r="AB1046" s="104"/>
      <c r="AC1046" s="104"/>
    </row>
    <row r="1047" customFormat="false" ht="15" hidden="false" customHeight="false" outlineLevel="0" collapsed="false">
      <c r="A1047" s="104"/>
      <c r="B1047" s="104"/>
      <c r="C1047" s="147"/>
      <c r="D1047" s="104"/>
      <c r="E1047" s="104"/>
      <c r="F1047" s="104"/>
      <c r="G1047" s="104"/>
      <c r="H1047" s="104"/>
      <c r="I1047" s="104"/>
      <c r="J1047" s="104"/>
      <c r="K1047" s="104"/>
      <c r="L1047" s="104"/>
      <c r="M1047" s="104"/>
      <c r="N1047" s="104"/>
      <c r="O1047" s="104"/>
      <c r="P1047" s="104"/>
      <c r="Q1047" s="104"/>
      <c r="R1047" s="104"/>
      <c r="S1047" s="104"/>
      <c r="T1047" s="104"/>
      <c r="U1047" s="104"/>
      <c r="V1047" s="104"/>
      <c r="W1047" s="104"/>
      <c r="X1047" s="104"/>
      <c r="Y1047" s="104"/>
      <c r="Z1047" s="104"/>
      <c r="AA1047" s="104"/>
      <c r="AB1047" s="104"/>
      <c r="AC1047" s="104"/>
    </row>
    <row r="1048" customFormat="false" ht="15" hidden="false" customHeight="false" outlineLevel="0" collapsed="false">
      <c r="A1048" s="104"/>
      <c r="B1048" s="104"/>
      <c r="C1048" s="147"/>
      <c r="D1048" s="104"/>
      <c r="E1048" s="104"/>
      <c r="F1048" s="104"/>
      <c r="G1048" s="104"/>
      <c r="H1048" s="104"/>
      <c r="I1048" s="104"/>
      <c r="J1048" s="104"/>
      <c r="K1048" s="104"/>
      <c r="L1048" s="104"/>
      <c r="M1048" s="104"/>
      <c r="N1048" s="104"/>
      <c r="O1048" s="104"/>
      <c r="P1048" s="104"/>
      <c r="Q1048" s="104"/>
      <c r="R1048" s="104"/>
      <c r="S1048" s="104"/>
      <c r="T1048" s="104"/>
      <c r="U1048" s="104"/>
      <c r="V1048" s="104"/>
      <c r="W1048" s="104"/>
      <c r="X1048" s="104"/>
      <c r="Y1048" s="104"/>
      <c r="Z1048" s="104"/>
      <c r="AA1048" s="104"/>
      <c r="AB1048" s="104"/>
      <c r="AC1048" s="104"/>
    </row>
    <row r="1049" customFormat="false" ht="15" hidden="false" customHeight="false" outlineLevel="0" collapsed="false">
      <c r="A1049" s="104"/>
      <c r="B1049" s="104"/>
      <c r="C1049" s="147"/>
      <c r="D1049" s="104"/>
      <c r="E1049" s="104"/>
      <c r="F1049" s="104"/>
      <c r="G1049" s="104"/>
      <c r="H1049" s="104"/>
      <c r="I1049" s="104"/>
      <c r="J1049" s="104"/>
      <c r="K1049" s="104"/>
      <c r="L1049" s="104"/>
      <c r="M1049" s="104"/>
      <c r="N1049" s="104"/>
      <c r="O1049" s="104"/>
      <c r="P1049" s="104"/>
      <c r="Q1049" s="104"/>
      <c r="R1049" s="104"/>
      <c r="S1049" s="104"/>
      <c r="T1049" s="104"/>
      <c r="U1049" s="104"/>
      <c r="V1049" s="104"/>
      <c r="W1049" s="104"/>
      <c r="X1049" s="104"/>
      <c r="Y1049" s="104"/>
      <c r="Z1049" s="104"/>
      <c r="AA1049" s="104"/>
      <c r="AB1049" s="104"/>
      <c r="AC1049" s="104"/>
    </row>
    <row r="1050" customFormat="false" ht="15" hidden="false" customHeight="false" outlineLevel="0" collapsed="false">
      <c r="A1050" s="104"/>
      <c r="B1050" s="104"/>
      <c r="C1050" s="147"/>
      <c r="D1050" s="104"/>
      <c r="E1050" s="104"/>
      <c r="F1050" s="104"/>
      <c r="G1050" s="104"/>
      <c r="H1050" s="104"/>
      <c r="I1050" s="104"/>
      <c r="J1050" s="104"/>
      <c r="K1050" s="104"/>
      <c r="L1050" s="104"/>
      <c r="M1050" s="104"/>
      <c r="N1050" s="104"/>
      <c r="O1050" s="104"/>
      <c r="P1050" s="104"/>
      <c r="Q1050" s="104"/>
      <c r="R1050" s="104"/>
      <c r="S1050" s="104"/>
      <c r="T1050" s="104"/>
      <c r="U1050" s="104"/>
      <c r="V1050" s="104"/>
      <c r="W1050" s="104"/>
      <c r="X1050" s="104"/>
      <c r="Y1050" s="104"/>
      <c r="Z1050" s="104"/>
      <c r="AA1050" s="104"/>
      <c r="AB1050" s="104"/>
      <c r="AC1050" s="104"/>
    </row>
    <row r="1051" customFormat="false" ht="15" hidden="false" customHeight="false" outlineLevel="0" collapsed="false">
      <c r="A1051" s="104"/>
      <c r="B1051" s="104"/>
      <c r="C1051" s="147"/>
      <c r="D1051" s="104"/>
      <c r="E1051" s="104"/>
      <c r="F1051" s="104"/>
      <c r="G1051" s="104"/>
      <c r="H1051" s="104"/>
      <c r="I1051" s="104"/>
      <c r="J1051" s="104"/>
      <c r="K1051" s="104"/>
      <c r="L1051" s="104"/>
      <c r="M1051" s="104"/>
      <c r="N1051" s="104"/>
      <c r="O1051" s="104"/>
      <c r="P1051" s="104"/>
      <c r="Q1051" s="104"/>
      <c r="R1051" s="104"/>
      <c r="S1051" s="104"/>
      <c r="T1051" s="104"/>
      <c r="U1051" s="104"/>
      <c r="V1051" s="104"/>
      <c r="W1051" s="104"/>
      <c r="X1051" s="104"/>
      <c r="Y1051" s="104"/>
      <c r="Z1051" s="104"/>
      <c r="AA1051" s="104"/>
      <c r="AB1051" s="104"/>
      <c r="AC1051" s="104"/>
    </row>
    <row r="1052" customFormat="false" ht="15" hidden="false" customHeight="false" outlineLevel="0" collapsed="false">
      <c r="A1052" s="104"/>
      <c r="B1052" s="104"/>
      <c r="C1052" s="147"/>
      <c r="D1052" s="104"/>
      <c r="E1052" s="104"/>
      <c r="F1052" s="104"/>
      <c r="G1052" s="104"/>
      <c r="H1052" s="104"/>
      <c r="I1052" s="104"/>
      <c r="J1052" s="104"/>
      <c r="K1052" s="104"/>
      <c r="L1052" s="104"/>
      <c r="M1052" s="104"/>
      <c r="N1052" s="104"/>
      <c r="O1052" s="104"/>
      <c r="P1052" s="104"/>
      <c r="Q1052" s="104"/>
      <c r="R1052" s="104"/>
      <c r="S1052" s="104"/>
      <c r="T1052" s="104"/>
      <c r="U1052" s="104"/>
      <c r="V1052" s="104"/>
      <c r="W1052" s="104"/>
      <c r="X1052" s="104"/>
      <c r="Y1052" s="104"/>
      <c r="Z1052" s="104"/>
      <c r="AA1052" s="104"/>
      <c r="AB1052" s="104"/>
      <c r="AC1052" s="104"/>
    </row>
    <row r="1053" customFormat="false" ht="15" hidden="false" customHeight="false" outlineLevel="0" collapsed="false">
      <c r="A1053" s="104"/>
      <c r="B1053" s="104"/>
      <c r="C1053" s="147"/>
      <c r="D1053" s="104"/>
      <c r="E1053" s="104"/>
      <c r="F1053" s="104"/>
      <c r="G1053" s="104"/>
      <c r="H1053" s="104"/>
      <c r="I1053" s="104"/>
      <c r="J1053" s="104"/>
      <c r="K1053" s="104"/>
      <c r="L1053" s="104"/>
      <c r="M1053" s="104"/>
      <c r="N1053" s="104"/>
      <c r="O1053" s="104"/>
      <c r="P1053" s="104"/>
      <c r="Q1053" s="104"/>
      <c r="R1053" s="104"/>
      <c r="S1053" s="104"/>
      <c r="T1053" s="104"/>
      <c r="U1053" s="104"/>
      <c r="V1053" s="104"/>
      <c r="W1053" s="104"/>
      <c r="X1053" s="104"/>
      <c r="Y1053" s="104"/>
      <c r="Z1053" s="104"/>
      <c r="AA1053" s="104"/>
      <c r="AB1053" s="104"/>
      <c r="AC1053" s="104"/>
    </row>
    <row r="1054" customFormat="false" ht="15" hidden="false" customHeight="false" outlineLevel="0" collapsed="false">
      <c r="A1054" s="104"/>
      <c r="B1054" s="104"/>
      <c r="C1054" s="147"/>
      <c r="D1054" s="104"/>
      <c r="E1054" s="104"/>
      <c r="F1054" s="104"/>
      <c r="G1054" s="104"/>
      <c r="H1054" s="104"/>
      <c r="I1054" s="104"/>
      <c r="J1054" s="104"/>
      <c r="K1054" s="104"/>
      <c r="L1054" s="104"/>
      <c r="M1054" s="104"/>
      <c r="N1054" s="104"/>
      <c r="O1054" s="104"/>
      <c r="P1054" s="104"/>
      <c r="Q1054" s="104"/>
      <c r="R1054" s="104"/>
      <c r="S1054" s="104"/>
      <c r="T1054" s="104"/>
      <c r="U1054" s="104"/>
      <c r="V1054" s="104"/>
      <c r="W1054" s="104"/>
      <c r="X1054" s="104"/>
      <c r="Y1054" s="104"/>
      <c r="Z1054" s="104"/>
      <c r="AA1054" s="104"/>
      <c r="AB1054" s="104"/>
      <c r="AC1054" s="104"/>
    </row>
    <row r="1055" customFormat="false" ht="15" hidden="false" customHeight="false" outlineLevel="0" collapsed="false">
      <c r="A1055" s="104"/>
      <c r="B1055" s="104"/>
      <c r="C1055" s="147"/>
      <c r="D1055" s="104"/>
      <c r="E1055" s="104"/>
      <c r="F1055" s="104"/>
      <c r="G1055" s="104"/>
      <c r="H1055" s="104"/>
      <c r="I1055" s="104"/>
      <c r="J1055" s="104"/>
      <c r="K1055" s="104"/>
      <c r="L1055" s="104"/>
      <c r="M1055" s="104"/>
      <c r="N1055" s="104"/>
      <c r="O1055" s="104"/>
      <c r="P1055" s="104"/>
      <c r="Q1055" s="104"/>
      <c r="R1055" s="104"/>
      <c r="S1055" s="104"/>
      <c r="T1055" s="104"/>
      <c r="U1055" s="104"/>
      <c r="V1055" s="104"/>
      <c r="W1055" s="104"/>
      <c r="X1055" s="104"/>
      <c r="Y1055" s="104"/>
      <c r="Z1055" s="104"/>
      <c r="AA1055" s="104"/>
      <c r="AB1055" s="104"/>
      <c r="AC1055" s="104"/>
    </row>
    <row r="1056" customFormat="false" ht="15" hidden="false" customHeight="false" outlineLevel="0" collapsed="false">
      <c r="A1056" s="104"/>
      <c r="B1056" s="104"/>
      <c r="C1056" s="147"/>
      <c r="D1056" s="104"/>
      <c r="E1056" s="104"/>
      <c r="F1056" s="104"/>
      <c r="G1056" s="104"/>
      <c r="H1056" s="104"/>
      <c r="I1056" s="104"/>
      <c r="J1056" s="104"/>
      <c r="K1056" s="104"/>
      <c r="L1056" s="104"/>
      <c r="M1056" s="104"/>
      <c r="N1056" s="104"/>
      <c r="O1056" s="104"/>
      <c r="P1056" s="104"/>
      <c r="Q1056" s="104"/>
      <c r="R1056" s="104"/>
      <c r="S1056" s="104"/>
      <c r="T1056" s="104"/>
      <c r="U1056" s="104"/>
      <c r="V1056" s="104"/>
      <c r="W1056" s="104"/>
      <c r="X1056" s="104"/>
      <c r="Y1056" s="104"/>
      <c r="Z1056" s="104"/>
      <c r="AA1056" s="104"/>
      <c r="AB1056" s="104"/>
      <c r="AC1056" s="104"/>
    </row>
    <row r="1057" customFormat="false" ht="15" hidden="false" customHeight="false" outlineLevel="0" collapsed="false">
      <c r="A1057" s="104"/>
      <c r="B1057" s="104"/>
      <c r="C1057" s="147"/>
      <c r="D1057" s="104"/>
      <c r="E1057" s="104"/>
      <c r="F1057" s="104"/>
      <c r="G1057" s="104"/>
      <c r="H1057" s="104"/>
      <c r="I1057" s="104"/>
      <c r="J1057" s="104"/>
      <c r="K1057" s="104"/>
      <c r="L1057" s="104"/>
      <c r="M1057" s="104"/>
      <c r="N1057" s="104"/>
      <c r="O1057" s="104"/>
      <c r="P1057" s="104"/>
      <c r="Q1057" s="104"/>
      <c r="R1057" s="104"/>
      <c r="S1057" s="104"/>
      <c r="T1057" s="104"/>
      <c r="U1057" s="104"/>
      <c r="V1057" s="104"/>
      <c r="W1057" s="104"/>
      <c r="X1057" s="104"/>
      <c r="Y1057" s="104"/>
      <c r="Z1057" s="104"/>
      <c r="AA1057" s="104"/>
      <c r="AB1057" s="104"/>
      <c r="AC1057" s="104"/>
    </row>
    <row r="1058" customFormat="false" ht="15" hidden="false" customHeight="false" outlineLevel="0" collapsed="false">
      <c r="A1058" s="104"/>
      <c r="B1058" s="104"/>
      <c r="C1058" s="147"/>
      <c r="D1058" s="104"/>
      <c r="E1058" s="104"/>
      <c r="F1058" s="104"/>
      <c r="G1058" s="104"/>
      <c r="H1058" s="104"/>
      <c r="I1058" s="104"/>
      <c r="J1058" s="104"/>
      <c r="K1058" s="104"/>
      <c r="L1058" s="104"/>
      <c r="M1058" s="104"/>
      <c r="N1058" s="104"/>
      <c r="O1058" s="104"/>
      <c r="P1058" s="104"/>
      <c r="Q1058" s="104"/>
      <c r="R1058" s="104"/>
      <c r="S1058" s="104"/>
      <c r="T1058" s="104"/>
      <c r="U1058" s="104"/>
      <c r="V1058" s="104"/>
      <c r="W1058" s="104"/>
      <c r="X1058" s="104"/>
      <c r="Y1058" s="104"/>
      <c r="Z1058" s="104"/>
      <c r="AA1058" s="104"/>
      <c r="AB1058" s="104"/>
      <c r="AC1058" s="104"/>
    </row>
    <row r="1059" customFormat="false" ht="15" hidden="false" customHeight="false" outlineLevel="0" collapsed="false">
      <c r="A1059" s="104"/>
      <c r="B1059" s="104"/>
      <c r="C1059" s="147"/>
      <c r="D1059" s="104"/>
      <c r="E1059" s="104"/>
      <c r="F1059" s="104"/>
      <c r="G1059" s="104"/>
      <c r="H1059" s="104"/>
      <c r="I1059" s="104"/>
      <c r="J1059" s="104"/>
      <c r="K1059" s="104"/>
      <c r="L1059" s="104"/>
      <c r="M1059" s="104"/>
      <c r="N1059" s="104"/>
      <c r="O1059" s="104"/>
      <c r="P1059" s="104"/>
      <c r="Q1059" s="104"/>
      <c r="R1059" s="104"/>
      <c r="S1059" s="104"/>
      <c r="T1059" s="104"/>
      <c r="U1059" s="104"/>
      <c r="V1059" s="104"/>
      <c r="W1059" s="104"/>
      <c r="X1059" s="104"/>
      <c r="Y1059" s="104"/>
      <c r="Z1059" s="104"/>
      <c r="AA1059" s="104"/>
      <c r="AB1059" s="104"/>
      <c r="AC1059" s="104"/>
    </row>
    <row r="1060" customFormat="false" ht="15" hidden="false" customHeight="false" outlineLevel="0" collapsed="false">
      <c r="A1060" s="104"/>
      <c r="B1060" s="104"/>
      <c r="C1060" s="147"/>
      <c r="D1060" s="104"/>
      <c r="E1060" s="104"/>
      <c r="F1060" s="104"/>
      <c r="G1060" s="104"/>
      <c r="H1060" s="104"/>
      <c r="I1060" s="104"/>
      <c r="J1060" s="104"/>
      <c r="K1060" s="104"/>
      <c r="L1060" s="104"/>
      <c r="M1060" s="104"/>
      <c r="N1060" s="104"/>
      <c r="O1060" s="104"/>
      <c r="P1060" s="104"/>
      <c r="Q1060" s="104"/>
      <c r="R1060" s="104"/>
      <c r="S1060" s="104"/>
      <c r="T1060" s="104"/>
      <c r="U1060" s="104"/>
      <c r="V1060" s="104"/>
      <c r="W1060" s="104"/>
      <c r="X1060" s="104"/>
      <c r="Y1060" s="104"/>
      <c r="Z1060" s="104"/>
      <c r="AA1060" s="104"/>
      <c r="AB1060" s="104"/>
      <c r="AC1060" s="104"/>
    </row>
    <row r="1061" customFormat="false" ht="15" hidden="false" customHeight="false" outlineLevel="0" collapsed="false">
      <c r="A1061" s="104"/>
      <c r="B1061" s="104"/>
      <c r="C1061" s="147"/>
      <c r="D1061" s="104"/>
      <c r="E1061" s="104"/>
      <c r="F1061" s="104"/>
      <c r="G1061" s="104"/>
      <c r="H1061" s="104"/>
      <c r="I1061" s="104"/>
      <c r="J1061" s="104"/>
      <c r="K1061" s="104"/>
      <c r="L1061" s="104"/>
      <c r="M1061" s="104"/>
      <c r="N1061" s="104"/>
      <c r="O1061" s="104"/>
      <c r="P1061" s="104"/>
      <c r="Q1061" s="104"/>
      <c r="R1061" s="104"/>
      <c r="S1061" s="104"/>
      <c r="T1061" s="104"/>
      <c r="U1061" s="104"/>
      <c r="V1061" s="104"/>
      <c r="W1061" s="104"/>
      <c r="X1061" s="104"/>
      <c r="Y1061" s="104"/>
      <c r="Z1061" s="104"/>
      <c r="AA1061" s="104"/>
      <c r="AB1061" s="104"/>
      <c r="AC1061" s="104"/>
    </row>
    <row r="1062" customFormat="false" ht="15" hidden="false" customHeight="false" outlineLevel="0" collapsed="false">
      <c r="A1062" s="104"/>
      <c r="B1062" s="104"/>
      <c r="C1062" s="147"/>
      <c r="D1062" s="104"/>
      <c r="E1062" s="104"/>
      <c r="F1062" s="104"/>
      <c r="G1062" s="104"/>
      <c r="H1062" s="104"/>
      <c r="I1062" s="104"/>
      <c r="J1062" s="104"/>
      <c r="K1062" s="104"/>
      <c r="L1062" s="104"/>
      <c r="M1062" s="104"/>
      <c r="N1062" s="104"/>
      <c r="O1062" s="104"/>
      <c r="P1062" s="104"/>
      <c r="Q1062" s="104"/>
      <c r="R1062" s="104"/>
      <c r="S1062" s="104"/>
      <c r="T1062" s="104"/>
      <c r="U1062" s="104"/>
      <c r="V1062" s="104"/>
      <c r="W1062" s="104"/>
      <c r="X1062" s="104"/>
      <c r="Y1062" s="104"/>
      <c r="Z1062" s="104"/>
      <c r="AA1062" s="104"/>
      <c r="AB1062" s="104"/>
      <c r="AC1062" s="104"/>
    </row>
    <row r="1063" customFormat="false" ht="15" hidden="false" customHeight="false" outlineLevel="0" collapsed="false">
      <c r="A1063" s="104"/>
      <c r="B1063" s="104"/>
      <c r="C1063" s="147"/>
      <c r="D1063" s="104"/>
      <c r="E1063" s="104"/>
      <c r="F1063" s="104"/>
      <c r="G1063" s="104"/>
      <c r="H1063" s="104"/>
      <c r="I1063" s="104"/>
      <c r="J1063" s="104"/>
      <c r="K1063" s="104"/>
      <c r="L1063" s="104"/>
      <c r="M1063" s="104"/>
      <c r="N1063" s="104"/>
      <c r="O1063" s="104"/>
      <c r="P1063" s="104"/>
      <c r="Q1063" s="104"/>
      <c r="R1063" s="104"/>
      <c r="S1063" s="104"/>
      <c r="T1063" s="104"/>
      <c r="U1063" s="104"/>
      <c r="V1063" s="104"/>
      <c r="W1063" s="104"/>
      <c r="X1063" s="104"/>
      <c r="Y1063" s="104"/>
      <c r="Z1063" s="104"/>
      <c r="AA1063" s="104"/>
      <c r="AB1063" s="104"/>
      <c r="AC1063" s="104"/>
    </row>
    <row r="1064" customFormat="false" ht="15" hidden="false" customHeight="false" outlineLevel="0" collapsed="false">
      <c r="A1064" s="104"/>
      <c r="B1064" s="104"/>
      <c r="C1064" s="147"/>
      <c r="D1064" s="104"/>
      <c r="E1064" s="104"/>
      <c r="F1064" s="104"/>
      <c r="G1064" s="104"/>
      <c r="H1064" s="104"/>
      <c r="I1064" s="104"/>
      <c r="J1064" s="104"/>
      <c r="K1064" s="104"/>
      <c r="L1064" s="104"/>
      <c r="M1064" s="104"/>
      <c r="N1064" s="104"/>
      <c r="O1064" s="104"/>
      <c r="P1064" s="104"/>
      <c r="Q1064" s="104"/>
      <c r="R1064" s="104"/>
      <c r="S1064" s="104"/>
      <c r="T1064" s="104"/>
      <c r="U1064" s="104"/>
      <c r="V1064" s="104"/>
      <c r="W1064" s="104"/>
      <c r="X1064" s="104"/>
      <c r="Y1064" s="104"/>
      <c r="Z1064" s="104"/>
      <c r="AA1064" s="104"/>
      <c r="AB1064" s="104"/>
      <c r="AC1064" s="104"/>
    </row>
    <row r="1065" customFormat="false" ht="15" hidden="false" customHeight="false" outlineLevel="0" collapsed="false">
      <c r="A1065" s="104"/>
      <c r="B1065" s="104"/>
      <c r="C1065" s="147"/>
      <c r="D1065" s="104"/>
      <c r="E1065" s="104"/>
      <c r="F1065" s="104"/>
      <c r="G1065" s="104"/>
      <c r="H1065" s="104"/>
      <c r="I1065" s="104"/>
      <c r="J1065" s="104"/>
      <c r="K1065" s="104"/>
      <c r="L1065" s="104"/>
      <c r="M1065" s="104"/>
      <c r="N1065" s="104"/>
      <c r="O1065" s="104"/>
      <c r="P1065" s="104"/>
      <c r="Q1065" s="104"/>
      <c r="R1065" s="104"/>
      <c r="S1065" s="104"/>
      <c r="T1065" s="104"/>
      <c r="U1065" s="104"/>
      <c r="V1065" s="104"/>
      <c r="W1065" s="104"/>
      <c r="X1065" s="104"/>
      <c r="Y1065" s="104"/>
      <c r="Z1065" s="104"/>
      <c r="AA1065" s="104"/>
      <c r="AB1065" s="104"/>
      <c r="AC1065" s="104"/>
    </row>
    <row r="1066" customFormat="false" ht="15" hidden="false" customHeight="false" outlineLevel="0" collapsed="false">
      <c r="A1066" s="104"/>
      <c r="B1066" s="104"/>
      <c r="C1066" s="147"/>
      <c r="D1066" s="104"/>
      <c r="E1066" s="104"/>
      <c r="F1066" s="104"/>
      <c r="G1066" s="104"/>
      <c r="H1066" s="104"/>
      <c r="I1066" s="104"/>
      <c r="J1066" s="104"/>
      <c r="K1066" s="104"/>
      <c r="L1066" s="104"/>
      <c r="M1066" s="104"/>
      <c r="N1066" s="104"/>
      <c r="O1066" s="104"/>
      <c r="P1066" s="104"/>
      <c r="Q1066" s="104"/>
      <c r="R1066" s="104"/>
      <c r="S1066" s="104"/>
      <c r="T1066" s="104"/>
      <c r="U1066" s="104"/>
      <c r="V1066" s="104"/>
      <c r="W1066" s="104"/>
      <c r="X1066" s="104"/>
      <c r="Y1066" s="104"/>
      <c r="Z1066" s="104"/>
      <c r="AA1066" s="104"/>
      <c r="AB1066" s="104"/>
      <c r="AC1066" s="104"/>
    </row>
    <row r="1067" customFormat="false" ht="15" hidden="false" customHeight="false" outlineLevel="0" collapsed="false">
      <c r="A1067" s="104"/>
      <c r="B1067" s="104"/>
      <c r="C1067" s="147"/>
      <c r="D1067" s="104"/>
      <c r="E1067" s="104"/>
      <c r="F1067" s="104"/>
      <c r="G1067" s="104"/>
      <c r="H1067" s="104"/>
      <c r="I1067" s="104"/>
      <c r="J1067" s="104"/>
      <c r="K1067" s="104"/>
      <c r="L1067" s="104"/>
      <c r="M1067" s="104"/>
      <c r="N1067" s="104"/>
      <c r="O1067" s="104"/>
      <c r="P1067" s="104"/>
      <c r="Q1067" s="104"/>
      <c r="R1067" s="104"/>
      <c r="S1067" s="104"/>
      <c r="T1067" s="104"/>
      <c r="U1067" s="104"/>
      <c r="V1067" s="104"/>
      <c r="W1067" s="104"/>
      <c r="X1067" s="104"/>
      <c r="Y1067" s="104"/>
      <c r="Z1067" s="104"/>
      <c r="AA1067" s="104"/>
      <c r="AB1067" s="104"/>
      <c r="AC1067" s="104"/>
    </row>
    <row r="1068" customFormat="false" ht="15" hidden="false" customHeight="false" outlineLevel="0" collapsed="false">
      <c r="A1068" s="104"/>
      <c r="B1068" s="104"/>
      <c r="C1068" s="147"/>
      <c r="D1068" s="104"/>
      <c r="E1068" s="104"/>
      <c r="F1068" s="104"/>
      <c r="G1068" s="104"/>
      <c r="H1068" s="104"/>
      <c r="I1068" s="104"/>
      <c r="J1068" s="104"/>
      <c r="K1068" s="104"/>
      <c r="L1068" s="104"/>
      <c r="M1068" s="104"/>
      <c r="N1068" s="104"/>
      <c r="O1068" s="104"/>
      <c r="P1068" s="104"/>
      <c r="Q1068" s="104"/>
      <c r="R1068" s="104"/>
      <c r="S1068" s="104"/>
      <c r="T1068" s="104"/>
      <c r="U1068" s="104"/>
      <c r="V1068" s="104"/>
      <c r="W1068" s="104"/>
      <c r="X1068" s="104"/>
      <c r="Y1068" s="104"/>
      <c r="Z1068" s="104"/>
      <c r="AA1068" s="104"/>
      <c r="AB1068" s="104"/>
      <c r="AC1068" s="104"/>
    </row>
    <row r="1069" customFormat="false" ht="15" hidden="false" customHeight="false" outlineLevel="0" collapsed="false">
      <c r="A1069" s="104"/>
      <c r="B1069" s="104"/>
      <c r="C1069" s="147"/>
      <c r="D1069" s="104"/>
      <c r="E1069" s="104"/>
      <c r="F1069" s="104"/>
      <c r="G1069" s="104"/>
      <c r="H1069" s="104"/>
      <c r="I1069" s="104"/>
      <c r="J1069" s="104"/>
      <c r="K1069" s="104"/>
      <c r="L1069" s="104"/>
      <c r="M1069" s="104"/>
      <c r="N1069" s="104"/>
      <c r="O1069" s="104"/>
      <c r="P1069" s="104"/>
      <c r="Q1069" s="104"/>
      <c r="R1069" s="104"/>
      <c r="S1069" s="104"/>
      <c r="T1069" s="104"/>
      <c r="U1069" s="104"/>
      <c r="V1069" s="104"/>
      <c r="W1069" s="104"/>
      <c r="X1069" s="104"/>
      <c r="Y1069" s="104"/>
      <c r="Z1069" s="104"/>
      <c r="AA1069" s="104"/>
      <c r="AB1069" s="104"/>
      <c r="AC1069" s="104"/>
    </row>
    <row r="1070" customFormat="false" ht="15" hidden="false" customHeight="false" outlineLevel="0" collapsed="false">
      <c r="A1070" s="104"/>
      <c r="B1070" s="104"/>
      <c r="C1070" s="147"/>
      <c r="D1070" s="104"/>
      <c r="E1070" s="104"/>
      <c r="F1070" s="104"/>
      <c r="G1070" s="104"/>
      <c r="H1070" s="104"/>
      <c r="I1070" s="104"/>
      <c r="J1070" s="104"/>
      <c r="K1070" s="104"/>
      <c r="L1070" s="104"/>
      <c r="M1070" s="104"/>
      <c r="N1070" s="104"/>
      <c r="O1070" s="104"/>
      <c r="P1070" s="104"/>
      <c r="Q1070" s="104"/>
      <c r="R1070" s="104"/>
      <c r="S1070" s="104"/>
      <c r="T1070" s="104"/>
      <c r="U1070" s="104"/>
      <c r="V1070" s="104"/>
      <c r="W1070" s="104"/>
      <c r="X1070" s="104"/>
      <c r="Y1070" s="104"/>
      <c r="Z1070" s="104"/>
      <c r="AA1070" s="104"/>
      <c r="AB1070" s="104"/>
      <c r="AC1070" s="104"/>
    </row>
    <row r="1071" customFormat="false" ht="15" hidden="false" customHeight="false" outlineLevel="0" collapsed="false">
      <c r="A1071" s="104"/>
      <c r="B1071" s="104"/>
      <c r="C1071" s="147"/>
      <c r="D1071" s="104"/>
      <c r="E1071" s="104"/>
      <c r="F1071" s="104"/>
      <c r="G1071" s="104"/>
      <c r="H1071" s="104"/>
      <c r="I1071" s="104"/>
      <c r="J1071" s="104"/>
      <c r="K1071" s="104"/>
      <c r="L1071" s="104"/>
      <c r="M1071" s="104"/>
      <c r="N1071" s="104"/>
      <c r="O1071" s="104"/>
      <c r="P1071" s="104"/>
      <c r="Q1071" s="104"/>
      <c r="R1071" s="104"/>
      <c r="S1071" s="104"/>
      <c r="T1071" s="104"/>
      <c r="U1071" s="104"/>
      <c r="V1071" s="104"/>
      <c r="W1071" s="104"/>
      <c r="X1071" s="104"/>
      <c r="Y1071" s="104"/>
      <c r="Z1071" s="104"/>
      <c r="AA1071" s="104"/>
      <c r="AB1071" s="104"/>
      <c r="AC1071" s="104"/>
    </row>
    <row r="1072" customFormat="false" ht="15" hidden="false" customHeight="false" outlineLevel="0" collapsed="false">
      <c r="A1072" s="104"/>
      <c r="B1072" s="104"/>
      <c r="C1072" s="147"/>
      <c r="D1072" s="104"/>
      <c r="E1072" s="104"/>
      <c r="F1072" s="104"/>
      <c r="G1072" s="104"/>
      <c r="H1072" s="104"/>
      <c r="I1072" s="104"/>
      <c r="J1072" s="104"/>
      <c r="K1072" s="104"/>
      <c r="L1072" s="104"/>
      <c r="M1072" s="104"/>
      <c r="N1072" s="104"/>
      <c r="O1072" s="104"/>
      <c r="P1072" s="104"/>
      <c r="Q1072" s="104"/>
      <c r="R1072" s="104"/>
      <c r="S1072" s="104"/>
      <c r="T1072" s="104"/>
      <c r="U1072" s="104"/>
      <c r="V1072" s="104"/>
      <c r="W1072" s="104"/>
      <c r="X1072" s="104"/>
      <c r="Y1072" s="104"/>
      <c r="Z1072" s="104"/>
      <c r="AA1072" s="104"/>
      <c r="AB1072" s="104"/>
      <c r="AC1072" s="104"/>
    </row>
    <row r="1073" customFormat="false" ht="15" hidden="false" customHeight="false" outlineLevel="0" collapsed="false">
      <c r="A1073" s="104"/>
      <c r="B1073" s="104"/>
      <c r="C1073" s="147"/>
      <c r="D1073" s="104"/>
      <c r="E1073" s="104"/>
      <c r="F1073" s="104"/>
      <c r="G1073" s="104"/>
      <c r="H1073" s="104"/>
      <c r="I1073" s="104"/>
      <c r="J1073" s="104"/>
      <c r="K1073" s="104"/>
      <c r="L1073" s="104"/>
      <c r="M1073" s="104"/>
      <c r="N1073" s="104"/>
      <c r="O1073" s="104"/>
      <c r="P1073" s="104"/>
      <c r="Q1073" s="104"/>
      <c r="R1073" s="104"/>
      <c r="S1073" s="104"/>
      <c r="T1073" s="104"/>
      <c r="U1073" s="104"/>
      <c r="V1073" s="104"/>
      <c r="W1073" s="104"/>
      <c r="X1073" s="104"/>
      <c r="Y1073" s="104"/>
      <c r="Z1073" s="104"/>
      <c r="AA1073" s="104"/>
      <c r="AB1073" s="104"/>
      <c r="AC1073" s="104"/>
    </row>
    <row r="1074" customFormat="false" ht="15" hidden="false" customHeight="false" outlineLevel="0" collapsed="false">
      <c r="A1074" s="104"/>
      <c r="B1074" s="104"/>
      <c r="C1074" s="147"/>
      <c r="D1074" s="104"/>
      <c r="E1074" s="104"/>
      <c r="F1074" s="104"/>
      <c r="G1074" s="104"/>
      <c r="H1074" s="104"/>
      <c r="I1074" s="104"/>
      <c r="J1074" s="104"/>
      <c r="K1074" s="104"/>
      <c r="L1074" s="104"/>
      <c r="M1074" s="104"/>
      <c r="N1074" s="104"/>
      <c r="O1074" s="104"/>
      <c r="P1074" s="104"/>
      <c r="Q1074" s="104"/>
      <c r="R1074" s="104"/>
      <c r="S1074" s="104"/>
      <c r="T1074" s="104"/>
      <c r="U1074" s="104"/>
      <c r="V1074" s="104"/>
      <c r="W1074" s="104"/>
      <c r="X1074" s="104"/>
      <c r="Y1074" s="104"/>
      <c r="Z1074" s="104"/>
      <c r="AA1074" s="104"/>
      <c r="AB1074" s="104"/>
      <c r="AC1074" s="104"/>
    </row>
    <row r="1075" customFormat="false" ht="15" hidden="false" customHeight="false" outlineLevel="0" collapsed="false">
      <c r="A1075" s="104"/>
      <c r="B1075" s="104"/>
      <c r="C1075" s="147"/>
      <c r="D1075" s="104"/>
      <c r="E1075" s="104"/>
      <c r="F1075" s="104"/>
      <c r="G1075" s="104"/>
      <c r="H1075" s="104"/>
      <c r="I1075" s="104"/>
      <c r="J1075" s="104"/>
      <c r="K1075" s="104"/>
      <c r="L1075" s="104"/>
      <c r="M1075" s="104"/>
      <c r="N1075" s="104"/>
      <c r="O1075" s="104"/>
      <c r="P1075" s="104"/>
      <c r="Q1075" s="104"/>
      <c r="R1075" s="104"/>
      <c r="S1075" s="104"/>
      <c r="T1075" s="104"/>
      <c r="U1075" s="104"/>
      <c r="V1075" s="104"/>
      <c r="W1075" s="104"/>
      <c r="X1075" s="104"/>
      <c r="Y1075" s="104"/>
      <c r="Z1075" s="104"/>
      <c r="AA1075" s="104"/>
      <c r="AB1075" s="104"/>
      <c r="AC1075" s="104"/>
    </row>
    <row r="1076" customFormat="false" ht="15" hidden="false" customHeight="false" outlineLevel="0" collapsed="false">
      <c r="A1076" s="104"/>
      <c r="B1076" s="104"/>
      <c r="C1076" s="147"/>
      <c r="D1076" s="104"/>
      <c r="E1076" s="104"/>
      <c r="F1076" s="104"/>
      <c r="G1076" s="104"/>
      <c r="H1076" s="104"/>
      <c r="I1076" s="104"/>
      <c r="J1076" s="104"/>
      <c r="K1076" s="104"/>
      <c r="L1076" s="104"/>
      <c r="M1076" s="104"/>
      <c r="N1076" s="104"/>
      <c r="O1076" s="104"/>
      <c r="P1076" s="104"/>
      <c r="Q1076" s="104"/>
      <c r="R1076" s="104"/>
      <c r="S1076" s="104"/>
      <c r="T1076" s="104"/>
      <c r="U1076" s="104"/>
      <c r="V1076" s="104"/>
      <c r="W1076" s="104"/>
      <c r="X1076" s="104"/>
      <c r="Y1076" s="104"/>
      <c r="Z1076" s="104"/>
      <c r="AA1076" s="104"/>
      <c r="AB1076" s="104"/>
      <c r="AC1076" s="104"/>
    </row>
    <row r="1077" customFormat="false" ht="15" hidden="false" customHeight="false" outlineLevel="0" collapsed="false">
      <c r="A1077" s="104"/>
      <c r="B1077" s="104"/>
      <c r="C1077" s="147"/>
      <c r="D1077" s="104"/>
      <c r="E1077" s="104"/>
      <c r="F1077" s="104"/>
      <c r="G1077" s="104"/>
      <c r="H1077" s="104"/>
      <c r="I1077" s="104"/>
      <c r="J1077" s="104"/>
      <c r="K1077" s="104"/>
      <c r="L1077" s="104"/>
      <c r="M1077" s="104"/>
      <c r="N1077" s="104"/>
      <c r="O1077" s="104"/>
      <c r="P1077" s="104"/>
      <c r="Q1077" s="104"/>
      <c r="R1077" s="104"/>
      <c r="S1077" s="104"/>
      <c r="T1077" s="104"/>
      <c r="U1077" s="104"/>
      <c r="V1077" s="104"/>
      <c r="W1077" s="104"/>
      <c r="X1077" s="104"/>
      <c r="Y1077" s="104"/>
      <c r="Z1077" s="104"/>
      <c r="AA1077" s="104"/>
      <c r="AB1077" s="104"/>
      <c r="AC1077" s="104"/>
    </row>
    <row r="1078" customFormat="false" ht="15" hidden="false" customHeight="false" outlineLevel="0" collapsed="false">
      <c r="A1078" s="104"/>
      <c r="B1078" s="104"/>
      <c r="C1078" s="147"/>
      <c r="D1078" s="104"/>
      <c r="E1078" s="104"/>
      <c r="F1078" s="104"/>
      <c r="G1078" s="104"/>
      <c r="H1078" s="104"/>
      <c r="I1078" s="104"/>
      <c r="J1078" s="104"/>
      <c r="K1078" s="104"/>
      <c r="L1078" s="104"/>
      <c r="M1078" s="104"/>
      <c r="N1078" s="104"/>
      <c r="O1078" s="104"/>
      <c r="P1078" s="104"/>
      <c r="Q1078" s="104"/>
      <c r="R1078" s="104"/>
      <c r="S1078" s="104"/>
      <c r="T1078" s="104"/>
      <c r="U1078" s="104"/>
      <c r="V1078" s="104"/>
      <c r="W1078" s="104"/>
      <c r="X1078" s="104"/>
      <c r="Y1078" s="104"/>
      <c r="Z1078" s="104"/>
      <c r="AA1078" s="104"/>
      <c r="AB1078" s="104"/>
      <c r="AC1078" s="104"/>
    </row>
    <row r="1079" customFormat="false" ht="15" hidden="false" customHeight="false" outlineLevel="0" collapsed="false">
      <c r="A1079" s="104"/>
      <c r="B1079" s="104"/>
      <c r="C1079" s="147"/>
      <c r="D1079" s="104"/>
      <c r="E1079" s="104"/>
      <c r="F1079" s="104"/>
      <c r="G1079" s="104"/>
      <c r="H1079" s="104"/>
      <c r="I1079" s="104"/>
      <c r="J1079" s="104"/>
      <c r="K1079" s="104"/>
      <c r="L1079" s="104"/>
      <c r="M1079" s="104"/>
      <c r="N1079" s="104"/>
      <c r="O1079" s="104"/>
      <c r="P1079" s="104"/>
      <c r="Q1079" s="104"/>
      <c r="R1079" s="104"/>
      <c r="S1079" s="104"/>
      <c r="T1079" s="104"/>
      <c r="U1079" s="104"/>
      <c r="V1079" s="104"/>
      <c r="W1079" s="104"/>
      <c r="X1079" s="104"/>
      <c r="Y1079" s="104"/>
      <c r="Z1079" s="104"/>
      <c r="AA1079" s="104"/>
      <c r="AB1079" s="104"/>
      <c r="AC1079" s="104"/>
    </row>
    <row r="1080" customFormat="false" ht="15" hidden="false" customHeight="false" outlineLevel="0" collapsed="false">
      <c r="A1080" s="104"/>
      <c r="B1080" s="104"/>
      <c r="C1080" s="147"/>
      <c r="D1080" s="104"/>
      <c r="E1080" s="104"/>
      <c r="F1080" s="104"/>
      <c r="G1080" s="104"/>
      <c r="H1080" s="104"/>
      <c r="I1080" s="104"/>
      <c r="J1080" s="104"/>
      <c r="K1080" s="104"/>
      <c r="L1080" s="104"/>
      <c r="M1080" s="104"/>
      <c r="N1080" s="104"/>
      <c r="O1080" s="104"/>
      <c r="P1080" s="104"/>
      <c r="Q1080" s="104"/>
      <c r="R1080" s="104"/>
      <c r="S1080" s="104"/>
      <c r="T1080" s="104"/>
      <c r="U1080" s="104"/>
      <c r="V1080" s="104"/>
      <c r="W1080" s="104"/>
      <c r="X1080" s="104"/>
      <c r="Y1080" s="104"/>
      <c r="Z1080" s="104"/>
      <c r="AA1080" s="104"/>
      <c r="AB1080" s="104"/>
      <c r="AC1080" s="104"/>
    </row>
    <row r="1081" customFormat="false" ht="15" hidden="false" customHeight="false" outlineLevel="0" collapsed="false">
      <c r="A1081" s="104"/>
      <c r="B1081" s="104"/>
      <c r="C1081" s="147"/>
      <c r="D1081" s="104"/>
      <c r="E1081" s="104"/>
      <c r="F1081" s="104"/>
      <c r="G1081" s="104"/>
      <c r="H1081" s="104"/>
      <c r="I1081" s="104"/>
      <c r="J1081" s="104"/>
      <c r="K1081" s="104"/>
      <c r="L1081" s="104"/>
      <c r="M1081" s="104"/>
      <c r="N1081" s="104"/>
      <c r="O1081" s="104"/>
      <c r="P1081" s="104"/>
      <c r="Q1081" s="104"/>
      <c r="R1081" s="104"/>
      <c r="S1081" s="104"/>
      <c r="T1081" s="104"/>
      <c r="U1081" s="104"/>
      <c r="V1081" s="104"/>
      <c r="W1081" s="104"/>
      <c r="X1081" s="104"/>
      <c r="Y1081" s="104"/>
      <c r="Z1081" s="104"/>
      <c r="AA1081" s="104"/>
      <c r="AB1081" s="104"/>
      <c r="AC1081" s="104"/>
    </row>
    <row r="1082" customFormat="false" ht="15" hidden="false" customHeight="false" outlineLevel="0" collapsed="false">
      <c r="A1082" s="104"/>
      <c r="B1082" s="104"/>
      <c r="C1082" s="147"/>
      <c r="D1082" s="104"/>
      <c r="E1082" s="104"/>
      <c r="F1082" s="104"/>
      <c r="G1082" s="104"/>
      <c r="H1082" s="104"/>
      <c r="I1082" s="104"/>
      <c r="J1082" s="104"/>
      <c r="K1082" s="104"/>
      <c r="L1082" s="104"/>
      <c r="M1082" s="104"/>
      <c r="N1082" s="104"/>
      <c r="O1082" s="104"/>
      <c r="P1082" s="104"/>
      <c r="Q1082" s="104"/>
      <c r="R1082" s="104"/>
      <c r="S1082" s="104"/>
      <c r="T1082" s="104"/>
      <c r="U1082" s="104"/>
      <c r="V1082" s="104"/>
      <c r="W1082" s="104"/>
      <c r="X1082" s="104"/>
      <c r="Y1082" s="104"/>
      <c r="Z1082" s="104"/>
      <c r="AA1082" s="104"/>
      <c r="AB1082" s="104"/>
      <c r="AC1082" s="104"/>
    </row>
    <row r="1083" customFormat="false" ht="15" hidden="false" customHeight="false" outlineLevel="0" collapsed="false">
      <c r="A1083" s="104"/>
      <c r="B1083" s="104"/>
      <c r="C1083" s="147"/>
      <c r="D1083" s="104"/>
      <c r="E1083" s="104"/>
      <c r="F1083" s="104"/>
      <c r="G1083" s="104"/>
      <c r="H1083" s="104"/>
      <c r="I1083" s="104"/>
      <c r="J1083" s="104"/>
      <c r="K1083" s="104"/>
      <c r="L1083" s="104"/>
      <c r="M1083" s="104"/>
      <c r="N1083" s="104"/>
      <c r="O1083" s="104"/>
      <c r="P1083" s="104"/>
      <c r="Q1083" s="104"/>
      <c r="R1083" s="104"/>
      <c r="S1083" s="104"/>
      <c r="T1083" s="104"/>
      <c r="U1083" s="104"/>
      <c r="V1083" s="104"/>
      <c r="W1083" s="104"/>
      <c r="X1083" s="104"/>
      <c r="Y1083" s="104"/>
      <c r="Z1083" s="104"/>
      <c r="AA1083" s="104"/>
      <c r="AB1083" s="104"/>
      <c r="AC1083" s="104"/>
    </row>
    <row r="1084" customFormat="false" ht="15" hidden="false" customHeight="false" outlineLevel="0" collapsed="false">
      <c r="A1084" s="104"/>
      <c r="B1084" s="104"/>
      <c r="C1084" s="147"/>
      <c r="D1084" s="104"/>
      <c r="E1084" s="104"/>
      <c r="F1084" s="104"/>
      <c r="G1084" s="104"/>
      <c r="H1084" s="104"/>
      <c r="I1084" s="104"/>
      <c r="J1084" s="104"/>
      <c r="K1084" s="104"/>
      <c r="L1084" s="104"/>
      <c r="M1084" s="104"/>
      <c r="N1084" s="104"/>
      <c r="O1084" s="104"/>
      <c r="P1084" s="104"/>
      <c r="Q1084" s="104"/>
      <c r="R1084" s="104"/>
      <c r="S1084" s="104"/>
      <c r="T1084" s="104"/>
      <c r="U1084" s="104"/>
      <c r="V1084" s="104"/>
      <c r="W1084" s="104"/>
      <c r="X1084" s="104"/>
      <c r="Y1084" s="104"/>
      <c r="Z1084" s="104"/>
      <c r="AA1084" s="104"/>
      <c r="AB1084" s="104"/>
      <c r="AC1084" s="104"/>
    </row>
    <row r="1085" customFormat="false" ht="15" hidden="false" customHeight="false" outlineLevel="0" collapsed="false">
      <c r="A1085" s="104"/>
      <c r="B1085" s="104"/>
      <c r="C1085" s="147"/>
      <c r="D1085" s="104"/>
      <c r="E1085" s="104"/>
      <c r="F1085" s="104"/>
      <c r="G1085" s="104"/>
      <c r="H1085" s="104"/>
      <c r="I1085" s="104"/>
      <c r="J1085" s="104"/>
      <c r="K1085" s="104"/>
      <c r="L1085" s="104"/>
      <c r="M1085" s="104"/>
      <c r="N1085" s="104"/>
      <c r="O1085" s="104"/>
      <c r="P1085" s="104"/>
      <c r="Q1085" s="104"/>
      <c r="R1085" s="104"/>
      <c r="S1085" s="104"/>
      <c r="T1085" s="104"/>
      <c r="U1085" s="104"/>
      <c r="V1085" s="104"/>
      <c r="W1085" s="104"/>
      <c r="X1085" s="104"/>
      <c r="Y1085" s="104"/>
      <c r="Z1085" s="104"/>
      <c r="AA1085" s="104"/>
      <c r="AB1085" s="104"/>
      <c r="AC1085" s="104"/>
    </row>
    <row r="1086" customFormat="false" ht="15" hidden="false" customHeight="false" outlineLevel="0" collapsed="false">
      <c r="A1086" s="104"/>
      <c r="B1086" s="104"/>
      <c r="C1086" s="147"/>
      <c r="D1086" s="104"/>
      <c r="E1086" s="104"/>
      <c r="F1086" s="104"/>
      <c r="G1086" s="104"/>
      <c r="H1086" s="104"/>
      <c r="I1086" s="104"/>
      <c r="J1086" s="104"/>
      <c r="K1086" s="104"/>
      <c r="L1086" s="104"/>
      <c r="M1086" s="104"/>
      <c r="N1086" s="104"/>
      <c r="O1086" s="104"/>
      <c r="P1086" s="104"/>
      <c r="Q1086" s="104"/>
      <c r="R1086" s="104"/>
      <c r="S1086" s="104"/>
      <c r="T1086" s="104"/>
      <c r="U1086" s="104"/>
      <c r="V1086" s="104"/>
      <c r="W1086" s="104"/>
      <c r="X1086" s="104"/>
      <c r="Y1086" s="104"/>
      <c r="Z1086" s="104"/>
      <c r="AA1086" s="104"/>
      <c r="AB1086" s="104"/>
      <c r="AC1086" s="104"/>
    </row>
    <row r="1087" customFormat="false" ht="15" hidden="false" customHeight="false" outlineLevel="0" collapsed="false">
      <c r="A1087" s="104"/>
      <c r="B1087" s="104"/>
      <c r="C1087" s="147"/>
      <c r="D1087" s="104"/>
      <c r="E1087" s="104"/>
      <c r="F1087" s="104"/>
      <c r="G1087" s="104"/>
      <c r="H1087" s="104"/>
      <c r="I1087" s="104"/>
      <c r="J1087" s="104"/>
      <c r="K1087" s="104"/>
      <c r="L1087" s="104"/>
      <c r="M1087" s="104"/>
      <c r="N1087" s="104"/>
      <c r="O1087" s="104"/>
      <c r="P1087" s="104"/>
      <c r="Q1087" s="104"/>
      <c r="R1087" s="104"/>
      <c r="S1087" s="104"/>
      <c r="T1087" s="104"/>
      <c r="U1087" s="104"/>
      <c r="V1087" s="104"/>
      <c r="W1087" s="104"/>
      <c r="X1087" s="104"/>
      <c r="Y1087" s="104"/>
      <c r="Z1087" s="104"/>
      <c r="AA1087" s="104"/>
      <c r="AB1087" s="104"/>
      <c r="AC1087" s="104"/>
    </row>
    <row r="1088" customFormat="false" ht="15" hidden="false" customHeight="false" outlineLevel="0" collapsed="false">
      <c r="A1088" s="104"/>
      <c r="B1088" s="104"/>
      <c r="C1088" s="147"/>
      <c r="D1088" s="104"/>
      <c r="E1088" s="104"/>
      <c r="F1088" s="104"/>
      <c r="G1088" s="104"/>
      <c r="H1088" s="104"/>
      <c r="I1088" s="104"/>
      <c r="J1088" s="104"/>
      <c r="K1088" s="104"/>
      <c r="L1088" s="104"/>
      <c r="M1088" s="104"/>
      <c r="N1088" s="104"/>
      <c r="O1088" s="104"/>
      <c r="P1088" s="104"/>
      <c r="Q1088" s="104"/>
      <c r="R1088" s="104"/>
      <c r="S1088" s="104"/>
      <c r="T1088" s="104"/>
      <c r="U1088" s="104"/>
      <c r="V1088" s="104"/>
      <c r="W1088" s="104"/>
      <c r="X1088" s="104"/>
      <c r="Y1088" s="104"/>
      <c r="Z1088" s="104"/>
      <c r="AA1088" s="104"/>
      <c r="AB1088" s="104"/>
      <c r="AC1088" s="104"/>
    </row>
    <row r="1089" customFormat="false" ht="15" hidden="false" customHeight="false" outlineLevel="0" collapsed="false">
      <c r="A1089" s="104"/>
      <c r="B1089" s="104"/>
      <c r="C1089" s="147"/>
      <c r="D1089" s="104"/>
      <c r="E1089" s="104"/>
      <c r="F1089" s="104"/>
      <c r="G1089" s="104"/>
      <c r="H1089" s="104"/>
      <c r="I1089" s="104"/>
      <c r="J1089" s="104"/>
      <c r="K1089" s="104"/>
      <c r="L1089" s="104"/>
      <c r="M1089" s="104"/>
      <c r="N1089" s="104"/>
      <c r="O1089" s="104"/>
      <c r="P1089" s="104"/>
      <c r="Q1089" s="104"/>
      <c r="R1089" s="104"/>
      <c r="S1089" s="104"/>
      <c r="T1089" s="104"/>
      <c r="U1089" s="104"/>
      <c r="V1089" s="104"/>
      <c r="W1089" s="104"/>
      <c r="X1089" s="104"/>
      <c r="Y1089" s="104"/>
      <c r="Z1089" s="104"/>
      <c r="AA1089" s="104"/>
      <c r="AB1089" s="104"/>
      <c r="AC1089" s="104"/>
    </row>
    <row r="1090" customFormat="false" ht="15" hidden="false" customHeight="false" outlineLevel="0" collapsed="false">
      <c r="A1090" s="104"/>
      <c r="B1090" s="104"/>
      <c r="C1090" s="147"/>
      <c r="D1090" s="104"/>
      <c r="E1090" s="104"/>
      <c r="F1090" s="104"/>
      <c r="G1090" s="104"/>
      <c r="H1090" s="104"/>
      <c r="I1090" s="104"/>
      <c r="J1090" s="104"/>
      <c r="K1090" s="104"/>
      <c r="L1090" s="104"/>
      <c r="M1090" s="104"/>
      <c r="N1090" s="104"/>
      <c r="O1090" s="104"/>
      <c r="P1090" s="104"/>
      <c r="Q1090" s="104"/>
      <c r="R1090" s="104"/>
      <c r="S1090" s="104"/>
      <c r="T1090" s="104"/>
      <c r="U1090" s="104"/>
      <c r="V1090" s="104"/>
      <c r="W1090" s="104"/>
      <c r="X1090" s="104"/>
      <c r="Y1090" s="104"/>
      <c r="Z1090" s="104"/>
      <c r="AA1090" s="104"/>
      <c r="AB1090" s="104"/>
      <c r="AC1090" s="104"/>
    </row>
    <row r="1091" customFormat="false" ht="15" hidden="false" customHeight="false" outlineLevel="0" collapsed="false">
      <c r="A1091" s="104"/>
      <c r="B1091" s="104"/>
      <c r="C1091" s="147"/>
      <c r="D1091" s="104"/>
      <c r="E1091" s="104"/>
      <c r="F1091" s="104"/>
      <c r="G1091" s="104"/>
      <c r="H1091" s="104"/>
      <c r="I1091" s="104"/>
      <c r="J1091" s="104"/>
      <c r="K1091" s="104"/>
      <c r="L1091" s="104"/>
      <c r="M1091" s="104"/>
      <c r="N1091" s="104"/>
      <c r="O1091" s="104"/>
      <c r="P1091" s="104"/>
      <c r="Q1091" s="104"/>
      <c r="R1091" s="104"/>
      <c r="S1091" s="104"/>
      <c r="T1091" s="104"/>
      <c r="U1091" s="104"/>
      <c r="V1091" s="104"/>
      <c r="W1091" s="104"/>
      <c r="X1091" s="104"/>
      <c r="Y1091" s="104"/>
      <c r="Z1091" s="104"/>
      <c r="AA1091" s="104"/>
      <c r="AB1091" s="104"/>
      <c r="AC1091" s="104"/>
    </row>
    <row r="1092" customFormat="false" ht="15" hidden="false" customHeight="false" outlineLevel="0" collapsed="false">
      <c r="A1092" s="104"/>
      <c r="B1092" s="104"/>
      <c r="C1092" s="147"/>
      <c r="D1092" s="104"/>
      <c r="E1092" s="104"/>
      <c r="F1092" s="104"/>
      <c r="G1092" s="104"/>
      <c r="H1092" s="104"/>
      <c r="I1092" s="104"/>
      <c r="J1092" s="104"/>
      <c r="K1092" s="104"/>
      <c r="L1092" s="104"/>
      <c r="M1092" s="104"/>
      <c r="N1092" s="104"/>
      <c r="O1092" s="104"/>
      <c r="P1092" s="104"/>
      <c r="Q1092" s="104"/>
      <c r="R1092" s="104"/>
      <c r="S1092" s="104"/>
      <c r="T1092" s="104"/>
      <c r="U1092" s="104"/>
      <c r="V1092" s="104"/>
      <c r="W1092" s="104"/>
      <c r="X1092" s="104"/>
      <c r="Y1092" s="104"/>
      <c r="Z1092" s="104"/>
      <c r="AA1092" s="104"/>
      <c r="AB1092" s="104"/>
      <c r="AC1092" s="104"/>
    </row>
    <row r="1093" customFormat="false" ht="15" hidden="false" customHeight="false" outlineLevel="0" collapsed="false">
      <c r="A1093" s="104"/>
      <c r="B1093" s="104"/>
      <c r="C1093" s="147"/>
      <c r="D1093" s="104"/>
      <c r="E1093" s="104"/>
      <c r="F1093" s="104"/>
      <c r="G1093" s="104"/>
      <c r="H1093" s="104"/>
      <c r="I1093" s="104"/>
      <c r="J1093" s="104"/>
      <c r="K1093" s="104"/>
      <c r="L1093" s="104"/>
      <c r="M1093" s="104"/>
      <c r="N1093" s="104"/>
      <c r="O1093" s="104"/>
      <c r="P1093" s="104"/>
      <c r="Q1093" s="104"/>
      <c r="R1093" s="104"/>
      <c r="S1093" s="104"/>
      <c r="T1093" s="104"/>
      <c r="U1093" s="104"/>
      <c r="V1093" s="104"/>
      <c r="W1093" s="104"/>
      <c r="X1093" s="104"/>
      <c r="Y1093" s="104"/>
      <c r="Z1093" s="104"/>
      <c r="AA1093" s="104"/>
      <c r="AB1093" s="104"/>
      <c r="AC1093" s="104"/>
    </row>
    <row r="1094" customFormat="false" ht="15" hidden="false" customHeight="false" outlineLevel="0" collapsed="false">
      <c r="A1094" s="104"/>
      <c r="B1094" s="104"/>
      <c r="C1094" s="147"/>
      <c r="D1094" s="104"/>
      <c r="E1094" s="104"/>
      <c r="F1094" s="104"/>
      <c r="G1094" s="104"/>
      <c r="H1094" s="104"/>
      <c r="I1094" s="104"/>
      <c r="J1094" s="104"/>
      <c r="K1094" s="104"/>
      <c r="L1094" s="104"/>
      <c r="M1094" s="104"/>
      <c r="N1094" s="104"/>
      <c r="O1094" s="104"/>
      <c r="P1094" s="104"/>
      <c r="Q1094" s="104"/>
      <c r="R1094" s="104"/>
      <c r="S1094" s="104"/>
      <c r="T1094" s="104"/>
      <c r="U1094" s="104"/>
      <c r="V1094" s="104"/>
      <c r="W1094" s="104"/>
      <c r="X1094" s="104"/>
      <c r="Y1094" s="104"/>
      <c r="Z1094" s="104"/>
      <c r="AA1094" s="104"/>
      <c r="AB1094" s="104"/>
      <c r="AC1094" s="104"/>
    </row>
    <row r="1095" customFormat="false" ht="15" hidden="false" customHeight="false" outlineLevel="0" collapsed="false">
      <c r="A1095" s="104"/>
      <c r="B1095" s="104"/>
      <c r="C1095" s="147"/>
      <c r="D1095" s="104"/>
      <c r="E1095" s="104"/>
      <c r="F1095" s="104"/>
      <c r="G1095" s="104"/>
      <c r="H1095" s="104"/>
      <c r="I1095" s="104"/>
      <c r="J1095" s="104"/>
      <c r="K1095" s="104"/>
      <c r="L1095" s="104"/>
      <c r="M1095" s="104"/>
      <c r="N1095" s="104"/>
      <c r="O1095" s="104"/>
      <c r="P1095" s="104"/>
      <c r="Q1095" s="104"/>
      <c r="R1095" s="104"/>
      <c r="S1095" s="104"/>
      <c r="T1095" s="104"/>
      <c r="U1095" s="104"/>
      <c r="V1095" s="104"/>
      <c r="W1095" s="104"/>
      <c r="X1095" s="104"/>
      <c r="Y1095" s="104"/>
      <c r="Z1095" s="104"/>
      <c r="AA1095" s="104"/>
      <c r="AB1095" s="104"/>
      <c r="AC1095" s="104"/>
    </row>
    <row r="1096" customFormat="false" ht="15" hidden="false" customHeight="false" outlineLevel="0" collapsed="false">
      <c r="A1096" s="104"/>
      <c r="B1096" s="104"/>
      <c r="C1096" s="147"/>
      <c r="D1096" s="104"/>
      <c r="E1096" s="104"/>
      <c r="F1096" s="104"/>
      <c r="G1096" s="104"/>
      <c r="H1096" s="104"/>
      <c r="I1096" s="104"/>
      <c r="J1096" s="104"/>
      <c r="K1096" s="104"/>
      <c r="L1096" s="104"/>
      <c r="M1096" s="104"/>
      <c r="N1096" s="104"/>
      <c r="O1096" s="104"/>
      <c r="P1096" s="104"/>
      <c r="Q1096" s="104"/>
      <c r="R1096" s="104"/>
      <c r="S1096" s="104"/>
      <c r="T1096" s="104"/>
      <c r="U1096" s="104"/>
      <c r="V1096" s="104"/>
      <c r="W1096" s="104"/>
      <c r="X1096" s="104"/>
      <c r="Y1096" s="104"/>
      <c r="Z1096" s="104"/>
      <c r="AA1096" s="104"/>
      <c r="AB1096" s="104"/>
      <c r="AC1096" s="104"/>
    </row>
    <row r="1097" customFormat="false" ht="15" hidden="false" customHeight="false" outlineLevel="0" collapsed="false">
      <c r="A1097" s="104"/>
      <c r="B1097" s="104"/>
      <c r="C1097" s="147"/>
      <c r="D1097" s="104"/>
      <c r="E1097" s="104"/>
      <c r="F1097" s="104"/>
      <c r="G1097" s="104"/>
      <c r="H1097" s="104"/>
      <c r="I1097" s="104"/>
      <c r="J1097" s="104"/>
      <c r="K1097" s="104"/>
      <c r="L1097" s="104"/>
      <c r="M1097" s="104"/>
      <c r="N1097" s="104"/>
      <c r="O1097" s="104"/>
      <c r="P1097" s="104"/>
      <c r="Q1097" s="104"/>
      <c r="R1097" s="104"/>
      <c r="S1097" s="104"/>
      <c r="T1097" s="104"/>
      <c r="U1097" s="104"/>
      <c r="V1097" s="104"/>
      <c r="W1097" s="104"/>
      <c r="X1097" s="104"/>
      <c r="Y1097" s="104"/>
      <c r="Z1097" s="104"/>
      <c r="AA1097" s="104"/>
      <c r="AB1097" s="104"/>
      <c r="AC1097" s="104"/>
    </row>
    <row r="1098" customFormat="false" ht="15" hidden="false" customHeight="false" outlineLevel="0" collapsed="false">
      <c r="A1098" s="104"/>
      <c r="B1098" s="104"/>
      <c r="C1098" s="147"/>
      <c r="D1098" s="104"/>
      <c r="E1098" s="104"/>
      <c r="F1098" s="104"/>
      <c r="G1098" s="104"/>
      <c r="H1098" s="104"/>
      <c r="I1098" s="104"/>
      <c r="J1098" s="104"/>
      <c r="K1098" s="104"/>
      <c r="L1098" s="104"/>
      <c r="M1098" s="104"/>
      <c r="N1098" s="104"/>
      <c r="O1098" s="104"/>
      <c r="P1098" s="104"/>
      <c r="Q1098" s="104"/>
      <c r="R1098" s="104"/>
      <c r="S1098" s="104"/>
      <c r="T1098" s="104"/>
      <c r="U1098" s="104"/>
      <c r="V1098" s="104"/>
      <c r="W1098" s="104"/>
      <c r="X1098" s="104"/>
      <c r="Y1098" s="104"/>
      <c r="Z1098" s="104"/>
      <c r="AA1098" s="104"/>
      <c r="AB1098" s="104"/>
      <c r="AC1098" s="104"/>
    </row>
    <row r="1099" customFormat="false" ht="15" hidden="false" customHeight="false" outlineLevel="0" collapsed="false">
      <c r="A1099" s="104"/>
      <c r="B1099" s="104"/>
      <c r="C1099" s="147"/>
      <c r="D1099" s="104"/>
      <c r="E1099" s="104"/>
      <c r="F1099" s="104"/>
      <c r="G1099" s="104"/>
      <c r="H1099" s="104"/>
      <c r="I1099" s="104"/>
      <c r="J1099" s="104"/>
      <c r="K1099" s="104"/>
      <c r="L1099" s="104"/>
      <c r="M1099" s="104"/>
      <c r="N1099" s="104"/>
      <c r="O1099" s="104"/>
      <c r="P1099" s="104"/>
      <c r="Q1099" s="104"/>
      <c r="R1099" s="104"/>
      <c r="S1099" s="104"/>
      <c r="T1099" s="104"/>
      <c r="U1099" s="104"/>
      <c r="V1099" s="104"/>
      <c r="W1099" s="104"/>
      <c r="X1099" s="104"/>
      <c r="Y1099" s="104"/>
      <c r="Z1099" s="104"/>
      <c r="AA1099" s="104"/>
      <c r="AB1099" s="104"/>
      <c r="AC1099" s="104"/>
    </row>
    <row r="1100" customFormat="false" ht="15" hidden="false" customHeight="false" outlineLevel="0" collapsed="false">
      <c r="A1100" s="104"/>
      <c r="B1100" s="104"/>
      <c r="C1100" s="147"/>
      <c r="D1100" s="104"/>
      <c r="E1100" s="104"/>
      <c r="F1100" s="104"/>
      <c r="G1100" s="104"/>
      <c r="H1100" s="104"/>
      <c r="I1100" s="104"/>
      <c r="J1100" s="104"/>
      <c r="K1100" s="104"/>
      <c r="L1100" s="104"/>
      <c r="M1100" s="104"/>
      <c r="N1100" s="104"/>
      <c r="O1100" s="104"/>
      <c r="P1100" s="104"/>
      <c r="Q1100" s="104"/>
      <c r="R1100" s="104"/>
      <c r="S1100" s="104"/>
      <c r="T1100" s="104"/>
      <c r="U1100" s="104"/>
      <c r="V1100" s="104"/>
      <c r="W1100" s="104"/>
      <c r="X1100" s="104"/>
      <c r="Y1100" s="104"/>
      <c r="Z1100" s="104"/>
      <c r="AA1100" s="104"/>
      <c r="AB1100" s="104"/>
      <c r="AC1100" s="104"/>
    </row>
    <row r="1101" customFormat="false" ht="15" hidden="false" customHeight="false" outlineLevel="0" collapsed="false">
      <c r="A1101" s="104"/>
      <c r="B1101" s="104"/>
      <c r="C1101" s="147"/>
      <c r="D1101" s="104"/>
      <c r="E1101" s="104"/>
      <c r="F1101" s="104"/>
      <c r="G1101" s="104"/>
      <c r="H1101" s="104"/>
      <c r="I1101" s="104"/>
      <c r="J1101" s="104"/>
      <c r="K1101" s="104"/>
      <c r="L1101" s="104"/>
      <c r="M1101" s="104"/>
      <c r="N1101" s="104"/>
      <c r="O1101" s="104"/>
      <c r="P1101" s="104"/>
      <c r="Q1101" s="104"/>
      <c r="R1101" s="104"/>
      <c r="S1101" s="104"/>
      <c r="T1101" s="104"/>
      <c r="U1101" s="104"/>
      <c r="V1101" s="104"/>
      <c r="W1101" s="104"/>
      <c r="X1101" s="104"/>
      <c r="Y1101" s="104"/>
      <c r="Z1101" s="104"/>
      <c r="AA1101" s="104"/>
      <c r="AB1101" s="104"/>
      <c r="AC1101" s="104"/>
    </row>
    <row r="1102" customFormat="false" ht="15" hidden="false" customHeight="false" outlineLevel="0" collapsed="false">
      <c r="A1102" s="104"/>
      <c r="B1102" s="104"/>
      <c r="C1102" s="147"/>
      <c r="D1102" s="104"/>
      <c r="E1102" s="104"/>
      <c r="F1102" s="104"/>
      <c r="G1102" s="104"/>
      <c r="H1102" s="104"/>
      <c r="I1102" s="104"/>
      <c r="J1102" s="104"/>
      <c r="K1102" s="104"/>
      <c r="L1102" s="104"/>
      <c r="M1102" s="104"/>
      <c r="N1102" s="104"/>
      <c r="O1102" s="104"/>
      <c r="P1102" s="104"/>
      <c r="Q1102" s="104"/>
      <c r="R1102" s="104"/>
      <c r="S1102" s="104"/>
      <c r="T1102" s="104"/>
      <c r="U1102" s="104"/>
      <c r="V1102" s="104"/>
      <c r="W1102" s="104"/>
      <c r="X1102" s="104"/>
      <c r="Y1102" s="104"/>
      <c r="Z1102" s="104"/>
      <c r="AA1102" s="104"/>
      <c r="AB1102" s="104"/>
      <c r="AC1102" s="104"/>
    </row>
    <row r="1103" customFormat="false" ht="15" hidden="false" customHeight="false" outlineLevel="0" collapsed="false">
      <c r="A1103" s="104"/>
      <c r="B1103" s="104"/>
      <c r="C1103" s="147"/>
      <c r="D1103" s="104"/>
      <c r="E1103" s="104"/>
      <c r="F1103" s="104"/>
      <c r="G1103" s="104"/>
      <c r="H1103" s="104"/>
      <c r="I1103" s="104"/>
      <c r="J1103" s="104"/>
      <c r="K1103" s="104"/>
      <c r="L1103" s="104"/>
      <c r="M1103" s="104"/>
      <c r="N1103" s="104"/>
      <c r="O1103" s="104"/>
      <c r="P1103" s="104"/>
      <c r="Q1103" s="104"/>
      <c r="R1103" s="104"/>
      <c r="S1103" s="104"/>
      <c r="T1103" s="104"/>
      <c r="U1103" s="104"/>
      <c r="V1103" s="104"/>
      <c r="W1103" s="104"/>
      <c r="X1103" s="104"/>
      <c r="Y1103" s="104"/>
      <c r="Z1103" s="104"/>
      <c r="AA1103" s="104"/>
      <c r="AB1103" s="104"/>
      <c r="AC1103" s="104"/>
    </row>
    <row r="1104" customFormat="false" ht="15" hidden="false" customHeight="false" outlineLevel="0" collapsed="false">
      <c r="A1104" s="104"/>
      <c r="B1104" s="104"/>
      <c r="C1104" s="147"/>
      <c r="D1104" s="104"/>
      <c r="E1104" s="104"/>
      <c r="F1104" s="104"/>
      <c r="G1104" s="104"/>
      <c r="H1104" s="104"/>
      <c r="I1104" s="104"/>
      <c r="J1104" s="104"/>
      <c r="K1104" s="104"/>
      <c r="L1104" s="104"/>
      <c r="M1104" s="104"/>
      <c r="N1104" s="104"/>
      <c r="O1104" s="104"/>
      <c r="P1104" s="104"/>
      <c r="Q1104" s="104"/>
      <c r="R1104" s="104"/>
      <c r="S1104" s="104"/>
      <c r="T1104" s="104"/>
      <c r="U1104" s="104"/>
      <c r="V1104" s="104"/>
      <c r="W1104" s="104"/>
      <c r="X1104" s="104"/>
      <c r="Y1104" s="104"/>
      <c r="Z1104" s="104"/>
      <c r="AA1104" s="104"/>
      <c r="AB1104" s="104"/>
      <c r="AC1104" s="104"/>
    </row>
    <row r="1105" customFormat="false" ht="15" hidden="false" customHeight="false" outlineLevel="0" collapsed="false">
      <c r="A1105" s="104"/>
      <c r="B1105" s="104"/>
      <c r="C1105" s="147"/>
      <c r="D1105" s="104"/>
      <c r="E1105" s="104"/>
      <c r="F1105" s="104"/>
      <c r="G1105" s="104"/>
      <c r="H1105" s="104"/>
      <c r="I1105" s="104"/>
      <c r="J1105" s="104"/>
      <c r="K1105" s="104"/>
      <c r="L1105" s="104"/>
      <c r="M1105" s="104"/>
      <c r="N1105" s="104"/>
      <c r="O1105" s="104"/>
      <c r="P1105" s="104"/>
      <c r="Q1105" s="104"/>
      <c r="R1105" s="104"/>
      <c r="S1105" s="104"/>
      <c r="T1105" s="104"/>
      <c r="U1105" s="104"/>
      <c r="V1105" s="104"/>
      <c r="W1105" s="104"/>
      <c r="X1105" s="104"/>
      <c r="Y1105" s="104"/>
      <c r="Z1105" s="104"/>
      <c r="AA1105" s="104"/>
      <c r="AB1105" s="104"/>
      <c r="AC1105" s="104"/>
    </row>
    <row r="1106" customFormat="false" ht="15" hidden="false" customHeight="false" outlineLevel="0" collapsed="false">
      <c r="A1106" s="104"/>
      <c r="B1106" s="104"/>
      <c r="C1106" s="147"/>
      <c r="D1106" s="104"/>
      <c r="E1106" s="104"/>
      <c r="F1106" s="104"/>
      <c r="G1106" s="104"/>
      <c r="H1106" s="104"/>
      <c r="I1106" s="104"/>
      <c r="J1106" s="104"/>
      <c r="K1106" s="104"/>
      <c r="L1106" s="104"/>
      <c r="M1106" s="104"/>
      <c r="N1106" s="104"/>
      <c r="O1106" s="104"/>
      <c r="P1106" s="104"/>
      <c r="Q1106" s="104"/>
      <c r="R1106" s="104"/>
      <c r="S1106" s="104"/>
      <c r="T1106" s="104"/>
      <c r="U1106" s="104"/>
      <c r="V1106" s="104"/>
      <c r="W1106" s="104"/>
      <c r="X1106" s="104"/>
      <c r="Y1106" s="104"/>
      <c r="Z1106" s="104"/>
      <c r="AA1106" s="104"/>
      <c r="AB1106" s="104"/>
      <c r="AC1106" s="104"/>
    </row>
    <row r="1107" customFormat="false" ht="15" hidden="false" customHeight="false" outlineLevel="0" collapsed="false">
      <c r="A1107" s="104"/>
      <c r="B1107" s="104"/>
      <c r="C1107" s="147"/>
      <c r="D1107" s="104"/>
      <c r="E1107" s="104"/>
      <c r="F1107" s="104"/>
      <c r="G1107" s="104"/>
      <c r="H1107" s="104"/>
      <c r="I1107" s="104"/>
      <c r="J1107" s="104"/>
      <c r="K1107" s="104"/>
      <c r="L1107" s="104"/>
      <c r="M1107" s="104"/>
      <c r="N1107" s="104"/>
      <c r="O1107" s="104"/>
      <c r="P1107" s="104"/>
      <c r="Q1107" s="104"/>
      <c r="R1107" s="104"/>
      <c r="S1107" s="104"/>
      <c r="T1107" s="104"/>
      <c r="U1107" s="104"/>
      <c r="V1107" s="104"/>
      <c r="W1107" s="104"/>
      <c r="X1107" s="104"/>
      <c r="Y1107" s="104"/>
      <c r="Z1107" s="104"/>
      <c r="AA1107" s="104"/>
      <c r="AB1107" s="104"/>
      <c r="AC1107" s="104"/>
    </row>
    <row r="1108" customFormat="false" ht="15" hidden="false" customHeight="false" outlineLevel="0" collapsed="false">
      <c r="A1108" s="104"/>
      <c r="B1108" s="104"/>
      <c r="C1108" s="147"/>
      <c r="D1108" s="104"/>
      <c r="E1108" s="104"/>
      <c r="F1108" s="104"/>
      <c r="G1108" s="104"/>
      <c r="H1108" s="104"/>
      <c r="I1108" s="104"/>
      <c r="J1108" s="104"/>
      <c r="K1108" s="104"/>
      <c r="L1108" s="104"/>
      <c r="M1108" s="104"/>
      <c r="N1108" s="104"/>
      <c r="O1108" s="104"/>
      <c r="P1108" s="104"/>
      <c r="Q1108" s="104"/>
      <c r="R1108" s="104"/>
      <c r="S1108" s="104"/>
      <c r="T1108" s="104"/>
      <c r="U1108" s="104"/>
      <c r="V1108" s="104"/>
      <c r="W1108" s="104"/>
      <c r="X1108" s="104"/>
      <c r="Y1108" s="104"/>
      <c r="Z1108" s="104"/>
      <c r="AA1108" s="104"/>
      <c r="AB1108" s="104"/>
      <c r="AC1108" s="104"/>
    </row>
    <row r="1109" customFormat="false" ht="15" hidden="false" customHeight="false" outlineLevel="0" collapsed="false">
      <c r="A1109" s="104"/>
      <c r="B1109" s="104"/>
      <c r="C1109" s="147"/>
      <c r="D1109" s="104"/>
      <c r="E1109" s="104"/>
      <c r="F1109" s="104"/>
      <c r="G1109" s="104"/>
      <c r="H1109" s="104"/>
      <c r="I1109" s="104"/>
      <c r="J1109" s="104"/>
      <c r="K1109" s="104"/>
      <c r="L1109" s="104"/>
      <c r="M1109" s="104"/>
      <c r="N1109" s="104"/>
      <c r="O1109" s="104"/>
      <c r="P1109" s="104"/>
      <c r="Q1109" s="104"/>
      <c r="R1109" s="104"/>
      <c r="S1109" s="104"/>
      <c r="T1109" s="104"/>
      <c r="U1109" s="104"/>
      <c r="V1109" s="104"/>
      <c r="W1109" s="104"/>
      <c r="X1109" s="104"/>
      <c r="Y1109" s="104"/>
      <c r="Z1109" s="104"/>
      <c r="AA1109" s="104"/>
      <c r="AB1109" s="104"/>
      <c r="AC1109" s="104"/>
    </row>
    <row r="1110" customFormat="false" ht="15" hidden="false" customHeight="false" outlineLevel="0" collapsed="false">
      <c r="A1110" s="104"/>
      <c r="B1110" s="104"/>
      <c r="C1110" s="147"/>
      <c r="D1110" s="104"/>
      <c r="E1110" s="104"/>
      <c r="F1110" s="104"/>
      <c r="G1110" s="104"/>
      <c r="H1110" s="104"/>
      <c r="I1110" s="104"/>
      <c r="J1110" s="104"/>
      <c r="K1110" s="104"/>
      <c r="L1110" s="104"/>
      <c r="M1110" s="104"/>
      <c r="N1110" s="104"/>
      <c r="O1110" s="104"/>
      <c r="P1110" s="104"/>
      <c r="Q1110" s="104"/>
      <c r="R1110" s="104"/>
      <c r="S1110" s="104"/>
      <c r="T1110" s="104"/>
      <c r="U1110" s="104"/>
      <c r="V1110" s="104"/>
      <c r="W1110" s="104"/>
      <c r="X1110" s="104"/>
      <c r="Y1110" s="104"/>
      <c r="Z1110" s="104"/>
      <c r="AA1110" s="104"/>
      <c r="AB1110" s="104"/>
      <c r="AC1110" s="104"/>
    </row>
    <row r="1111" customFormat="false" ht="15" hidden="false" customHeight="false" outlineLevel="0" collapsed="false">
      <c r="A1111" s="104"/>
      <c r="B1111" s="104"/>
      <c r="C1111" s="147"/>
      <c r="D1111" s="104"/>
      <c r="E1111" s="104"/>
      <c r="F1111" s="104"/>
      <c r="G1111" s="104"/>
      <c r="H1111" s="104"/>
      <c r="I1111" s="104"/>
      <c r="J1111" s="104"/>
      <c r="K1111" s="104"/>
      <c r="L1111" s="104"/>
      <c r="M1111" s="104"/>
      <c r="N1111" s="104"/>
      <c r="O1111" s="104"/>
      <c r="P1111" s="104"/>
      <c r="Q1111" s="104"/>
      <c r="R1111" s="104"/>
      <c r="S1111" s="104"/>
      <c r="T1111" s="104"/>
      <c r="U1111" s="104"/>
      <c r="V1111" s="104"/>
      <c r="W1111" s="104"/>
      <c r="X1111" s="104"/>
      <c r="Y1111" s="104"/>
      <c r="Z1111" s="104"/>
      <c r="AA1111" s="104"/>
      <c r="AB1111" s="104"/>
      <c r="AC1111" s="104"/>
    </row>
    <row r="1112" customFormat="false" ht="15" hidden="false" customHeight="false" outlineLevel="0" collapsed="false">
      <c r="A1112" s="104"/>
      <c r="B1112" s="104"/>
      <c r="C1112" s="147"/>
      <c r="D1112" s="104"/>
      <c r="E1112" s="104"/>
      <c r="F1112" s="104"/>
      <c r="G1112" s="104"/>
      <c r="H1112" s="104"/>
      <c r="I1112" s="104"/>
      <c r="J1112" s="104"/>
      <c r="K1112" s="104"/>
      <c r="L1112" s="104"/>
      <c r="M1112" s="104"/>
      <c r="N1112" s="104"/>
      <c r="O1112" s="104"/>
      <c r="P1112" s="104"/>
      <c r="Q1112" s="104"/>
      <c r="R1112" s="104"/>
      <c r="S1112" s="104"/>
      <c r="T1112" s="104"/>
      <c r="U1112" s="104"/>
      <c r="V1112" s="104"/>
      <c r="W1112" s="104"/>
      <c r="X1112" s="104"/>
      <c r="Y1112" s="104"/>
      <c r="Z1112" s="104"/>
      <c r="AA1112" s="104"/>
      <c r="AB1112" s="104"/>
      <c r="AC1112" s="104"/>
    </row>
    <row r="1113" customFormat="false" ht="15" hidden="false" customHeight="false" outlineLevel="0" collapsed="false">
      <c r="A1113" s="104"/>
      <c r="B1113" s="104"/>
      <c r="C1113" s="147"/>
      <c r="D1113" s="104"/>
      <c r="E1113" s="104"/>
      <c r="F1113" s="104"/>
      <c r="G1113" s="104"/>
      <c r="H1113" s="104"/>
      <c r="I1113" s="104"/>
      <c r="J1113" s="104"/>
      <c r="K1113" s="104"/>
      <c r="L1113" s="104"/>
      <c r="M1113" s="104"/>
      <c r="N1113" s="104"/>
      <c r="O1113" s="104"/>
      <c r="P1113" s="104"/>
      <c r="Q1113" s="104"/>
      <c r="R1113" s="104"/>
      <c r="S1113" s="104"/>
      <c r="T1113" s="104"/>
      <c r="U1113" s="104"/>
      <c r="V1113" s="104"/>
      <c r="W1113" s="104"/>
      <c r="X1113" s="104"/>
      <c r="Y1113" s="104"/>
      <c r="Z1113" s="104"/>
      <c r="AA1113" s="104"/>
      <c r="AB1113" s="104"/>
      <c r="AC1113" s="104"/>
    </row>
    <row r="1114" customFormat="false" ht="15" hidden="false" customHeight="false" outlineLevel="0" collapsed="false">
      <c r="A1114" s="104"/>
      <c r="B1114" s="104"/>
      <c r="C1114" s="147"/>
      <c r="D1114" s="104"/>
      <c r="E1114" s="104"/>
      <c r="F1114" s="104"/>
      <c r="G1114" s="104"/>
      <c r="H1114" s="104"/>
      <c r="I1114" s="104"/>
      <c r="J1114" s="104"/>
      <c r="K1114" s="104"/>
      <c r="L1114" s="104"/>
      <c r="M1114" s="104"/>
      <c r="N1114" s="104"/>
      <c r="O1114" s="104"/>
      <c r="P1114" s="104"/>
      <c r="Q1114" s="104"/>
      <c r="R1114" s="104"/>
      <c r="S1114" s="104"/>
      <c r="T1114" s="104"/>
      <c r="U1114" s="104"/>
      <c r="V1114" s="104"/>
      <c r="W1114" s="104"/>
      <c r="X1114" s="104"/>
      <c r="Y1114" s="104"/>
      <c r="Z1114" s="104"/>
      <c r="AA1114" s="104"/>
      <c r="AB1114" s="104"/>
      <c r="AC1114" s="104"/>
    </row>
    <row r="1115" customFormat="false" ht="15" hidden="false" customHeight="false" outlineLevel="0" collapsed="false">
      <c r="A1115" s="104"/>
      <c r="B1115" s="104"/>
      <c r="C1115" s="147"/>
      <c r="D1115" s="104"/>
      <c r="E1115" s="104"/>
      <c r="F1115" s="104"/>
      <c r="G1115" s="104"/>
      <c r="H1115" s="104"/>
      <c r="I1115" s="104"/>
      <c r="J1115" s="104"/>
      <c r="K1115" s="104"/>
      <c r="L1115" s="104"/>
      <c r="M1115" s="104"/>
      <c r="N1115" s="104"/>
      <c r="O1115" s="104"/>
      <c r="P1115" s="104"/>
      <c r="Q1115" s="104"/>
      <c r="R1115" s="104"/>
      <c r="S1115" s="104"/>
      <c r="T1115" s="104"/>
      <c r="U1115" s="104"/>
      <c r="V1115" s="104"/>
      <c r="W1115" s="104"/>
      <c r="X1115" s="104"/>
      <c r="Y1115" s="104"/>
      <c r="Z1115" s="104"/>
      <c r="AA1115" s="104"/>
      <c r="AB1115" s="104"/>
      <c r="AC1115" s="104"/>
    </row>
    <row r="1116" customFormat="false" ht="15" hidden="false" customHeight="false" outlineLevel="0" collapsed="false">
      <c r="A1116" s="104"/>
      <c r="B1116" s="104"/>
      <c r="C1116" s="147"/>
      <c r="D1116" s="104"/>
      <c r="E1116" s="104"/>
      <c r="F1116" s="104"/>
      <c r="G1116" s="104"/>
      <c r="H1116" s="104"/>
      <c r="I1116" s="104"/>
      <c r="J1116" s="104"/>
      <c r="K1116" s="104"/>
      <c r="L1116" s="104"/>
      <c r="M1116" s="104"/>
      <c r="N1116" s="104"/>
      <c r="O1116" s="104"/>
      <c r="P1116" s="104"/>
      <c r="Q1116" s="104"/>
      <c r="R1116" s="104"/>
      <c r="S1116" s="104"/>
      <c r="T1116" s="104"/>
      <c r="U1116" s="104"/>
      <c r="V1116" s="104"/>
      <c r="W1116" s="104"/>
      <c r="X1116" s="104"/>
      <c r="Y1116" s="104"/>
      <c r="Z1116" s="104"/>
      <c r="AA1116" s="104"/>
      <c r="AB1116" s="104"/>
      <c r="AC1116" s="104"/>
    </row>
    <row r="1117" customFormat="false" ht="15" hidden="false" customHeight="false" outlineLevel="0" collapsed="false">
      <c r="A1117" s="104"/>
      <c r="B1117" s="104"/>
      <c r="C1117" s="147"/>
      <c r="D1117" s="104"/>
      <c r="E1117" s="104"/>
      <c r="F1117" s="104"/>
      <c r="G1117" s="104"/>
      <c r="H1117" s="104"/>
      <c r="I1117" s="104"/>
      <c r="J1117" s="104"/>
      <c r="K1117" s="104"/>
      <c r="L1117" s="104"/>
      <c r="M1117" s="104"/>
      <c r="N1117" s="104"/>
      <c r="O1117" s="104"/>
      <c r="P1117" s="104"/>
      <c r="Q1117" s="104"/>
      <c r="R1117" s="104"/>
      <c r="S1117" s="104"/>
      <c r="T1117" s="104"/>
      <c r="U1117" s="104"/>
      <c r="V1117" s="104"/>
      <c r="W1117" s="104"/>
      <c r="X1117" s="104"/>
      <c r="Y1117" s="104"/>
      <c r="Z1117" s="104"/>
      <c r="AA1117" s="104"/>
      <c r="AB1117" s="104"/>
      <c r="AC1117" s="104"/>
    </row>
    <row r="1118" customFormat="false" ht="15" hidden="false" customHeight="false" outlineLevel="0" collapsed="false">
      <c r="A1118" s="104"/>
      <c r="B1118" s="104"/>
      <c r="C1118" s="147"/>
      <c r="D1118" s="104"/>
      <c r="E1118" s="104"/>
      <c r="F1118" s="104"/>
      <c r="G1118" s="104"/>
      <c r="H1118" s="104"/>
      <c r="I1118" s="104"/>
      <c r="J1118" s="104"/>
      <c r="K1118" s="104"/>
      <c r="L1118" s="104"/>
      <c r="M1118" s="104"/>
      <c r="N1118" s="104"/>
      <c r="O1118" s="104"/>
      <c r="P1118" s="104"/>
      <c r="Q1118" s="104"/>
      <c r="R1118" s="104"/>
      <c r="S1118" s="104"/>
      <c r="T1118" s="104"/>
      <c r="U1118" s="104"/>
      <c r="V1118" s="104"/>
      <c r="W1118" s="104"/>
      <c r="X1118" s="104"/>
      <c r="Y1118" s="104"/>
      <c r="Z1118" s="104"/>
      <c r="AA1118" s="104"/>
      <c r="AB1118" s="104"/>
      <c r="AC1118" s="104"/>
    </row>
    <row r="1119" customFormat="false" ht="15" hidden="false" customHeight="false" outlineLevel="0" collapsed="false">
      <c r="A1119" s="104"/>
      <c r="B1119" s="104"/>
      <c r="C1119" s="147"/>
      <c r="D1119" s="104"/>
      <c r="E1119" s="104"/>
      <c r="F1119" s="104"/>
      <c r="G1119" s="104"/>
      <c r="H1119" s="104"/>
      <c r="I1119" s="104"/>
      <c r="J1119" s="104"/>
      <c r="K1119" s="104"/>
      <c r="L1119" s="104"/>
      <c r="M1119" s="104"/>
      <c r="N1119" s="104"/>
      <c r="O1119" s="104"/>
      <c r="P1119" s="104"/>
      <c r="Q1119" s="104"/>
      <c r="R1119" s="104"/>
      <c r="S1119" s="104"/>
      <c r="T1119" s="104"/>
      <c r="U1119" s="104"/>
      <c r="V1119" s="104"/>
      <c r="W1119" s="104"/>
      <c r="X1119" s="104"/>
      <c r="Y1119" s="104"/>
      <c r="Z1119" s="104"/>
      <c r="AA1119" s="104"/>
      <c r="AB1119" s="104"/>
      <c r="AC1119" s="104"/>
    </row>
    <row r="1120" customFormat="false" ht="15" hidden="false" customHeight="false" outlineLevel="0" collapsed="false">
      <c r="A1120" s="104"/>
      <c r="B1120" s="104"/>
      <c r="C1120" s="147"/>
      <c r="D1120" s="104"/>
      <c r="E1120" s="104"/>
      <c r="F1120" s="104"/>
      <c r="G1120" s="104"/>
      <c r="H1120" s="104"/>
      <c r="I1120" s="104"/>
      <c r="J1120" s="104"/>
      <c r="K1120" s="104"/>
      <c r="L1120" s="104"/>
      <c r="M1120" s="104"/>
      <c r="N1120" s="104"/>
      <c r="O1120" s="104"/>
      <c r="P1120" s="104"/>
      <c r="Q1120" s="104"/>
      <c r="R1120" s="104"/>
      <c r="S1120" s="104"/>
      <c r="T1120" s="104"/>
      <c r="U1120" s="104"/>
      <c r="V1120" s="104"/>
      <c r="W1120" s="104"/>
      <c r="X1120" s="104"/>
      <c r="Y1120" s="104"/>
      <c r="Z1120" s="104"/>
      <c r="AA1120" s="104"/>
      <c r="AB1120" s="104"/>
      <c r="AC1120" s="104"/>
    </row>
    <row r="1121" customFormat="false" ht="15" hidden="false" customHeight="false" outlineLevel="0" collapsed="false">
      <c r="A1121" s="104"/>
      <c r="B1121" s="104"/>
      <c r="C1121" s="147"/>
      <c r="D1121" s="104"/>
      <c r="E1121" s="104"/>
      <c r="F1121" s="104"/>
      <c r="G1121" s="104"/>
      <c r="H1121" s="104"/>
      <c r="I1121" s="104"/>
      <c r="J1121" s="104"/>
      <c r="K1121" s="104"/>
      <c r="L1121" s="104"/>
      <c r="M1121" s="104"/>
      <c r="N1121" s="104"/>
      <c r="O1121" s="104"/>
      <c r="P1121" s="104"/>
      <c r="Q1121" s="104"/>
      <c r="R1121" s="104"/>
      <c r="S1121" s="104"/>
      <c r="T1121" s="104"/>
      <c r="U1121" s="104"/>
      <c r="V1121" s="104"/>
      <c r="W1121" s="104"/>
      <c r="X1121" s="104"/>
      <c r="Y1121" s="104"/>
      <c r="Z1121" s="104"/>
      <c r="AA1121" s="104"/>
      <c r="AB1121" s="104"/>
      <c r="AC1121" s="104"/>
    </row>
    <row r="1122" customFormat="false" ht="15" hidden="false" customHeight="false" outlineLevel="0" collapsed="false">
      <c r="A1122" s="104"/>
      <c r="B1122" s="104"/>
      <c r="C1122" s="147"/>
      <c r="D1122" s="104"/>
      <c r="E1122" s="104"/>
      <c r="F1122" s="104"/>
      <c r="G1122" s="104"/>
      <c r="H1122" s="104"/>
      <c r="I1122" s="104"/>
      <c r="J1122" s="104"/>
      <c r="K1122" s="104"/>
      <c r="L1122" s="104"/>
      <c r="M1122" s="104"/>
      <c r="N1122" s="104"/>
      <c r="O1122" s="104"/>
      <c r="P1122" s="104"/>
      <c r="Q1122" s="104"/>
      <c r="R1122" s="104"/>
      <c r="S1122" s="104"/>
      <c r="T1122" s="104"/>
      <c r="U1122" s="104"/>
      <c r="V1122" s="104"/>
      <c r="W1122" s="104"/>
      <c r="X1122" s="104"/>
      <c r="Y1122" s="104"/>
      <c r="Z1122" s="104"/>
      <c r="AA1122" s="104"/>
      <c r="AB1122" s="104"/>
      <c r="AC1122" s="104"/>
    </row>
    <row r="1123" customFormat="false" ht="15" hidden="false" customHeight="false" outlineLevel="0" collapsed="false">
      <c r="A1123" s="104"/>
      <c r="B1123" s="104"/>
      <c r="C1123" s="147"/>
      <c r="D1123" s="104"/>
      <c r="E1123" s="104"/>
      <c r="F1123" s="104"/>
      <c r="G1123" s="104"/>
      <c r="H1123" s="104"/>
      <c r="I1123" s="104"/>
      <c r="J1123" s="104"/>
      <c r="K1123" s="104"/>
      <c r="L1123" s="104"/>
      <c r="M1123" s="104"/>
      <c r="N1123" s="104"/>
      <c r="O1123" s="104"/>
      <c r="P1123" s="104"/>
      <c r="Q1123" s="104"/>
      <c r="R1123" s="104"/>
      <c r="S1123" s="104"/>
      <c r="T1123" s="104"/>
      <c r="U1123" s="104"/>
      <c r="V1123" s="104"/>
      <c r="W1123" s="104"/>
      <c r="X1123" s="104"/>
      <c r="Y1123" s="104"/>
      <c r="Z1123" s="104"/>
      <c r="AA1123" s="104"/>
      <c r="AB1123" s="104"/>
      <c r="AC1123" s="104"/>
    </row>
    <row r="1124" customFormat="false" ht="15" hidden="false" customHeight="false" outlineLevel="0" collapsed="false">
      <c r="A1124" s="104"/>
      <c r="B1124" s="104"/>
      <c r="C1124" s="147"/>
      <c r="D1124" s="104"/>
      <c r="E1124" s="104"/>
      <c r="F1124" s="104"/>
      <c r="G1124" s="104"/>
      <c r="H1124" s="104"/>
      <c r="I1124" s="104"/>
      <c r="J1124" s="104"/>
      <c r="K1124" s="104"/>
      <c r="L1124" s="104"/>
      <c r="M1124" s="104"/>
      <c r="N1124" s="104"/>
      <c r="O1124" s="104"/>
      <c r="P1124" s="104"/>
      <c r="Q1124" s="104"/>
      <c r="R1124" s="104"/>
      <c r="S1124" s="104"/>
      <c r="T1124" s="104"/>
      <c r="U1124" s="104"/>
      <c r="V1124" s="104"/>
      <c r="W1124" s="104"/>
      <c r="X1124" s="104"/>
      <c r="Y1124" s="104"/>
      <c r="Z1124" s="104"/>
      <c r="AA1124" s="104"/>
      <c r="AB1124" s="104"/>
      <c r="AC1124" s="104"/>
    </row>
    <row r="1125" customFormat="false" ht="15" hidden="false" customHeight="false" outlineLevel="0" collapsed="false">
      <c r="A1125" s="104"/>
      <c r="B1125" s="104"/>
      <c r="C1125" s="147"/>
      <c r="D1125" s="104"/>
      <c r="E1125" s="104"/>
      <c r="F1125" s="104"/>
      <c r="G1125" s="104"/>
      <c r="H1125" s="104"/>
      <c r="I1125" s="104"/>
      <c r="J1125" s="104"/>
      <c r="K1125" s="104"/>
      <c r="L1125" s="104"/>
      <c r="M1125" s="104"/>
      <c r="N1125" s="104"/>
      <c r="O1125" s="104"/>
      <c r="P1125" s="104"/>
      <c r="Q1125" s="104"/>
      <c r="R1125" s="104"/>
      <c r="S1125" s="104"/>
      <c r="T1125" s="104"/>
      <c r="U1125" s="104"/>
      <c r="V1125" s="104"/>
      <c r="W1125" s="104"/>
      <c r="X1125" s="104"/>
      <c r="Y1125" s="104"/>
      <c r="Z1125" s="104"/>
      <c r="AA1125" s="104"/>
      <c r="AB1125" s="104"/>
      <c r="AC1125" s="104"/>
    </row>
    <row r="1126" customFormat="false" ht="15" hidden="false" customHeight="false" outlineLevel="0" collapsed="false">
      <c r="A1126" s="104"/>
      <c r="B1126" s="104"/>
      <c r="C1126" s="147"/>
      <c r="D1126" s="104"/>
      <c r="E1126" s="104"/>
      <c r="F1126" s="104"/>
      <c r="G1126" s="104"/>
      <c r="H1126" s="104"/>
      <c r="I1126" s="104"/>
      <c r="J1126" s="104"/>
      <c r="K1126" s="104"/>
      <c r="L1126" s="104"/>
      <c r="M1126" s="104"/>
      <c r="N1126" s="104"/>
      <c r="O1126" s="104"/>
      <c r="P1126" s="104"/>
      <c r="Q1126" s="104"/>
      <c r="R1126" s="104"/>
      <c r="S1126" s="104"/>
      <c r="T1126" s="104"/>
      <c r="U1126" s="104"/>
      <c r="V1126" s="104"/>
      <c r="W1126" s="104"/>
      <c r="X1126" s="104"/>
      <c r="Y1126" s="104"/>
      <c r="Z1126" s="104"/>
      <c r="AA1126" s="104"/>
      <c r="AB1126" s="104"/>
      <c r="AC1126" s="104"/>
    </row>
    <row r="1127" customFormat="false" ht="15" hidden="false" customHeight="false" outlineLevel="0" collapsed="false">
      <c r="A1127" s="104"/>
      <c r="B1127" s="104"/>
      <c r="C1127" s="147"/>
      <c r="D1127" s="104"/>
      <c r="E1127" s="104"/>
      <c r="F1127" s="104"/>
      <c r="G1127" s="104"/>
      <c r="H1127" s="104"/>
      <c r="I1127" s="104"/>
      <c r="J1127" s="104"/>
      <c r="K1127" s="104"/>
      <c r="L1127" s="104"/>
      <c r="M1127" s="104"/>
      <c r="N1127" s="104"/>
      <c r="O1127" s="104"/>
      <c r="P1127" s="104"/>
      <c r="Q1127" s="104"/>
      <c r="R1127" s="104"/>
      <c r="S1127" s="104"/>
      <c r="T1127" s="104"/>
      <c r="U1127" s="104"/>
      <c r="V1127" s="104"/>
      <c r="W1127" s="104"/>
      <c r="X1127" s="104"/>
      <c r="Y1127" s="104"/>
      <c r="Z1127" s="104"/>
      <c r="AA1127" s="104"/>
      <c r="AB1127" s="104"/>
      <c r="AC1127" s="104"/>
    </row>
    <row r="1128" customFormat="false" ht="15" hidden="false" customHeight="false" outlineLevel="0" collapsed="false">
      <c r="A1128" s="104"/>
      <c r="B1128" s="104"/>
      <c r="C1128" s="147"/>
      <c r="D1128" s="104"/>
      <c r="E1128" s="104"/>
      <c r="F1128" s="104"/>
      <c r="G1128" s="104"/>
      <c r="H1128" s="104"/>
      <c r="I1128" s="104"/>
      <c r="J1128" s="104"/>
      <c r="K1128" s="104"/>
      <c r="L1128" s="104"/>
      <c r="M1128" s="104"/>
      <c r="N1128" s="104"/>
      <c r="O1128" s="104"/>
      <c r="P1128" s="104"/>
      <c r="Q1128" s="104"/>
      <c r="R1128" s="104"/>
      <c r="S1128" s="104"/>
      <c r="T1128" s="104"/>
      <c r="U1128" s="104"/>
      <c r="V1128" s="104"/>
      <c r="W1128" s="104"/>
      <c r="X1128" s="104"/>
      <c r="Y1128" s="104"/>
      <c r="Z1128" s="104"/>
      <c r="AA1128" s="104"/>
      <c r="AB1128" s="104"/>
      <c r="AC1128" s="104"/>
    </row>
    <row r="1129" customFormat="false" ht="15" hidden="false" customHeight="false" outlineLevel="0" collapsed="false">
      <c r="A1129" s="104"/>
      <c r="B1129" s="104"/>
      <c r="C1129" s="147"/>
      <c r="D1129" s="104"/>
      <c r="E1129" s="104"/>
      <c r="F1129" s="104"/>
      <c r="G1129" s="104"/>
      <c r="H1129" s="104"/>
      <c r="I1129" s="104"/>
      <c r="J1129" s="104"/>
      <c r="K1129" s="104"/>
      <c r="L1129" s="104"/>
      <c r="M1129" s="104"/>
      <c r="N1129" s="104"/>
      <c r="O1129" s="104"/>
      <c r="P1129" s="104"/>
      <c r="Q1129" s="104"/>
      <c r="R1129" s="104"/>
      <c r="S1129" s="104"/>
      <c r="T1129" s="104"/>
      <c r="U1129" s="104"/>
      <c r="V1129" s="104"/>
      <c r="W1129" s="104"/>
      <c r="X1129" s="104"/>
      <c r="Y1129" s="104"/>
      <c r="Z1129" s="104"/>
      <c r="AA1129" s="104"/>
      <c r="AB1129" s="104"/>
      <c r="AC1129" s="104"/>
    </row>
    <row r="1130" customFormat="false" ht="15" hidden="false" customHeight="false" outlineLevel="0" collapsed="false">
      <c r="A1130" s="104"/>
      <c r="B1130" s="104"/>
      <c r="C1130" s="147"/>
      <c r="D1130" s="104"/>
      <c r="E1130" s="104"/>
      <c r="F1130" s="104"/>
      <c r="G1130" s="104"/>
      <c r="H1130" s="104"/>
      <c r="I1130" s="104"/>
      <c r="J1130" s="104"/>
      <c r="K1130" s="104"/>
      <c r="L1130" s="104"/>
      <c r="M1130" s="104"/>
      <c r="N1130" s="104"/>
      <c r="O1130" s="104"/>
      <c r="P1130" s="104"/>
      <c r="Q1130" s="104"/>
      <c r="R1130" s="104"/>
      <c r="S1130" s="104"/>
      <c r="T1130" s="104"/>
      <c r="U1130" s="104"/>
      <c r="V1130" s="104"/>
      <c r="W1130" s="104"/>
      <c r="X1130" s="104"/>
      <c r="Y1130" s="104"/>
      <c r="Z1130" s="104"/>
      <c r="AA1130" s="104"/>
      <c r="AB1130" s="104"/>
      <c r="AC1130" s="104"/>
    </row>
    <row r="1131" customFormat="false" ht="15" hidden="false" customHeight="false" outlineLevel="0" collapsed="false">
      <c r="A1131" s="104"/>
      <c r="B1131" s="104"/>
      <c r="C1131" s="147"/>
      <c r="D1131" s="104"/>
      <c r="E1131" s="104"/>
      <c r="F1131" s="104"/>
      <c r="G1131" s="104"/>
      <c r="H1131" s="104"/>
      <c r="I1131" s="104"/>
      <c r="J1131" s="104"/>
      <c r="K1131" s="104"/>
      <c r="L1131" s="104"/>
      <c r="M1131" s="104"/>
      <c r="N1131" s="104"/>
      <c r="O1131" s="104"/>
      <c r="P1131" s="104"/>
      <c r="Q1131" s="104"/>
      <c r="R1131" s="104"/>
      <c r="S1131" s="104"/>
      <c r="T1131" s="104"/>
      <c r="U1131" s="104"/>
      <c r="V1131" s="104"/>
      <c r="W1131" s="104"/>
      <c r="X1131" s="104"/>
      <c r="Y1131" s="104"/>
      <c r="Z1131" s="104"/>
      <c r="AA1131" s="104"/>
      <c r="AB1131" s="104"/>
      <c r="AC1131" s="104"/>
    </row>
    <row r="1132" customFormat="false" ht="15" hidden="false" customHeight="false" outlineLevel="0" collapsed="false">
      <c r="A1132" s="104"/>
      <c r="B1132" s="104"/>
      <c r="C1132" s="147"/>
      <c r="D1132" s="104"/>
      <c r="E1132" s="104"/>
      <c r="F1132" s="104"/>
      <c r="G1132" s="104"/>
      <c r="H1132" s="104"/>
      <c r="I1132" s="104"/>
      <c r="J1132" s="104"/>
      <c r="K1132" s="104"/>
      <c r="L1132" s="104"/>
      <c r="M1132" s="104"/>
      <c r="N1132" s="104"/>
      <c r="O1132" s="104"/>
      <c r="P1132" s="104"/>
      <c r="Q1132" s="104"/>
      <c r="R1132" s="104"/>
      <c r="S1132" s="104"/>
      <c r="T1132" s="104"/>
      <c r="U1132" s="104"/>
      <c r="V1132" s="104"/>
      <c r="W1132" s="104"/>
      <c r="X1132" s="104"/>
      <c r="Y1132" s="104"/>
      <c r="Z1132" s="104"/>
      <c r="AA1132" s="104"/>
      <c r="AB1132" s="104"/>
      <c r="AC1132" s="104"/>
    </row>
    <row r="1133" customFormat="false" ht="15" hidden="false" customHeight="false" outlineLevel="0" collapsed="false">
      <c r="A1133" s="104"/>
      <c r="B1133" s="104"/>
      <c r="C1133" s="147"/>
      <c r="D1133" s="104"/>
      <c r="E1133" s="104"/>
      <c r="F1133" s="104"/>
      <c r="G1133" s="104"/>
      <c r="H1133" s="104"/>
      <c r="I1133" s="104"/>
      <c r="J1133" s="104"/>
      <c r="K1133" s="104"/>
      <c r="L1133" s="104"/>
      <c r="M1133" s="104"/>
      <c r="N1133" s="104"/>
      <c r="O1133" s="104"/>
      <c r="P1133" s="104"/>
      <c r="Q1133" s="104"/>
      <c r="R1133" s="104"/>
      <c r="S1133" s="104"/>
      <c r="T1133" s="104"/>
      <c r="U1133" s="104"/>
      <c r="V1133" s="104"/>
      <c r="W1133" s="104"/>
      <c r="X1133" s="104"/>
      <c r="Y1133" s="104"/>
      <c r="Z1133" s="104"/>
      <c r="AA1133" s="104"/>
      <c r="AB1133" s="104"/>
      <c r="AC1133" s="104"/>
    </row>
    <row r="1134" customFormat="false" ht="15" hidden="false" customHeight="false" outlineLevel="0" collapsed="false">
      <c r="A1134" s="104"/>
      <c r="B1134" s="104"/>
      <c r="C1134" s="147"/>
      <c r="D1134" s="104"/>
      <c r="E1134" s="104"/>
      <c r="F1134" s="104"/>
      <c r="G1134" s="104"/>
      <c r="H1134" s="104"/>
      <c r="I1134" s="104"/>
      <c r="J1134" s="104"/>
      <c r="K1134" s="104"/>
      <c r="L1134" s="104"/>
      <c r="M1134" s="104"/>
      <c r="N1134" s="104"/>
      <c r="O1134" s="104"/>
      <c r="P1134" s="104"/>
      <c r="Q1134" s="104"/>
      <c r="R1134" s="104"/>
      <c r="S1134" s="104"/>
      <c r="T1134" s="104"/>
      <c r="U1134" s="104"/>
      <c r="V1134" s="104"/>
      <c r="W1134" s="104"/>
      <c r="X1134" s="104"/>
      <c r="Y1134" s="104"/>
      <c r="Z1134" s="104"/>
      <c r="AA1134" s="104"/>
      <c r="AB1134" s="104"/>
      <c r="AC1134" s="104"/>
    </row>
    <row r="1135" customFormat="false" ht="15" hidden="false" customHeight="false" outlineLevel="0" collapsed="false">
      <c r="A1135" s="104"/>
      <c r="B1135" s="104"/>
      <c r="C1135" s="147"/>
      <c r="D1135" s="104"/>
      <c r="E1135" s="104"/>
      <c r="F1135" s="104"/>
      <c r="G1135" s="104"/>
      <c r="H1135" s="104"/>
      <c r="I1135" s="104"/>
      <c r="J1135" s="104"/>
      <c r="K1135" s="104"/>
      <c r="L1135" s="104"/>
      <c r="M1135" s="104"/>
      <c r="N1135" s="104"/>
      <c r="O1135" s="104"/>
      <c r="P1135" s="104"/>
      <c r="Q1135" s="104"/>
      <c r="R1135" s="104"/>
      <c r="S1135" s="104"/>
      <c r="T1135" s="104"/>
      <c r="U1135" s="104"/>
      <c r="V1135" s="104"/>
      <c r="W1135" s="104"/>
      <c r="X1135" s="104"/>
      <c r="Y1135" s="104"/>
      <c r="Z1135" s="104"/>
      <c r="AA1135" s="104"/>
      <c r="AB1135" s="104"/>
      <c r="AC1135" s="104"/>
    </row>
    <row r="1136" customFormat="false" ht="15" hidden="false" customHeight="false" outlineLevel="0" collapsed="false">
      <c r="A1136" s="104"/>
      <c r="B1136" s="104"/>
      <c r="C1136" s="147"/>
      <c r="D1136" s="104"/>
      <c r="E1136" s="104"/>
      <c r="F1136" s="104"/>
      <c r="G1136" s="104"/>
      <c r="H1136" s="104"/>
      <c r="I1136" s="104"/>
      <c r="J1136" s="104"/>
      <c r="K1136" s="104"/>
      <c r="L1136" s="104"/>
      <c r="M1136" s="104"/>
      <c r="N1136" s="104"/>
      <c r="O1136" s="104"/>
      <c r="P1136" s="104"/>
      <c r="Q1136" s="104"/>
      <c r="R1136" s="104"/>
      <c r="S1136" s="104"/>
      <c r="T1136" s="104"/>
      <c r="U1136" s="104"/>
      <c r="V1136" s="104"/>
      <c r="W1136" s="104"/>
      <c r="X1136" s="104"/>
      <c r="Y1136" s="104"/>
      <c r="Z1136" s="104"/>
      <c r="AA1136" s="104"/>
      <c r="AB1136" s="104"/>
      <c r="AC1136" s="104"/>
    </row>
    <row r="1137" customFormat="false" ht="15" hidden="false" customHeight="false" outlineLevel="0" collapsed="false">
      <c r="A1137" s="104"/>
      <c r="B1137" s="104"/>
      <c r="C1137" s="147"/>
      <c r="D1137" s="104"/>
      <c r="E1137" s="104"/>
      <c r="F1137" s="104"/>
      <c r="G1137" s="104"/>
      <c r="H1137" s="104"/>
      <c r="I1137" s="104"/>
      <c r="J1137" s="104"/>
      <c r="K1137" s="104"/>
      <c r="L1137" s="104"/>
      <c r="M1137" s="104"/>
      <c r="N1137" s="104"/>
      <c r="O1137" s="104"/>
      <c r="P1137" s="104"/>
      <c r="Q1137" s="104"/>
      <c r="R1137" s="104"/>
      <c r="S1137" s="104"/>
      <c r="T1137" s="104"/>
      <c r="U1137" s="104"/>
      <c r="V1137" s="104"/>
      <c r="W1137" s="104"/>
      <c r="X1137" s="104"/>
      <c r="Y1137" s="104"/>
      <c r="Z1137" s="104"/>
      <c r="AA1137" s="104"/>
      <c r="AB1137" s="104"/>
      <c r="AC1137" s="104"/>
    </row>
    <row r="1138" customFormat="false" ht="15" hidden="false" customHeight="false" outlineLevel="0" collapsed="false">
      <c r="A1138" s="104"/>
      <c r="B1138" s="104"/>
      <c r="C1138" s="147"/>
      <c r="D1138" s="104"/>
      <c r="E1138" s="104"/>
      <c r="F1138" s="104"/>
      <c r="G1138" s="104"/>
      <c r="H1138" s="104"/>
      <c r="I1138" s="104"/>
      <c r="J1138" s="104"/>
      <c r="K1138" s="104"/>
      <c r="L1138" s="104"/>
      <c r="M1138" s="104"/>
      <c r="N1138" s="104"/>
      <c r="O1138" s="104"/>
      <c r="P1138" s="104"/>
      <c r="Q1138" s="104"/>
      <c r="R1138" s="104"/>
      <c r="S1138" s="104"/>
      <c r="T1138" s="104"/>
      <c r="U1138" s="104"/>
      <c r="V1138" s="104"/>
      <c r="W1138" s="104"/>
      <c r="X1138" s="104"/>
      <c r="Y1138" s="104"/>
      <c r="Z1138" s="104"/>
      <c r="AA1138" s="104"/>
      <c r="AB1138" s="104"/>
      <c r="AC1138" s="104"/>
    </row>
    <row r="1139" customFormat="false" ht="15" hidden="false" customHeight="false" outlineLevel="0" collapsed="false">
      <c r="A1139" s="104"/>
      <c r="B1139" s="104"/>
      <c r="C1139" s="147"/>
      <c r="D1139" s="104"/>
      <c r="E1139" s="104"/>
      <c r="F1139" s="104"/>
      <c r="G1139" s="104"/>
      <c r="H1139" s="104"/>
      <c r="I1139" s="104"/>
      <c r="J1139" s="104"/>
      <c r="K1139" s="104"/>
      <c r="L1139" s="104"/>
      <c r="M1139" s="104"/>
      <c r="N1139" s="104"/>
      <c r="O1139" s="104"/>
      <c r="P1139" s="104"/>
      <c r="Q1139" s="104"/>
      <c r="R1139" s="104"/>
      <c r="S1139" s="104"/>
      <c r="T1139" s="104"/>
      <c r="U1139" s="104"/>
      <c r="V1139" s="104"/>
      <c r="W1139" s="104"/>
      <c r="X1139" s="104"/>
      <c r="Y1139" s="104"/>
      <c r="Z1139" s="104"/>
      <c r="AA1139" s="104"/>
      <c r="AB1139" s="104"/>
      <c r="AC1139" s="104"/>
    </row>
    <row r="1140" customFormat="false" ht="15" hidden="false" customHeight="false" outlineLevel="0" collapsed="false">
      <c r="A1140" s="104"/>
      <c r="B1140" s="104"/>
      <c r="C1140" s="147"/>
      <c r="D1140" s="104"/>
      <c r="E1140" s="104"/>
      <c r="F1140" s="104"/>
      <c r="G1140" s="104"/>
      <c r="H1140" s="104"/>
      <c r="I1140" s="104"/>
      <c r="J1140" s="104"/>
      <c r="K1140" s="104"/>
      <c r="L1140" s="104"/>
      <c r="M1140" s="104"/>
      <c r="N1140" s="104"/>
      <c r="O1140" s="104"/>
      <c r="P1140" s="104"/>
      <c r="Q1140" s="104"/>
      <c r="R1140" s="104"/>
      <c r="S1140" s="104"/>
      <c r="T1140" s="104"/>
      <c r="U1140" s="104"/>
      <c r="V1140" s="104"/>
      <c r="W1140" s="104"/>
      <c r="X1140" s="104"/>
      <c r="Y1140" s="104"/>
      <c r="Z1140" s="104"/>
      <c r="AA1140" s="104"/>
      <c r="AB1140" s="104"/>
      <c r="AC1140" s="104"/>
    </row>
    <row r="1141" customFormat="false" ht="15" hidden="false" customHeight="false" outlineLevel="0" collapsed="false">
      <c r="A1141" s="104"/>
      <c r="B1141" s="104"/>
      <c r="C1141" s="147"/>
      <c r="D1141" s="104"/>
      <c r="E1141" s="104"/>
      <c r="F1141" s="104"/>
      <c r="G1141" s="104"/>
      <c r="H1141" s="104"/>
      <c r="I1141" s="104"/>
      <c r="J1141" s="104"/>
      <c r="K1141" s="104"/>
      <c r="L1141" s="104"/>
      <c r="M1141" s="104"/>
      <c r="N1141" s="104"/>
      <c r="O1141" s="104"/>
      <c r="P1141" s="104"/>
      <c r="Q1141" s="104"/>
      <c r="R1141" s="104"/>
      <c r="S1141" s="104"/>
      <c r="T1141" s="104"/>
      <c r="U1141" s="104"/>
      <c r="V1141" s="104"/>
      <c r="W1141" s="104"/>
      <c r="X1141" s="104"/>
      <c r="Y1141" s="104"/>
      <c r="Z1141" s="104"/>
      <c r="AA1141" s="104"/>
      <c r="AB1141" s="104"/>
      <c r="AC1141" s="104"/>
    </row>
    <row r="1142" customFormat="false" ht="15" hidden="false" customHeight="false" outlineLevel="0" collapsed="false">
      <c r="A1142" s="104"/>
      <c r="B1142" s="104"/>
      <c r="C1142" s="147"/>
      <c r="D1142" s="104"/>
      <c r="E1142" s="104"/>
      <c r="F1142" s="104"/>
      <c r="G1142" s="104"/>
      <c r="H1142" s="104"/>
      <c r="I1142" s="104"/>
      <c r="J1142" s="104"/>
      <c r="K1142" s="104"/>
      <c r="L1142" s="104"/>
      <c r="M1142" s="104"/>
      <c r="N1142" s="104"/>
      <c r="O1142" s="104"/>
      <c r="P1142" s="104"/>
      <c r="Q1142" s="104"/>
      <c r="R1142" s="104"/>
      <c r="S1142" s="104"/>
      <c r="T1142" s="104"/>
      <c r="U1142" s="104"/>
      <c r="V1142" s="104"/>
      <c r="W1142" s="104"/>
      <c r="X1142" s="104"/>
      <c r="Y1142" s="104"/>
      <c r="Z1142" s="104"/>
      <c r="AA1142" s="104"/>
      <c r="AB1142" s="104"/>
      <c r="AC1142" s="104"/>
    </row>
    <row r="1143" customFormat="false" ht="15" hidden="false" customHeight="false" outlineLevel="0" collapsed="false">
      <c r="A1143" s="104"/>
      <c r="B1143" s="104"/>
      <c r="C1143" s="147"/>
      <c r="D1143" s="104"/>
      <c r="E1143" s="104"/>
      <c r="F1143" s="104"/>
      <c r="G1143" s="104"/>
      <c r="H1143" s="104"/>
      <c r="I1143" s="104"/>
      <c r="J1143" s="104"/>
      <c r="K1143" s="104"/>
      <c r="L1143" s="104"/>
      <c r="M1143" s="104"/>
      <c r="N1143" s="104"/>
      <c r="O1143" s="104"/>
      <c r="P1143" s="104"/>
      <c r="Q1143" s="104"/>
      <c r="R1143" s="104"/>
      <c r="S1143" s="104"/>
      <c r="T1143" s="104"/>
      <c r="U1143" s="104"/>
      <c r="V1143" s="104"/>
      <c r="W1143" s="104"/>
      <c r="X1143" s="104"/>
      <c r="Y1143" s="104"/>
      <c r="Z1143" s="104"/>
      <c r="AA1143" s="104"/>
      <c r="AB1143" s="104"/>
      <c r="AC1143" s="104"/>
    </row>
    <row r="1144" customFormat="false" ht="15" hidden="false" customHeight="false" outlineLevel="0" collapsed="false">
      <c r="A1144" s="104"/>
      <c r="B1144" s="104"/>
      <c r="C1144" s="147"/>
      <c r="D1144" s="104"/>
      <c r="E1144" s="104"/>
      <c r="F1144" s="104"/>
      <c r="G1144" s="104"/>
      <c r="H1144" s="104"/>
      <c r="I1144" s="104"/>
      <c r="J1144" s="104"/>
      <c r="K1144" s="104"/>
      <c r="L1144" s="104"/>
      <c r="M1144" s="104"/>
      <c r="N1144" s="104"/>
      <c r="O1144" s="104"/>
      <c r="P1144" s="104"/>
      <c r="Q1144" s="104"/>
      <c r="R1144" s="104"/>
      <c r="S1144" s="104"/>
      <c r="T1144" s="104"/>
      <c r="U1144" s="104"/>
      <c r="V1144" s="104"/>
      <c r="W1144" s="104"/>
      <c r="X1144" s="104"/>
      <c r="Y1144" s="104"/>
      <c r="Z1144" s="104"/>
      <c r="AA1144" s="104"/>
      <c r="AB1144" s="104"/>
      <c r="AC1144" s="104"/>
    </row>
    <row r="1145" customFormat="false" ht="15" hidden="false" customHeight="false" outlineLevel="0" collapsed="false">
      <c r="A1145" s="104"/>
      <c r="B1145" s="104"/>
      <c r="C1145" s="147"/>
      <c r="D1145" s="104"/>
      <c r="E1145" s="104"/>
      <c r="F1145" s="104"/>
      <c r="G1145" s="104"/>
      <c r="H1145" s="104"/>
      <c r="I1145" s="104"/>
      <c r="J1145" s="104"/>
      <c r="K1145" s="104"/>
      <c r="L1145" s="104"/>
      <c r="M1145" s="104"/>
      <c r="N1145" s="104"/>
      <c r="O1145" s="104"/>
      <c r="P1145" s="104"/>
      <c r="Q1145" s="104"/>
      <c r="R1145" s="104"/>
      <c r="S1145" s="104"/>
      <c r="T1145" s="104"/>
      <c r="U1145" s="104"/>
      <c r="V1145" s="104"/>
      <c r="W1145" s="104"/>
      <c r="X1145" s="104"/>
      <c r="Y1145" s="104"/>
      <c r="Z1145" s="104"/>
      <c r="AA1145" s="104"/>
      <c r="AB1145" s="104"/>
      <c r="AC1145" s="104"/>
    </row>
    <row r="1146" customFormat="false" ht="15" hidden="false" customHeight="false" outlineLevel="0" collapsed="false">
      <c r="A1146" s="104"/>
      <c r="B1146" s="104"/>
      <c r="C1146" s="147"/>
      <c r="D1146" s="104"/>
      <c r="E1146" s="104"/>
      <c r="F1146" s="104"/>
      <c r="G1146" s="104"/>
      <c r="H1146" s="104"/>
      <c r="I1146" s="104"/>
      <c r="J1146" s="104"/>
      <c r="K1146" s="104"/>
      <c r="L1146" s="104"/>
      <c r="M1146" s="104"/>
      <c r="N1146" s="104"/>
      <c r="O1146" s="104"/>
      <c r="P1146" s="104"/>
      <c r="Q1146" s="104"/>
      <c r="R1146" s="104"/>
      <c r="S1146" s="104"/>
      <c r="T1146" s="104"/>
      <c r="U1146" s="104"/>
      <c r="V1146" s="104"/>
      <c r="W1146" s="104"/>
      <c r="X1146" s="104"/>
      <c r="Y1146" s="104"/>
      <c r="Z1146" s="104"/>
      <c r="AA1146" s="104"/>
      <c r="AB1146" s="104"/>
      <c r="AC1146" s="104"/>
    </row>
    <row r="1147" customFormat="false" ht="15" hidden="false" customHeight="false" outlineLevel="0" collapsed="false">
      <c r="A1147" s="104"/>
      <c r="B1147" s="104"/>
      <c r="C1147" s="147"/>
      <c r="D1147" s="104"/>
      <c r="E1147" s="104"/>
      <c r="F1147" s="104"/>
      <c r="G1147" s="104"/>
      <c r="H1147" s="104"/>
      <c r="I1147" s="104"/>
      <c r="J1147" s="104"/>
      <c r="K1147" s="104"/>
      <c r="L1147" s="104"/>
      <c r="M1147" s="104"/>
      <c r="N1147" s="104"/>
      <c r="O1147" s="104"/>
      <c r="P1147" s="104"/>
      <c r="Q1147" s="104"/>
      <c r="R1147" s="104"/>
      <c r="S1147" s="104"/>
      <c r="T1147" s="104"/>
      <c r="U1147" s="104"/>
      <c r="V1147" s="104"/>
      <c r="W1147" s="104"/>
      <c r="X1147" s="104"/>
      <c r="Y1147" s="104"/>
      <c r="Z1147" s="104"/>
      <c r="AA1147" s="104"/>
      <c r="AB1147" s="104"/>
      <c r="AC1147" s="104"/>
    </row>
    <row r="1148" customFormat="false" ht="15" hidden="false" customHeight="false" outlineLevel="0" collapsed="false">
      <c r="A1148" s="104"/>
      <c r="B1148" s="104"/>
      <c r="C1148" s="147"/>
      <c r="D1148" s="104"/>
      <c r="E1148" s="104"/>
      <c r="F1148" s="104"/>
      <c r="G1148" s="104"/>
      <c r="H1148" s="104"/>
      <c r="I1148" s="104"/>
      <c r="J1148" s="104"/>
      <c r="K1148" s="104"/>
      <c r="L1148" s="104"/>
      <c r="M1148" s="104"/>
      <c r="N1148" s="104"/>
      <c r="O1148" s="104"/>
      <c r="P1148" s="104"/>
      <c r="Q1148" s="104"/>
      <c r="R1148" s="104"/>
      <c r="S1148" s="104"/>
      <c r="T1148" s="104"/>
      <c r="U1148" s="104"/>
      <c r="V1148" s="104"/>
      <c r="W1148" s="104"/>
      <c r="X1148" s="104"/>
      <c r="Y1148" s="104"/>
      <c r="Z1148" s="104"/>
      <c r="AA1148" s="104"/>
      <c r="AB1148" s="104"/>
      <c r="AC1148" s="104"/>
    </row>
    <row r="1149" customFormat="false" ht="15" hidden="false" customHeight="false" outlineLevel="0" collapsed="false">
      <c r="A1149" s="104"/>
      <c r="B1149" s="104"/>
      <c r="C1149" s="147"/>
      <c r="D1149" s="104"/>
      <c r="E1149" s="104"/>
      <c r="F1149" s="104"/>
      <c r="G1149" s="104"/>
      <c r="H1149" s="104"/>
      <c r="I1149" s="104"/>
      <c r="J1149" s="104"/>
      <c r="K1149" s="104"/>
      <c r="L1149" s="104"/>
      <c r="M1149" s="104"/>
      <c r="N1149" s="104"/>
      <c r="O1149" s="104"/>
      <c r="P1149" s="104"/>
      <c r="Q1149" s="104"/>
      <c r="R1149" s="104"/>
      <c r="S1149" s="104"/>
      <c r="T1149" s="104"/>
      <c r="U1149" s="104"/>
      <c r="V1149" s="104"/>
      <c r="W1149" s="104"/>
      <c r="X1149" s="104"/>
      <c r="Y1149" s="104"/>
      <c r="Z1149" s="104"/>
      <c r="AA1149" s="104"/>
      <c r="AB1149" s="104"/>
      <c r="AC1149" s="104"/>
    </row>
    <row r="1150" customFormat="false" ht="15" hidden="false" customHeight="false" outlineLevel="0" collapsed="false">
      <c r="A1150" s="104"/>
      <c r="B1150" s="104"/>
      <c r="C1150" s="147"/>
      <c r="D1150" s="104"/>
      <c r="E1150" s="104"/>
      <c r="F1150" s="104"/>
      <c r="G1150" s="104"/>
      <c r="H1150" s="104"/>
      <c r="I1150" s="104"/>
      <c r="J1150" s="104"/>
      <c r="K1150" s="104"/>
      <c r="L1150" s="104"/>
      <c r="M1150" s="104"/>
      <c r="N1150" s="104"/>
      <c r="O1150" s="104"/>
      <c r="P1150" s="104"/>
      <c r="Q1150" s="104"/>
      <c r="R1150" s="104"/>
      <c r="S1150" s="104"/>
      <c r="T1150" s="104"/>
      <c r="U1150" s="104"/>
      <c r="V1150" s="104"/>
      <c r="W1150" s="104"/>
      <c r="X1150" s="104"/>
      <c r="Y1150" s="104"/>
      <c r="Z1150" s="104"/>
      <c r="AA1150" s="104"/>
      <c r="AB1150" s="104"/>
      <c r="AC1150" s="104"/>
    </row>
    <row r="1151" customFormat="false" ht="15" hidden="false" customHeight="false" outlineLevel="0" collapsed="false">
      <c r="A1151" s="104"/>
      <c r="B1151" s="104"/>
      <c r="C1151" s="147"/>
      <c r="D1151" s="104"/>
      <c r="E1151" s="104"/>
      <c r="F1151" s="104"/>
      <c r="G1151" s="104"/>
      <c r="H1151" s="104"/>
      <c r="I1151" s="104"/>
      <c r="J1151" s="104"/>
      <c r="K1151" s="104"/>
      <c r="L1151" s="104"/>
      <c r="M1151" s="104"/>
      <c r="N1151" s="104"/>
      <c r="O1151" s="104"/>
      <c r="P1151" s="104"/>
      <c r="Q1151" s="104"/>
      <c r="R1151" s="104"/>
      <c r="S1151" s="104"/>
      <c r="T1151" s="104"/>
      <c r="U1151" s="104"/>
      <c r="V1151" s="104"/>
      <c r="W1151" s="104"/>
      <c r="X1151" s="104"/>
      <c r="Y1151" s="104"/>
      <c r="Z1151" s="104"/>
      <c r="AA1151" s="104"/>
      <c r="AB1151" s="104"/>
      <c r="AC1151" s="104"/>
    </row>
    <row r="1152" customFormat="false" ht="15" hidden="false" customHeight="false" outlineLevel="0" collapsed="false">
      <c r="A1152" s="104"/>
      <c r="B1152" s="104"/>
      <c r="C1152" s="147"/>
      <c r="D1152" s="104"/>
      <c r="E1152" s="104"/>
      <c r="F1152" s="104"/>
      <c r="G1152" s="104"/>
      <c r="H1152" s="104"/>
      <c r="I1152" s="104"/>
      <c r="J1152" s="104"/>
      <c r="K1152" s="104"/>
      <c r="L1152" s="104"/>
      <c r="M1152" s="104"/>
      <c r="N1152" s="104"/>
      <c r="O1152" s="104"/>
      <c r="P1152" s="104"/>
      <c r="Q1152" s="104"/>
      <c r="R1152" s="104"/>
      <c r="S1152" s="104"/>
      <c r="T1152" s="104"/>
      <c r="U1152" s="104"/>
      <c r="V1152" s="104"/>
      <c r="W1152" s="104"/>
      <c r="X1152" s="104"/>
      <c r="Y1152" s="104"/>
      <c r="Z1152" s="104"/>
      <c r="AA1152" s="104"/>
      <c r="AB1152" s="104"/>
      <c r="AC1152" s="104"/>
    </row>
    <row r="1153" customFormat="false" ht="15" hidden="false" customHeight="false" outlineLevel="0" collapsed="false">
      <c r="A1153" s="104"/>
      <c r="B1153" s="104"/>
      <c r="C1153" s="147"/>
      <c r="D1153" s="104"/>
      <c r="E1153" s="104"/>
      <c r="F1153" s="104"/>
      <c r="G1153" s="104"/>
      <c r="H1153" s="104"/>
      <c r="I1153" s="104"/>
      <c r="J1153" s="104"/>
      <c r="K1153" s="104"/>
      <c r="L1153" s="104"/>
      <c r="M1153" s="104"/>
      <c r="N1153" s="104"/>
      <c r="O1153" s="104"/>
      <c r="P1153" s="104"/>
      <c r="Q1153" s="104"/>
      <c r="R1153" s="104"/>
      <c r="S1153" s="104"/>
      <c r="T1153" s="104"/>
      <c r="U1153" s="104"/>
      <c r="V1153" s="104"/>
      <c r="W1153" s="104"/>
      <c r="X1153" s="104"/>
      <c r="Y1153" s="104"/>
      <c r="Z1153" s="104"/>
      <c r="AA1153" s="104"/>
      <c r="AB1153" s="104"/>
      <c r="AC1153" s="104"/>
    </row>
    <row r="1154" customFormat="false" ht="15" hidden="false" customHeight="false" outlineLevel="0" collapsed="false">
      <c r="A1154" s="104"/>
      <c r="B1154" s="104"/>
      <c r="C1154" s="147"/>
      <c r="D1154" s="104"/>
      <c r="E1154" s="104"/>
      <c r="F1154" s="104"/>
      <c r="G1154" s="104"/>
      <c r="H1154" s="104"/>
      <c r="I1154" s="104"/>
      <c r="J1154" s="104"/>
      <c r="K1154" s="104"/>
      <c r="L1154" s="104"/>
      <c r="M1154" s="104"/>
      <c r="N1154" s="104"/>
      <c r="O1154" s="104"/>
      <c r="P1154" s="104"/>
      <c r="Q1154" s="104"/>
      <c r="R1154" s="104"/>
      <c r="S1154" s="104"/>
      <c r="T1154" s="104"/>
      <c r="U1154" s="104"/>
      <c r="V1154" s="104"/>
      <c r="W1154" s="104"/>
      <c r="X1154" s="104"/>
      <c r="Y1154" s="104"/>
      <c r="Z1154" s="104"/>
      <c r="AA1154" s="104"/>
      <c r="AB1154" s="104"/>
      <c r="AC1154" s="104"/>
    </row>
    <row r="1155" customFormat="false" ht="15" hidden="false" customHeight="false" outlineLevel="0" collapsed="false">
      <c r="A1155" s="104"/>
      <c r="B1155" s="104"/>
      <c r="C1155" s="147"/>
      <c r="D1155" s="104"/>
      <c r="E1155" s="104"/>
      <c r="F1155" s="104"/>
      <c r="G1155" s="104"/>
      <c r="H1155" s="104"/>
      <c r="I1155" s="104"/>
      <c r="J1155" s="104"/>
      <c r="K1155" s="104"/>
      <c r="L1155" s="104"/>
      <c r="M1155" s="104"/>
      <c r="N1155" s="104"/>
      <c r="O1155" s="104"/>
      <c r="P1155" s="104"/>
      <c r="Q1155" s="104"/>
      <c r="R1155" s="104"/>
      <c r="S1155" s="104"/>
      <c r="T1155" s="104"/>
      <c r="U1155" s="104"/>
      <c r="V1155" s="104"/>
      <c r="W1155" s="104"/>
      <c r="X1155" s="104"/>
      <c r="Y1155" s="104"/>
      <c r="Z1155" s="104"/>
      <c r="AA1155" s="104"/>
      <c r="AB1155" s="104"/>
      <c r="AC1155" s="104"/>
    </row>
    <row r="1156" customFormat="false" ht="15" hidden="false" customHeight="false" outlineLevel="0" collapsed="false">
      <c r="A1156" s="104"/>
      <c r="B1156" s="104"/>
      <c r="C1156" s="147"/>
      <c r="D1156" s="104"/>
      <c r="E1156" s="104"/>
      <c r="F1156" s="104"/>
      <c r="G1156" s="104"/>
      <c r="H1156" s="104"/>
      <c r="I1156" s="104"/>
      <c r="J1156" s="104"/>
      <c r="K1156" s="104"/>
      <c r="L1156" s="104"/>
      <c r="M1156" s="104"/>
      <c r="N1156" s="104"/>
      <c r="O1156" s="104"/>
      <c r="P1156" s="104"/>
      <c r="Q1156" s="104"/>
      <c r="R1156" s="104"/>
      <c r="S1156" s="104"/>
      <c r="T1156" s="104"/>
      <c r="U1156" s="104"/>
      <c r="V1156" s="104"/>
      <c r="W1156" s="104"/>
      <c r="X1156" s="104"/>
      <c r="Y1156" s="104"/>
      <c r="Z1156" s="104"/>
      <c r="AA1156" s="104"/>
      <c r="AB1156" s="104"/>
      <c r="AC1156" s="104"/>
    </row>
    <row r="1157" customFormat="false" ht="15" hidden="false" customHeight="false" outlineLevel="0" collapsed="false">
      <c r="A1157" s="104"/>
      <c r="B1157" s="104"/>
      <c r="C1157" s="147"/>
      <c r="D1157" s="104"/>
      <c r="E1157" s="104"/>
      <c r="F1157" s="104"/>
      <c r="G1157" s="104"/>
      <c r="H1157" s="104"/>
      <c r="I1157" s="104"/>
      <c r="J1157" s="104"/>
      <c r="K1157" s="104"/>
      <c r="L1157" s="104"/>
      <c r="M1157" s="104"/>
      <c r="N1157" s="104"/>
      <c r="O1157" s="104"/>
      <c r="P1157" s="104"/>
      <c r="Q1157" s="104"/>
      <c r="R1157" s="104"/>
      <c r="S1157" s="104"/>
      <c r="T1157" s="104"/>
      <c r="U1157" s="104"/>
      <c r="V1157" s="104"/>
      <c r="W1157" s="104"/>
      <c r="X1157" s="104"/>
      <c r="Y1157" s="104"/>
      <c r="Z1157" s="104"/>
      <c r="AA1157" s="104"/>
      <c r="AB1157" s="104"/>
      <c r="AC1157" s="104"/>
    </row>
    <row r="1158" customFormat="false" ht="15" hidden="false" customHeight="false" outlineLevel="0" collapsed="false">
      <c r="A1158" s="104"/>
      <c r="B1158" s="104"/>
      <c r="C1158" s="147"/>
      <c r="D1158" s="104"/>
      <c r="E1158" s="104"/>
      <c r="F1158" s="104"/>
      <c r="G1158" s="104"/>
      <c r="H1158" s="104"/>
      <c r="I1158" s="104"/>
      <c r="J1158" s="104"/>
      <c r="K1158" s="104"/>
      <c r="L1158" s="104"/>
      <c r="M1158" s="104"/>
      <c r="N1158" s="104"/>
      <c r="O1158" s="104"/>
      <c r="P1158" s="104"/>
      <c r="Q1158" s="104"/>
      <c r="R1158" s="104"/>
      <c r="S1158" s="104"/>
      <c r="T1158" s="104"/>
      <c r="U1158" s="104"/>
      <c r="V1158" s="104"/>
      <c r="W1158" s="104"/>
      <c r="X1158" s="104"/>
      <c r="Y1158" s="104"/>
      <c r="Z1158" s="104"/>
      <c r="AA1158" s="104"/>
      <c r="AB1158" s="104"/>
      <c r="AC1158" s="104"/>
    </row>
    <row r="1159" customFormat="false" ht="15" hidden="false" customHeight="false" outlineLevel="0" collapsed="false">
      <c r="A1159" s="104"/>
      <c r="B1159" s="104"/>
      <c r="C1159" s="147"/>
      <c r="D1159" s="104"/>
      <c r="E1159" s="104"/>
      <c r="F1159" s="104"/>
      <c r="G1159" s="104"/>
      <c r="H1159" s="104"/>
      <c r="I1159" s="104"/>
      <c r="J1159" s="104"/>
      <c r="K1159" s="104"/>
      <c r="L1159" s="104"/>
      <c r="M1159" s="104"/>
      <c r="N1159" s="104"/>
      <c r="O1159" s="104"/>
      <c r="P1159" s="104"/>
      <c r="Q1159" s="104"/>
      <c r="R1159" s="104"/>
      <c r="S1159" s="104"/>
      <c r="T1159" s="104"/>
      <c r="U1159" s="104"/>
      <c r="V1159" s="104"/>
      <c r="W1159" s="104"/>
      <c r="X1159" s="104"/>
      <c r="Y1159" s="104"/>
      <c r="Z1159" s="104"/>
      <c r="AA1159" s="104"/>
      <c r="AB1159" s="104"/>
      <c r="AC1159" s="104"/>
    </row>
    <row r="1160" customFormat="false" ht="15" hidden="false" customHeight="false" outlineLevel="0" collapsed="false">
      <c r="A1160" s="104"/>
      <c r="B1160" s="104"/>
      <c r="C1160" s="147"/>
      <c r="D1160" s="104"/>
      <c r="E1160" s="104"/>
      <c r="F1160" s="104"/>
      <c r="G1160" s="104"/>
      <c r="H1160" s="104"/>
      <c r="I1160" s="104"/>
      <c r="J1160" s="104"/>
      <c r="K1160" s="104"/>
      <c r="L1160" s="104"/>
      <c r="M1160" s="104"/>
      <c r="N1160" s="104"/>
      <c r="O1160" s="104"/>
      <c r="P1160" s="104"/>
      <c r="Q1160" s="104"/>
      <c r="R1160" s="104"/>
      <c r="S1160" s="104"/>
      <c r="T1160" s="104"/>
      <c r="U1160" s="104"/>
      <c r="V1160" s="104"/>
      <c r="W1160" s="104"/>
      <c r="X1160" s="104"/>
      <c r="Y1160" s="104"/>
      <c r="Z1160" s="104"/>
      <c r="AA1160" s="104"/>
      <c r="AB1160" s="104"/>
      <c r="AC1160" s="104"/>
    </row>
    <row r="1161" customFormat="false" ht="15" hidden="false" customHeight="false" outlineLevel="0" collapsed="false">
      <c r="A1161" s="104"/>
      <c r="B1161" s="104"/>
      <c r="C1161" s="147"/>
      <c r="D1161" s="104"/>
      <c r="E1161" s="104"/>
      <c r="F1161" s="104"/>
      <c r="G1161" s="104"/>
      <c r="H1161" s="104"/>
      <c r="I1161" s="104"/>
      <c r="J1161" s="104"/>
      <c r="K1161" s="104"/>
      <c r="L1161" s="104"/>
      <c r="M1161" s="104"/>
      <c r="N1161" s="104"/>
      <c r="O1161" s="104"/>
      <c r="P1161" s="104"/>
      <c r="Q1161" s="104"/>
      <c r="R1161" s="104"/>
      <c r="S1161" s="104"/>
      <c r="T1161" s="104"/>
      <c r="U1161" s="104"/>
      <c r="V1161" s="104"/>
      <c r="W1161" s="104"/>
      <c r="X1161" s="104"/>
      <c r="Y1161" s="104"/>
      <c r="Z1161" s="104"/>
      <c r="AA1161" s="104"/>
      <c r="AB1161" s="104"/>
      <c r="AC1161" s="104"/>
    </row>
    <row r="1162" customFormat="false" ht="15" hidden="false" customHeight="false" outlineLevel="0" collapsed="false">
      <c r="A1162" s="104"/>
      <c r="B1162" s="104"/>
      <c r="C1162" s="147"/>
      <c r="D1162" s="104"/>
      <c r="E1162" s="104"/>
      <c r="F1162" s="104"/>
      <c r="G1162" s="104"/>
      <c r="H1162" s="104"/>
      <c r="I1162" s="104"/>
      <c r="J1162" s="104"/>
      <c r="K1162" s="104"/>
      <c r="L1162" s="104"/>
      <c r="M1162" s="104"/>
      <c r="N1162" s="104"/>
      <c r="O1162" s="104"/>
      <c r="P1162" s="104"/>
      <c r="Q1162" s="104"/>
      <c r="R1162" s="104"/>
      <c r="S1162" s="104"/>
      <c r="T1162" s="104"/>
      <c r="U1162" s="104"/>
      <c r="V1162" s="104"/>
      <c r="W1162" s="104"/>
      <c r="X1162" s="104"/>
      <c r="Y1162" s="104"/>
      <c r="Z1162" s="104"/>
      <c r="AA1162" s="104"/>
      <c r="AB1162" s="104"/>
      <c r="AC1162" s="104"/>
    </row>
    <row r="1163" customFormat="false" ht="15" hidden="false" customHeight="false" outlineLevel="0" collapsed="false">
      <c r="A1163" s="104"/>
      <c r="B1163" s="104"/>
      <c r="C1163" s="147"/>
      <c r="D1163" s="104"/>
      <c r="E1163" s="104"/>
      <c r="F1163" s="104"/>
      <c r="G1163" s="104"/>
      <c r="H1163" s="104"/>
      <c r="I1163" s="104"/>
      <c r="J1163" s="104"/>
      <c r="K1163" s="104"/>
      <c r="L1163" s="104"/>
      <c r="M1163" s="104"/>
      <c r="N1163" s="104"/>
      <c r="O1163" s="104"/>
      <c r="P1163" s="104"/>
      <c r="Q1163" s="104"/>
      <c r="R1163" s="104"/>
      <c r="S1163" s="104"/>
      <c r="T1163" s="104"/>
      <c r="U1163" s="104"/>
      <c r="V1163" s="104"/>
      <c r="W1163" s="104"/>
      <c r="X1163" s="104"/>
      <c r="Y1163" s="104"/>
      <c r="Z1163" s="104"/>
      <c r="AA1163" s="104"/>
      <c r="AB1163" s="104"/>
      <c r="AC1163" s="104"/>
    </row>
    <row r="1164" customFormat="false" ht="15" hidden="false" customHeight="false" outlineLevel="0" collapsed="false">
      <c r="A1164" s="104"/>
      <c r="B1164" s="104"/>
      <c r="C1164" s="147"/>
      <c r="D1164" s="104"/>
      <c r="E1164" s="104"/>
      <c r="F1164" s="104"/>
      <c r="G1164" s="104"/>
      <c r="H1164" s="104"/>
      <c r="I1164" s="104"/>
      <c r="J1164" s="104"/>
      <c r="K1164" s="104"/>
      <c r="L1164" s="104"/>
      <c r="M1164" s="104"/>
      <c r="N1164" s="104"/>
      <c r="O1164" s="104"/>
      <c r="P1164" s="104"/>
      <c r="Q1164" s="104"/>
      <c r="R1164" s="104"/>
      <c r="S1164" s="104"/>
      <c r="T1164" s="104"/>
      <c r="U1164" s="104"/>
      <c r="V1164" s="104"/>
      <c r="W1164" s="104"/>
      <c r="X1164" s="104"/>
      <c r="Y1164" s="104"/>
      <c r="Z1164" s="104"/>
      <c r="AA1164" s="104"/>
      <c r="AB1164" s="104"/>
      <c r="AC1164" s="104"/>
    </row>
    <row r="1165" customFormat="false" ht="15" hidden="false" customHeight="false" outlineLevel="0" collapsed="false">
      <c r="A1165" s="104"/>
      <c r="B1165" s="104"/>
      <c r="C1165" s="147"/>
      <c r="D1165" s="104"/>
      <c r="E1165" s="104"/>
      <c r="F1165" s="104"/>
      <c r="G1165" s="104"/>
      <c r="H1165" s="104"/>
      <c r="I1165" s="104"/>
      <c r="J1165" s="104"/>
      <c r="K1165" s="104"/>
      <c r="L1165" s="104"/>
      <c r="M1165" s="104"/>
      <c r="N1165" s="104"/>
      <c r="O1165" s="104"/>
      <c r="P1165" s="104"/>
      <c r="Q1165" s="104"/>
      <c r="R1165" s="104"/>
      <c r="S1165" s="104"/>
      <c r="T1165" s="104"/>
      <c r="U1165" s="104"/>
      <c r="V1165" s="104"/>
      <c r="W1165" s="104"/>
      <c r="X1165" s="104"/>
      <c r="Y1165" s="104"/>
      <c r="Z1165" s="104"/>
      <c r="AA1165" s="104"/>
      <c r="AB1165" s="104"/>
      <c r="AC1165" s="104"/>
    </row>
    <row r="1166" customFormat="false" ht="15" hidden="false" customHeight="false" outlineLevel="0" collapsed="false">
      <c r="A1166" s="104"/>
      <c r="B1166" s="104"/>
      <c r="C1166" s="147"/>
      <c r="D1166" s="104"/>
      <c r="E1166" s="104"/>
      <c r="F1166" s="104"/>
      <c r="G1166" s="104"/>
      <c r="H1166" s="104"/>
      <c r="I1166" s="104"/>
      <c r="J1166" s="104"/>
      <c r="K1166" s="104"/>
      <c r="L1166" s="104"/>
      <c r="M1166" s="104"/>
      <c r="N1166" s="104"/>
      <c r="O1166" s="104"/>
      <c r="P1166" s="104"/>
      <c r="Q1166" s="104"/>
      <c r="R1166" s="104"/>
      <c r="S1166" s="104"/>
      <c r="T1166" s="104"/>
      <c r="U1166" s="104"/>
      <c r="V1166" s="104"/>
      <c r="W1166" s="104"/>
      <c r="X1166" s="104"/>
      <c r="Y1166" s="104"/>
      <c r="Z1166" s="104"/>
      <c r="AA1166" s="104"/>
      <c r="AB1166" s="104"/>
      <c r="AC1166" s="104"/>
    </row>
    <row r="1167" customFormat="false" ht="15" hidden="false" customHeight="false" outlineLevel="0" collapsed="false">
      <c r="A1167" s="104"/>
      <c r="B1167" s="104"/>
      <c r="C1167" s="147"/>
      <c r="D1167" s="104"/>
      <c r="E1167" s="104"/>
      <c r="F1167" s="104"/>
      <c r="G1167" s="104"/>
      <c r="H1167" s="104"/>
      <c r="I1167" s="104"/>
      <c r="J1167" s="104"/>
      <c r="K1167" s="104"/>
      <c r="L1167" s="104"/>
      <c r="M1167" s="104"/>
      <c r="N1167" s="104"/>
      <c r="O1167" s="104"/>
      <c r="P1167" s="104"/>
      <c r="Q1167" s="104"/>
      <c r="R1167" s="104"/>
      <c r="S1167" s="104"/>
      <c r="T1167" s="104"/>
      <c r="U1167" s="104"/>
      <c r="V1167" s="104"/>
      <c r="W1167" s="104"/>
      <c r="X1167" s="104"/>
      <c r="Y1167" s="104"/>
      <c r="Z1167" s="104"/>
      <c r="AA1167" s="104"/>
      <c r="AB1167" s="104"/>
      <c r="AC1167" s="104"/>
    </row>
    <row r="1168" customFormat="false" ht="15" hidden="false" customHeight="false" outlineLevel="0" collapsed="false">
      <c r="A1168" s="104"/>
      <c r="B1168" s="104"/>
      <c r="C1168" s="147"/>
      <c r="D1168" s="104"/>
      <c r="E1168" s="104"/>
      <c r="F1168" s="104"/>
      <c r="G1168" s="104"/>
      <c r="H1168" s="104"/>
      <c r="I1168" s="104"/>
      <c r="J1168" s="104"/>
      <c r="K1168" s="104"/>
      <c r="L1168" s="104"/>
      <c r="M1168" s="104"/>
      <c r="N1168" s="104"/>
      <c r="O1168" s="104"/>
      <c r="P1168" s="104"/>
      <c r="Q1168" s="104"/>
      <c r="R1168" s="104"/>
      <c r="S1168" s="104"/>
      <c r="T1168" s="104"/>
      <c r="U1168" s="104"/>
      <c r="V1168" s="104"/>
      <c r="W1168" s="104"/>
      <c r="X1168" s="104"/>
      <c r="Y1168" s="104"/>
      <c r="Z1168" s="104"/>
      <c r="AA1168" s="104"/>
      <c r="AB1168" s="104"/>
      <c r="AC1168" s="104"/>
    </row>
    <row r="1169" customFormat="false" ht="15" hidden="false" customHeight="false" outlineLevel="0" collapsed="false">
      <c r="A1169" s="104"/>
      <c r="B1169" s="104"/>
      <c r="C1169" s="147"/>
      <c r="D1169" s="104"/>
      <c r="E1169" s="104"/>
      <c r="F1169" s="104"/>
      <c r="G1169" s="104"/>
      <c r="H1169" s="104"/>
      <c r="I1169" s="104"/>
      <c r="J1169" s="104"/>
      <c r="K1169" s="104"/>
      <c r="L1169" s="104"/>
      <c r="M1169" s="104"/>
      <c r="N1169" s="104"/>
      <c r="O1169" s="104"/>
      <c r="P1169" s="104"/>
      <c r="Q1169" s="104"/>
      <c r="R1169" s="104"/>
      <c r="S1169" s="104"/>
      <c r="T1169" s="104"/>
      <c r="U1169" s="104"/>
      <c r="V1169" s="104"/>
      <c r="W1169" s="104"/>
      <c r="X1169" s="104"/>
      <c r="Y1169" s="104"/>
      <c r="Z1169" s="104"/>
      <c r="AA1169" s="104"/>
      <c r="AB1169" s="104"/>
      <c r="AC1169" s="104"/>
    </row>
    <row r="1170" customFormat="false" ht="15" hidden="false" customHeight="false" outlineLevel="0" collapsed="false">
      <c r="A1170" s="104"/>
      <c r="B1170" s="104"/>
      <c r="C1170" s="147"/>
      <c r="D1170" s="104"/>
      <c r="E1170" s="104"/>
      <c r="F1170" s="104"/>
      <c r="G1170" s="104"/>
      <c r="H1170" s="104"/>
      <c r="I1170" s="104"/>
      <c r="J1170" s="104"/>
      <c r="K1170" s="104"/>
      <c r="L1170" s="104"/>
      <c r="M1170" s="104"/>
      <c r="N1170" s="104"/>
      <c r="O1170" s="104"/>
      <c r="P1170" s="104"/>
      <c r="Q1170" s="104"/>
      <c r="R1170" s="104"/>
      <c r="S1170" s="104"/>
      <c r="T1170" s="104"/>
      <c r="U1170" s="104"/>
      <c r="V1170" s="104"/>
      <c r="W1170" s="104"/>
      <c r="X1170" s="104"/>
      <c r="Y1170" s="104"/>
      <c r="Z1170" s="104"/>
      <c r="AA1170" s="104"/>
      <c r="AB1170" s="104"/>
      <c r="AC1170" s="104"/>
    </row>
    <row r="1171" customFormat="false" ht="15" hidden="false" customHeight="false" outlineLevel="0" collapsed="false">
      <c r="A1171" s="104"/>
      <c r="B1171" s="104"/>
      <c r="C1171" s="147"/>
      <c r="D1171" s="104"/>
      <c r="E1171" s="104"/>
      <c r="F1171" s="104"/>
      <c r="G1171" s="104"/>
      <c r="H1171" s="104"/>
      <c r="I1171" s="104"/>
      <c r="J1171" s="104"/>
      <c r="K1171" s="104"/>
      <c r="L1171" s="104"/>
      <c r="M1171" s="104"/>
      <c r="N1171" s="104"/>
      <c r="O1171" s="104"/>
      <c r="P1171" s="104"/>
      <c r="Q1171" s="104"/>
      <c r="R1171" s="104"/>
      <c r="S1171" s="104"/>
      <c r="T1171" s="104"/>
      <c r="U1171" s="104"/>
      <c r="V1171" s="104"/>
      <c r="W1171" s="104"/>
      <c r="X1171" s="104"/>
      <c r="Y1171" s="104"/>
      <c r="Z1171" s="104"/>
      <c r="AA1171" s="104"/>
      <c r="AB1171" s="104"/>
      <c r="AC1171" s="104"/>
    </row>
    <row r="1172" customFormat="false" ht="15" hidden="false" customHeight="false" outlineLevel="0" collapsed="false">
      <c r="A1172" s="104"/>
      <c r="B1172" s="104"/>
      <c r="C1172" s="147"/>
      <c r="D1172" s="104"/>
      <c r="E1172" s="104"/>
      <c r="F1172" s="104"/>
      <c r="G1172" s="104"/>
      <c r="H1172" s="104"/>
      <c r="I1172" s="104"/>
      <c r="J1172" s="104"/>
      <c r="K1172" s="104"/>
      <c r="L1172" s="104"/>
      <c r="M1172" s="104"/>
      <c r="N1172" s="104"/>
      <c r="O1172" s="104"/>
      <c r="P1172" s="104"/>
      <c r="Q1172" s="104"/>
      <c r="R1172" s="104"/>
      <c r="S1172" s="104"/>
      <c r="T1172" s="104"/>
      <c r="U1172" s="104"/>
      <c r="V1172" s="104"/>
      <c r="W1172" s="104"/>
      <c r="X1172" s="104"/>
      <c r="Y1172" s="104"/>
      <c r="Z1172" s="104"/>
      <c r="AA1172" s="104"/>
      <c r="AB1172" s="104"/>
      <c r="AC1172" s="104"/>
    </row>
    <row r="1173" customFormat="false" ht="15" hidden="false" customHeight="false" outlineLevel="0" collapsed="false">
      <c r="A1173" s="104"/>
      <c r="B1173" s="104"/>
      <c r="C1173" s="147"/>
      <c r="D1173" s="104"/>
      <c r="E1173" s="104"/>
      <c r="F1173" s="104"/>
      <c r="G1173" s="104"/>
      <c r="H1173" s="104"/>
      <c r="I1173" s="104"/>
      <c r="J1173" s="104"/>
      <c r="K1173" s="104"/>
      <c r="L1173" s="104"/>
      <c r="M1173" s="104"/>
      <c r="N1173" s="104"/>
      <c r="O1173" s="104"/>
      <c r="P1173" s="104"/>
      <c r="Q1173" s="104"/>
      <c r="R1173" s="104"/>
      <c r="S1173" s="104"/>
      <c r="T1173" s="104"/>
      <c r="U1173" s="104"/>
      <c r="V1173" s="104"/>
      <c r="W1173" s="104"/>
      <c r="X1173" s="104"/>
      <c r="Y1173" s="104"/>
      <c r="Z1173" s="104"/>
      <c r="AA1173" s="104"/>
      <c r="AB1173" s="104"/>
      <c r="AC1173" s="104"/>
    </row>
    <row r="1174" customFormat="false" ht="15" hidden="false" customHeight="false" outlineLevel="0" collapsed="false">
      <c r="A1174" s="104"/>
      <c r="B1174" s="104"/>
      <c r="C1174" s="147"/>
      <c r="D1174" s="104"/>
      <c r="E1174" s="104"/>
      <c r="F1174" s="104"/>
      <c r="G1174" s="104"/>
      <c r="H1174" s="104"/>
      <c r="I1174" s="104"/>
      <c r="J1174" s="104"/>
      <c r="K1174" s="104"/>
      <c r="L1174" s="104"/>
      <c r="M1174" s="104"/>
      <c r="N1174" s="104"/>
      <c r="O1174" s="104"/>
      <c r="P1174" s="104"/>
      <c r="Q1174" s="104"/>
      <c r="R1174" s="104"/>
      <c r="S1174" s="104"/>
      <c r="T1174" s="104"/>
      <c r="U1174" s="104"/>
      <c r="V1174" s="104"/>
      <c r="W1174" s="104"/>
      <c r="X1174" s="104"/>
      <c r="Y1174" s="104"/>
      <c r="Z1174" s="104"/>
      <c r="AA1174" s="104"/>
      <c r="AB1174" s="104"/>
      <c r="AC1174" s="104"/>
    </row>
    <row r="1175" customFormat="false" ht="15" hidden="false" customHeight="false" outlineLevel="0" collapsed="false">
      <c r="A1175" s="104"/>
      <c r="B1175" s="104"/>
      <c r="C1175" s="147"/>
      <c r="D1175" s="104"/>
      <c r="E1175" s="104"/>
      <c r="F1175" s="104"/>
      <c r="G1175" s="104"/>
      <c r="H1175" s="104"/>
      <c r="I1175" s="104"/>
      <c r="J1175" s="104"/>
      <c r="K1175" s="104"/>
      <c r="L1175" s="104"/>
      <c r="M1175" s="104"/>
      <c r="N1175" s="104"/>
      <c r="O1175" s="104"/>
      <c r="P1175" s="104"/>
      <c r="Q1175" s="104"/>
      <c r="R1175" s="104"/>
      <c r="S1175" s="104"/>
      <c r="T1175" s="104"/>
      <c r="U1175" s="104"/>
      <c r="V1175" s="104"/>
      <c r="W1175" s="104"/>
      <c r="X1175" s="104"/>
      <c r="Y1175" s="104"/>
      <c r="Z1175" s="104"/>
      <c r="AA1175" s="104"/>
      <c r="AB1175" s="104"/>
      <c r="AC1175" s="104"/>
    </row>
    <row r="1176" customFormat="false" ht="15" hidden="false" customHeight="false" outlineLevel="0" collapsed="false">
      <c r="A1176" s="104"/>
      <c r="B1176" s="104"/>
      <c r="C1176" s="147"/>
      <c r="D1176" s="104"/>
      <c r="E1176" s="104"/>
      <c r="F1176" s="104"/>
      <c r="G1176" s="104"/>
      <c r="H1176" s="104"/>
      <c r="I1176" s="104"/>
      <c r="J1176" s="104"/>
      <c r="K1176" s="104"/>
      <c r="L1176" s="104"/>
      <c r="M1176" s="104"/>
      <c r="N1176" s="104"/>
      <c r="O1176" s="104"/>
      <c r="P1176" s="104"/>
      <c r="Q1176" s="104"/>
      <c r="R1176" s="104"/>
      <c r="S1176" s="104"/>
      <c r="T1176" s="104"/>
      <c r="U1176" s="104"/>
      <c r="V1176" s="104"/>
      <c r="W1176" s="104"/>
      <c r="X1176" s="104"/>
      <c r="Y1176" s="104"/>
      <c r="Z1176" s="104"/>
      <c r="AA1176" s="104"/>
      <c r="AB1176" s="104"/>
      <c r="AC1176" s="104"/>
    </row>
    <row r="1177" customFormat="false" ht="15" hidden="false" customHeight="false" outlineLevel="0" collapsed="false">
      <c r="A1177" s="104"/>
      <c r="B1177" s="104"/>
      <c r="C1177" s="147"/>
      <c r="D1177" s="104"/>
      <c r="E1177" s="104"/>
      <c r="F1177" s="104"/>
      <c r="G1177" s="104"/>
      <c r="H1177" s="104"/>
      <c r="I1177" s="104"/>
      <c r="J1177" s="104"/>
      <c r="K1177" s="104"/>
      <c r="L1177" s="104"/>
      <c r="M1177" s="104"/>
      <c r="N1177" s="104"/>
      <c r="O1177" s="104"/>
      <c r="P1177" s="104"/>
      <c r="Q1177" s="104"/>
      <c r="R1177" s="104"/>
      <c r="S1177" s="104"/>
      <c r="T1177" s="104"/>
      <c r="U1177" s="104"/>
      <c r="V1177" s="104"/>
      <c r="W1177" s="104"/>
      <c r="X1177" s="104"/>
      <c r="Y1177" s="104"/>
      <c r="Z1177" s="104"/>
      <c r="AA1177" s="104"/>
      <c r="AB1177" s="104"/>
      <c r="AC1177" s="104"/>
    </row>
    <row r="1178" customFormat="false" ht="15" hidden="false" customHeight="false" outlineLevel="0" collapsed="false">
      <c r="A1178" s="104"/>
      <c r="B1178" s="104"/>
      <c r="C1178" s="147"/>
      <c r="D1178" s="104"/>
      <c r="E1178" s="104"/>
      <c r="F1178" s="104"/>
      <c r="G1178" s="104"/>
      <c r="H1178" s="104"/>
      <c r="I1178" s="104"/>
      <c r="J1178" s="104"/>
      <c r="K1178" s="104"/>
      <c r="L1178" s="104"/>
      <c r="M1178" s="104"/>
      <c r="N1178" s="104"/>
      <c r="O1178" s="104"/>
      <c r="P1178" s="104"/>
      <c r="Q1178" s="104"/>
      <c r="R1178" s="104"/>
      <c r="S1178" s="104"/>
      <c r="T1178" s="104"/>
      <c r="U1178" s="104"/>
      <c r="V1178" s="104"/>
      <c r="W1178" s="104"/>
      <c r="X1178" s="104"/>
      <c r="Y1178" s="104"/>
      <c r="Z1178" s="104"/>
      <c r="AA1178" s="104"/>
      <c r="AB1178" s="104"/>
      <c r="AC1178" s="104"/>
    </row>
    <row r="1179" customFormat="false" ht="15" hidden="false" customHeight="false" outlineLevel="0" collapsed="false">
      <c r="A1179" s="104"/>
      <c r="B1179" s="104"/>
      <c r="C1179" s="147"/>
      <c r="D1179" s="104"/>
      <c r="E1179" s="104"/>
      <c r="F1179" s="104"/>
      <c r="G1179" s="104"/>
      <c r="H1179" s="104"/>
      <c r="I1179" s="104"/>
      <c r="J1179" s="104"/>
      <c r="K1179" s="104"/>
      <c r="L1179" s="104"/>
      <c r="M1179" s="104"/>
      <c r="N1179" s="104"/>
      <c r="O1179" s="104"/>
      <c r="P1179" s="104"/>
      <c r="Q1179" s="104"/>
      <c r="R1179" s="104"/>
      <c r="S1179" s="104"/>
      <c r="T1179" s="104"/>
      <c r="U1179" s="104"/>
      <c r="V1179" s="104"/>
      <c r="W1179" s="104"/>
      <c r="X1179" s="104"/>
      <c r="Y1179" s="104"/>
      <c r="Z1179" s="104"/>
      <c r="AA1179" s="104"/>
      <c r="AB1179" s="104"/>
      <c r="AC1179" s="104"/>
    </row>
    <row r="1180" customFormat="false" ht="15" hidden="false" customHeight="false" outlineLevel="0" collapsed="false">
      <c r="A1180" s="104"/>
      <c r="B1180" s="104"/>
      <c r="C1180" s="147"/>
      <c r="D1180" s="104"/>
      <c r="E1180" s="104"/>
      <c r="F1180" s="104"/>
      <c r="G1180" s="104"/>
      <c r="H1180" s="104"/>
      <c r="I1180" s="104"/>
      <c r="J1180" s="104"/>
      <c r="K1180" s="104"/>
      <c r="L1180" s="104"/>
      <c r="M1180" s="104"/>
      <c r="N1180" s="104"/>
      <c r="O1180" s="104"/>
      <c r="P1180" s="104"/>
      <c r="Q1180" s="104"/>
      <c r="R1180" s="104"/>
      <c r="S1180" s="104"/>
      <c r="T1180" s="104"/>
      <c r="U1180" s="104"/>
      <c r="V1180" s="104"/>
      <c r="W1180" s="104"/>
      <c r="X1180" s="104"/>
      <c r="Y1180" s="104"/>
      <c r="Z1180" s="104"/>
      <c r="AA1180" s="104"/>
      <c r="AB1180" s="104"/>
      <c r="AC1180" s="104"/>
    </row>
    <row r="1181" customFormat="false" ht="15" hidden="false" customHeight="false" outlineLevel="0" collapsed="false">
      <c r="A1181" s="104"/>
      <c r="B1181" s="104"/>
      <c r="C1181" s="147"/>
      <c r="D1181" s="104"/>
      <c r="E1181" s="104"/>
      <c r="F1181" s="104"/>
      <c r="G1181" s="104"/>
      <c r="H1181" s="104"/>
      <c r="I1181" s="104"/>
      <c r="J1181" s="104"/>
      <c r="K1181" s="104"/>
      <c r="L1181" s="104"/>
      <c r="M1181" s="104"/>
      <c r="N1181" s="104"/>
      <c r="O1181" s="104"/>
      <c r="P1181" s="104"/>
      <c r="Q1181" s="104"/>
      <c r="R1181" s="104"/>
      <c r="S1181" s="104"/>
      <c r="T1181" s="104"/>
      <c r="U1181" s="104"/>
      <c r="V1181" s="104"/>
      <c r="W1181" s="104"/>
      <c r="X1181" s="104"/>
      <c r="Y1181" s="104"/>
      <c r="Z1181" s="104"/>
      <c r="AA1181" s="104"/>
      <c r="AB1181" s="104"/>
      <c r="AC1181" s="104"/>
    </row>
    <row r="1182" customFormat="false" ht="15" hidden="false" customHeight="false" outlineLevel="0" collapsed="false">
      <c r="A1182" s="104"/>
      <c r="B1182" s="104"/>
      <c r="C1182" s="147"/>
      <c r="D1182" s="104"/>
      <c r="E1182" s="104"/>
      <c r="F1182" s="104"/>
      <c r="G1182" s="104"/>
      <c r="H1182" s="104"/>
      <c r="I1182" s="104"/>
      <c r="J1182" s="104"/>
      <c r="K1182" s="104"/>
      <c r="L1182" s="104"/>
      <c r="M1182" s="104"/>
      <c r="N1182" s="104"/>
      <c r="O1182" s="104"/>
      <c r="P1182" s="104"/>
      <c r="Q1182" s="104"/>
      <c r="R1182" s="104"/>
      <c r="S1182" s="104"/>
      <c r="T1182" s="104"/>
      <c r="U1182" s="104"/>
      <c r="V1182" s="104"/>
      <c r="W1182" s="104"/>
      <c r="X1182" s="104"/>
      <c r="Y1182" s="104"/>
      <c r="Z1182" s="104"/>
      <c r="AA1182" s="104"/>
      <c r="AB1182" s="104"/>
      <c r="AC1182" s="104"/>
    </row>
    <row r="1183" customFormat="false" ht="15" hidden="false" customHeight="false" outlineLevel="0" collapsed="false">
      <c r="A1183" s="104"/>
      <c r="B1183" s="104"/>
      <c r="C1183" s="147"/>
      <c r="D1183" s="104"/>
      <c r="E1183" s="104"/>
      <c r="F1183" s="104"/>
      <c r="G1183" s="104"/>
      <c r="H1183" s="104"/>
      <c r="I1183" s="104"/>
      <c r="J1183" s="104"/>
      <c r="K1183" s="104"/>
      <c r="L1183" s="104"/>
      <c r="M1183" s="104"/>
      <c r="N1183" s="104"/>
      <c r="O1183" s="104"/>
      <c r="P1183" s="104"/>
      <c r="Q1183" s="104"/>
      <c r="R1183" s="104"/>
      <c r="S1183" s="104"/>
      <c r="T1183" s="104"/>
      <c r="U1183" s="104"/>
      <c r="V1183" s="104"/>
      <c r="W1183" s="104"/>
      <c r="X1183" s="104"/>
      <c r="Y1183" s="104"/>
      <c r="Z1183" s="104"/>
      <c r="AA1183" s="104"/>
      <c r="AB1183" s="104"/>
      <c r="AC1183" s="104"/>
    </row>
    <row r="1184" customFormat="false" ht="15" hidden="false" customHeight="false" outlineLevel="0" collapsed="false">
      <c r="A1184" s="104"/>
      <c r="B1184" s="104"/>
      <c r="C1184" s="147"/>
      <c r="D1184" s="104"/>
      <c r="E1184" s="104"/>
      <c r="F1184" s="104"/>
      <c r="G1184" s="104"/>
      <c r="H1184" s="104"/>
      <c r="I1184" s="104"/>
      <c r="J1184" s="104"/>
      <c r="K1184" s="104"/>
      <c r="L1184" s="104"/>
      <c r="M1184" s="104"/>
      <c r="N1184" s="104"/>
      <c r="O1184" s="104"/>
      <c r="P1184" s="104"/>
      <c r="Q1184" s="104"/>
      <c r="R1184" s="104"/>
      <c r="S1184" s="104"/>
      <c r="T1184" s="104"/>
      <c r="U1184" s="104"/>
      <c r="V1184" s="104"/>
      <c r="W1184" s="104"/>
      <c r="X1184" s="104"/>
      <c r="Y1184" s="104"/>
      <c r="Z1184" s="104"/>
      <c r="AA1184" s="104"/>
      <c r="AB1184" s="104"/>
      <c r="AC1184" s="104"/>
    </row>
    <row r="1185" customFormat="false" ht="15" hidden="false" customHeight="false" outlineLevel="0" collapsed="false">
      <c r="A1185" s="104"/>
      <c r="B1185" s="104"/>
      <c r="C1185" s="147"/>
      <c r="D1185" s="104"/>
      <c r="E1185" s="104"/>
      <c r="F1185" s="104"/>
      <c r="G1185" s="104"/>
      <c r="H1185" s="104"/>
      <c r="I1185" s="104"/>
      <c r="J1185" s="104"/>
      <c r="K1185" s="104"/>
      <c r="L1185" s="104"/>
      <c r="M1185" s="104"/>
      <c r="N1185" s="104"/>
      <c r="O1185" s="104"/>
      <c r="P1185" s="104"/>
      <c r="Q1185" s="104"/>
      <c r="R1185" s="104"/>
      <c r="S1185" s="104"/>
      <c r="T1185" s="104"/>
      <c r="U1185" s="104"/>
      <c r="V1185" s="104"/>
      <c r="W1185" s="104"/>
      <c r="X1185" s="104"/>
      <c r="Y1185" s="104"/>
      <c r="Z1185" s="104"/>
      <c r="AA1185" s="104"/>
      <c r="AB1185" s="104"/>
      <c r="AC1185" s="104"/>
    </row>
    <row r="1186" customFormat="false" ht="15" hidden="false" customHeight="false" outlineLevel="0" collapsed="false">
      <c r="A1186" s="104"/>
      <c r="B1186" s="104"/>
      <c r="C1186" s="147"/>
      <c r="D1186" s="104"/>
      <c r="E1186" s="104"/>
      <c r="F1186" s="104"/>
      <c r="G1186" s="104"/>
      <c r="H1186" s="104"/>
      <c r="I1186" s="104"/>
      <c r="J1186" s="104"/>
      <c r="K1186" s="104"/>
      <c r="L1186" s="104"/>
      <c r="M1186" s="104"/>
      <c r="N1186" s="104"/>
      <c r="O1186" s="104"/>
      <c r="P1186" s="104"/>
      <c r="Q1186" s="104"/>
      <c r="R1186" s="104"/>
      <c r="S1186" s="104"/>
      <c r="T1186" s="104"/>
      <c r="U1186" s="104"/>
      <c r="V1186" s="104"/>
      <c r="W1186" s="104"/>
      <c r="X1186" s="104"/>
      <c r="Y1186" s="104"/>
      <c r="Z1186" s="104"/>
      <c r="AA1186" s="104"/>
      <c r="AB1186" s="104"/>
      <c r="AC1186" s="104"/>
    </row>
    <row r="1187" customFormat="false" ht="15" hidden="false" customHeight="false" outlineLevel="0" collapsed="false">
      <c r="A1187" s="104"/>
      <c r="B1187" s="104"/>
      <c r="C1187" s="147"/>
      <c r="D1187" s="104"/>
      <c r="E1187" s="104"/>
      <c r="F1187" s="104"/>
      <c r="G1187" s="104"/>
      <c r="H1187" s="104"/>
      <c r="I1187" s="104"/>
      <c r="J1187" s="104"/>
      <c r="K1187" s="104"/>
      <c r="L1187" s="104"/>
      <c r="M1187" s="104"/>
      <c r="N1187" s="104"/>
      <c r="O1187" s="104"/>
      <c r="P1187" s="104"/>
      <c r="Q1187" s="104"/>
      <c r="R1187" s="104"/>
      <c r="S1187" s="104"/>
      <c r="T1187" s="104"/>
      <c r="U1187" s="104"/>
      <c r="V1187" s="104"/>
      <c r="W1187" s="104"/>
      <c r="X1187" s="104"/>
      <c r="Y1187" s="104"/>
      <c r="Z1187" s="104"/>
      <c r="AA1187" s="104"/>
      <c r="AB1187" s="104"/>
      <c r="AC1187" s="104"/>
    </row>
    <row r="1188" customFormat="false" ht="15" hidden="false" customHeight="false" outlineLevel="0" collapsed="false">
      <c r="A1188" s="104"/>
      <c r="B1188" s="104"/>
      <c r="C1188" s="147"/>
      <c r="D1188" s="104"/>
      <c r="E1188" s="104"/>
      <c r="F1188" s="104"/>
      <c r="G1188" s="104"/>
      <c r="H1188" s="104"/>
      <c r="I1188" s="104"/>
      <c r="J1188" s="104"/>
      <c r="K1188" s="104"/>
      <c r="L1188" s="104"/>
      <c r="M1188" s="104"/>
      <c r="N1188" s="104"/>
      <c r="O1188" s="104"/>
      <c r="P1188" s="104"/>
      <c r="Q1188" s="104"/>
      <c r="R1188" s="104"/>
      <c r="S1188" s="104"/>
      <c r="T1188" s="104"/>
      <c r="U1188" s="104"/>
      <c r="V1188" s="104"/>
      <c r="W1188" s="104"/>
      <c r="X1188" s="104"/>
      <c r="Y1188" s="104"/>
      <c r="Z1188" s="104"/>
      <c r="AA1188" s="104"/>
      <c r="AB1188" s="104"/>
      <c r="AC1188" s="104"/>
    </row>
    <row r="1189" customFormat="false" ht="15" hidden="false" customHeight="false" outlineLevel="0" collapsed="false">
      <c r="A1189" s="104"/>
      <c r="B1189" s="104"/>
      <c r="C1189" s="147"/>
      <c r="D1189" s="104"/>
      <c r="E1189" s="104"/>
      <c r="F1189" s="104"/>
      <c r="G1189" s="104"/>
      <c r="H1189" s="104"/>
      <c r="I1189" s="104"/>
      <c r="J1189" s="104"/>
      <c r="K1189" s="104"/>
      <c r="L1189" s="104"/>
      <c r="M1189" s="104"/>
      <c r="N1189" s="104"/>
      <c r="O1189" s="104"/>
      <c r="P1189" s="104"/>
      <c r="Q1189" s="104"/>
      <c r="R1189" s="104"/>
      <c r="S1189" s="104"/>
      <c r="T1189" s="104"/>
      <c r="U1189" s="104"/>
      <c r="V1189" s="104"/>
      <c r="W1189" s="104"/>
      <c r="X1189" s="104"/>
      <c r="Y1189" s="104"/>
      <c r="Z1189" s="104"/>
      <c r="AA1189" s="104"/>
      <c r="AB1189" s="104"/>
      <c r="AC1189" s="104"/>
    </row>
    <row r="1190" customFormat="false" ht="15" hidden="false" customHeight="false" outlineLevel="0" collapsed="false">
      <c r="A1190" s="104"/>
      <c r="B1190" s="104"/>
      <c r="C1190" s="147"/>
      <c r="D1190" s="104"/>
      <c r="E1190" s="104"/>
      <c r="F1190" s="104"/>
      <c r="G1190" s="104"/>
      <c r="H1190" s="104"/>
      <c r="I1190" s="104"/>
      <c r="J1190" s="104"/>
      <c r="K1190" s="104"/>
      <c r="L1190" s="104"/>
      <c r="M1190" s="104"/>
      <c r="N1190" s="104"/>
      <c r="O1190" s="104"/>
      <c r="P1190" s="104"/>
      <c r="Q1190" s="104"/>
      <c r="R1190" s="104"/>
      <c r="S1190" s="104"/>
      <c r="T1190" s="104"/>
      <c r="U1190" s="104"/>
      <c r="V1190" s="104"/>
      <c r="W1190" s="104"/>
      <c r="X1190" s="104"/>
      <c r="Y1190" s="104"/>
      <c r="Z1190" s="104"/>
      <c r="AA1190" s="104"/>
      <c r="AB1190" s="104"/>
      <c r="AC1190" s="104"/>
    </row>
    <row r="1191" customFormat="false" ht="15" hidden="false" customHeight="false" outlineLevel="0" collapsed="false">
      <c r="A1191" s="104"/>
      <c r="B1191" s="104"/>
      <c r="C1191" s="147"/>
      <c r="D1191" s="104"/>
      <c r="E1191" s="104"/>
      <c r="F1191" s="104"/>
      <c r="G1191" s="104"/>
      <c r="H1191" s="104"/>
      <c r="I1191" s="104"/>
      <c r="J1191" s="104"/>
      <c r="K1191" s="104"/>
      <c r="L1191" s="104"/>
      <c r="M1191" s="104"/>
      <c r="N1191" s="104"/>
      <c r="O1191" s="104"/>
      <c r="P1191" s="104"/>
      <c r="Q1191" s="104"/>
      <c r="R1191" s="104"/>
      <c r="S1191" s="104"/>
      <c r="T1191" s="104"/>
      <c r="U1191" s="104"/>
      <c r="V1191" s="104"/>
      <c r="W1191" s="104"/>
      <c r="X1191" s="104"/>
      <c r="Y1191" s="104"/>
      <c r="Z1191" s="104"/>
      <c r="AA1191" s="104"/>
      <c r="AB1191" s="104"/>
      <c r="AC1191" s="104"/>
    </row>
    <row r="1192" customFormat="false" ht="15" hidden="false" customHeight="false" outlineLevel="0" collapsed="false">
      <c r="A1192" s="104"/>
      <c r="B1192" s="104"/>
      <c r="C1192" s="147"/>
      <c r="D1192" s="104"/>
      <c r="E1192" s="104"/>
      <c r="F1192" s="104"/>
      <c r="G1192" s="104"/>
      <c r="H1192" s="104"/>
      <c r="I1192" s="104"/>
      <c r="J1192" s="104"/>
      <c r="K1192" s="104"/>
      <c r="L1192" s="104"/>
      <c r="M1192" s="104"/>
      <c r="N1192" s="104"/>
      <c r="O1192" s="104"/>
      <c r="P1192" s="104"/>
      <c r="Q1192" s="104"/>
      <c r="R1192" s="104"/>
      <c r="S1192" s="104"/>
      <c r="T1192" s="104"/>
      <c r="U1192" s="104"/>
      <c r="V1192" s="104"/>
      <c r="W1192" s="104"/>
      <c r="X1192" s="104"/>
      <c r="Y1192" s="104"/>
      <c r="Z1192" s="104"/>
      <c r="AA1192" s="104"/>
      <c r="AB1192" s="104"/>
      <c r="AC1192" s="104"/>
    </row>
    <row r="1193" customFormat="false" ht="15" hidden="false" customHeight="false" outlineLevel="0" collapsed="false">
      <c r="A1193" s="104"/>
      <c r="B1193" s="104"/>
      <c r="C1193" s="147"/>
      <c r="D1193" s="104"/>
      <c r="E1193" s="104"/>
      <c r="F1193" s="104"/>
      <c r="G1193" s="104"/>
      <c r="H1193" s="104"/>
      <c r="I1193" s="104"/>
      <c r="J1193" s="104"/>
      <c r="K1193" s="104"/>
      <c r="L1193" s="104"/>
      <c r="M1193" s="104"/>
      <c r="N1193" s="104"/>
      <c r="O1193" s="104"/>
      <c r="P1193" s="104"/>
      <c r="Q1193" s="104"/>
      <c r="R1193" s="104"/>
      <c r="S1193" s="104"/>
      <c r="T1193" s="104"/>
      <c r="U1193" s="104"/>
      <c r="V1193" s="104"/>
      <c r="W1193" s="104"/>
      <c r="X1193" s="104"/>
      <c r="Y1193" s="104"/>
      <c r="Z1193" s="104"/>
      <c r="AA1193" s="104"/>
      <c r="AB1193" s="104"/>
      <c r="AC1193" s="104"/>
    </row>
    <row r="1194" customFormat="false" ht="15" hidden="false" customHeight="false" outlineLevel="0" collapsed="false">
      <c r="A1194" s="104"/>
      <c r="B1194" s="104"/>
      <c r="C1194" s="147"/>
      <c r="D1194" s="104"/>
      <c r="E1194" s="104"/>
      <c r="F1194" s="104"/>
      <c r="G1194" s="104"/>
      <c r="H1194" s="104"/>
      <c r="I1194" s="104"/>
      <c r="J1194" s="104"/>
      <c r="K1194" s="104"/>
      <c r="L1194" s="104"/>
      <c r="M1194" s="104"/>
      <c r="N1194" s="104"/>
      <c r="O1194" s="104"/>
      <c r="P1194" s="104"/>
      <c r="Q1194" s="104"/>
      <c r="R1194" s="104"/>
      <c r="S1194" s="104"/>
      <c r="T1194" s="104"/>
      <c r="U1194" s="104"/>
      <c r="V1194" s="104"/>
      <c r="W1194" s="104"/>
      <c r="X1194" s="104"/>
      <c r="Y1194" s="104"/>
      <c r="Z1194" s="104"/>
      <c r="AA1194" s="104"/>
      <c r="AB1194" s="104"/>
      <c r="AC1194" s="104"/>
    </row>
    <row r="1195" customFormat="false" ht="15" hidden="false" customHeight="false" outlineLevel="0" collapsed="false">
      <c r="A1195" s="104"/>
      <c r="B1195" s="104"/>
      <c r="C1195" s="147"/>
      <c r="D1195" s="104"/>
      <c r="E1195" s="104"/>
      <c r="F1195" s="104"/>
      <c r="G1195" s="104"/>
      <c r="H1195" s="104"/>
      <c r="I1195" s="104"/>
      <c r="J1195" s="104"/>
      <c r="K1195" s="104"/>
      <c r="L1195" s="104"/>
      <c r="M1195" s="104"/>
      <c r="N1195" s="104"/>
      <c r="O1195" s="104"/>
      <c r="P1195" s="104"/>
      <c r="Q1195" s="104"/>
      <c r="R1195" s="104"/>
      <c r="S1195" s="104"/>
      <c r="T1195" s="104"/>
      <c r="U1195" s="104"/>
      <c r="V1195" s="104"/>
      <c r="W1195" s="104"/>
      <c r="X1195" s="104"/>
      <c r="Y1195" s="104"/>
      <c r="Z1195" s="104"/>
      <c r="AA1195" s="104"/>
      <c r="AB1195" s="104"/>
      <c r="AC1195" s="104"/>
    </row>
    <row r="1196" customFormat="false" ht="15" hidden="false" customHeight="false" outlineLevel="0" collapsed="false">
      <c r="A1196" s="104"/>
      <c r="B1196" s="104"/>
      <c r="C1196" s="147"/>
      <c r="D1196" s="104"/>
      <c r="E1196" s="104"/>
      <c r="F1196" s="104"/>
      <c r="G1196" s="104"/>
      <c r="H1196" s="104"/>
      <c r="I1196" s="104"/>
      <c r="J1196" s="104"/>
      <c r="K1196" s="104"/>
      <c r="L1196" s="104"/>
      <c r="M1196" s="104"/>
      <c r="N1196" s="104"/>
      <c r="O1196" s="104"/>
      <c r="P1196" s="104"/>
      <c r="Q1196" s="104"/>
      <c r="R1196" s="104"/>
      <c r="S1196" s="104"/>
      <c r="T1196" s="104"/>
      <c r="U1196" s="104"/>
      <c r="V1196" s="104"/>
      <c r="W1196" s="104"/>
      <c r="X1196" s="104"/>
      <c r="Y1196" s="104"/>
      <c r="Z1196" s="104"/>
      <c r="AA1196" s="104"/>
      <c r="AB1196" s="104"/>
      <c r="AC1196" s="104"/>
    </row>
    <row r="1197" customFormat="false" ht="15" hidden="false" customHeight="false" outlineLevel="0" collapsed="false">
      <c r="A1197" s="104"/>
      <c r="B1197" s="104"/>
      <c r="C1197" s="147"/>
      <c r="D1197" s="104"/>
      <c r="E1197" s="104"/>
      <c r="F1197" s="104"/>
      <c r="G1197" s="104"/>
      <c r="H1197" s="104"/>
      <c r="I1197" s="104"/>
      <c r="J1197" s="104"/>
      <c r="K1197" s="104"/>
      <c r="L1197" s="104"/>
      <c r="M1197" s="104"/>
      <c r="N1197" s="104"/>
      <c r="O1197" s="104"/>
      <c r="P1197" s="104"/>
      <c r="Q1197" s="104"/>
      <c r="R1197" s="104"/>
      <c r="S1197" s="104"/>
      <c r="T1197" s="104"/>
      <c r="U1197" s="104"/>
      <c r="V1197" s="104"/>
      <c r="W1197" s="104"/>
      <c r="X1197" s="104"/>
      <c r="Y1197" s="104"/>
      <c r="Z1197" s="104"/>
      <c r="AA1197" s="104"/>
      <c r="AB1197" s="104"/>
      <c r="AC1197" s="104"/>
    </row>
    <row r="1198" customFormat="false" ht="15" hidden="false" customHeight="false" outlineLevel="0" collapsed="false">
      <c r="A1198" s="104"/>
      <c r="B1198" s="104"/>
      <c r="C1198" s="147"/>
      <c r="D1198" s="104"/>
      <c r="E1198" s="104"/>
      <c r="F1198" s="104"/>
      <c r="G1198" s="104"/>
      <c r="H1198" s="104"/>
      <c r="I1198" s="104"/>
      <c r="J1198" s="104"/>
      <c r="K1198" s="104"/>
      <c r="L1198" s="104"/>
      <c r="M1198" s="104"/>
      <c r="N1198" s="104"/>
      <c r="O1198" s="104"/>
      <c r="P1198" s="104"/>
      <c r="Q1198" s="104"/>
      <c r="R1198" s="104"/>
      <c r="S1198" s="104"/>
      <c r="T1198" s="104"/>
      <c r="U1198" s="104"/>
      <c r="V1198" s="104"/>
      <c r="W1198" s="104"/>
      <c r="X1198" s="104"/>
      <c r="Y1198" s="104"/>
      <c r="Z1198" s="104"/>
      <c r="AA1198" s="104"/>
      <c r="AB1198" s="104"/>
      <c r="AC1198" s="104"/>
    </row>
    <row r="1199" customFormat="false" ht="15" hidden="false" customHeight="false" outlineLevel="0" collapsed="false">
      <c r="A1199" s="104"/>
      <c r="B1199" s="104"/>
      <c r="C1199" s="147"/>
      <c r="D1199" s="104"/>
      <c r="E1199" s="104"/>
      <c r="F1199" s="104"/>
      <c r="G1199" s="104"/>
      <c r="H1199" s="104"/>
      <c r="I1199" s="104"/>
      <c r="J1199" s="104"/>
      <c r="K1199" s="104"/>
      <c r="L1199" s="104"/>
      <c r="M1199" s="104"/>
      <c r="N1199" s="104"/>
      <c r="O1199" s="104"/>
      <c r="P1199" s="104"/>
      <c r="Q1199" s="104"/>
      <c r="R1199" s="104"/>
      <c r="S1199" s="104"/>
      <c r="T1199" s="104"/>
      <c r="U1199" s="104"/>
      <c r="V1199" s="104"/>
      <c r="W1199" s="104"/>
      <c r="X1199" s="104"/>
      <c r="Y1199" s="104"/>
      <c r="Z1199" s="104"/>
      <c r="AA1199" s="104"/>
      <c r="AB1199" s="104"/>
      <c r="AC1199" s="104"/>
    </row>
    <row r="1200" customFormat="false" ht="15" hidden="false" customHeight="false" outlineLevel="0" collapsed="false">
      <c r="A1200" s="104"/>
      <c r="B1200" s="104"/>
      <c r="C1200" s="147"/>
      <c r="D1200" s="104"/>
      <c r="E1200" s="104"/>
      <c r="F1200" s="104"/>
      <c r="G1200" s="104"/>
      <c r="H1200" s="104"/>
      <c r="I1200" s="104"/>
      <c r="J1200" s="104"/>
      <c r="K1200" s="104"/>
      <c r="L1200" s="104"/>
      <c r="M1200" s="104"/>
      <c r="N1200" s="104"/>
      <c r="O1200" s="104"/>
      <c r="P1200" s="104"/>
      <c r="Q1200" s="104"/>
      <c r="R1200" s="104"/>
      <c r="S1200" s="104"/>
      <c r="T1200" s="104"/>
      <c r="U1200" s="104"/>
      <c r="V1200" s="104"/>
      <c r="W1200" s="104"/>
      <c r="X1200" s="104"/>
      <c r="Y1200" s="104"/>
      <c r="Z1200" s="104"/>
      <c r="AA1200" s="104"/>
      <c r="AB1200" s="104"/>
      <c r="AC1200" s="104"/>
    </row>
    <row r="1201" customFormat="false" ht="15" hidden="false" customHeight="false" outlineLevel="0" collapsed="false">
      <c r="A1201" s="104"/>
      <c r="B1201" s="104"/>
      <c r="C1201" s="147"/>
      <c r="D1201" s="104"/>
      <c r="E1201" s="104"/>
      <c r="F1201" s="104"/>
      <c r="G1201" s="104"/>
      <c r="H1201" s="104"/>
      <c r="I1201" s="104"/>
      <c r="J1201" s="104"/>
      <c r="K1201" s="104"/>
      <c r="L1201" s="104"/>
      <c r="M1201" s="104"/>
      <c r="N1201" s="104"/>
      <c r="O1201" s="104"/>
      <c r="P1201" s="104"/>
      <c r="Q1201" s="104"/>
      <c r="R1201" s="104"/>
      <c r="S1201" s="104"/>
      <c r="T1201" s="104"/>
      <c r="U1201" s="104"/>
      <c r="V1201" s="104"/>
      <c r="W1201" s="104"/>
      <c r="X1201" s="104"/>
      <c r="Y1201" s="104"/>
      <c r="Z1201" s="104"/>
      <c r="AA1201" s="104"/>
      <c r="AB1201" s="104"/>
      <c r="AC1201" s="104"/>
    </row>
    <row r="1202" customFormat="false" ht="15" hidden="false" customHeight="false" outlineLevel="0" collapsed="false">
      <c r="A1202" s="104"/>
      <c r="B1202" s="104"/>
      <c r="C1202" s="147"/>
      <c r="D1202" s="104"/>
      <c r="E1202" s="104"/>
      <c r="F1202" s="104"/>
      <c r="G1202" s="104"/>
      <c r="H1202" s="104"/>
      <c r="I1202" s="104"/>
      <c r="J1202" s="104"/>
      <c r="K1202" s="104"/>
      <c r="L1202" s="104"/>
      <c r="M1202" s="104"/>
      <c r="N1202" s="104"/>
      <c r="O1202" s="104"/>
      <c r="P1202" s="104"/>
      <c r="Q1202" s="104"/>
      <c r="R1202" s="104"/>
      <c r="S1202" s="104"/>
      <c r="T1202" s="104"/>
      <c r="U1202" s="104"/>
      <c r="V1202" s="104"/>
      <c r="W1202" s="104"/>
      <c r="X1202" s="104"/>
      <c r="Y1202" s="104"/>
      <c r="Z1202" s="104"/>
      <c r="AA1202" s="104"/>
      <c r="AB1202" s="104"/>
      <c r="AC1202" s="104"/>
    </row>
    <row r="1203" customFormat="false" ht="15" hidden="false" customHeight="false" outlineLevel="0" collapsed="false">
      <c r="A1203" s="104"/>
      <c r="B1203" s="104"/>
      <c r="C1203" s="147"/>
      <c r="D1203" s="104"/>
      <c r="E1203" s="104"/>
      <c r="F1203" s="104"/>
      <c r="G1203" s="104"/>
      <c r="H1203" s="104"/>
      <c r="I1203" s="104"/>
      <c r="J1203" s="104"/>
      <c r="K1203" s="104"/>
      <c r="L1203" s="104"/>
      <c r="M1203" s="104"/>
      <c r="N1203" s="104"/>
      <c r="O1203" s="104"/>
      <c r="P1203" s="104"/>
      <c r="Q1203" s="104"/>
      <c r="R1203" s="104"/>
      <c r="S1203" s="104"/>
      <c r="T1203" s="104"/>
      <c r="U1203" s="104"/>
      <c r="V1203" s="104"/>
      <c r="W1203" s="104"/>
      <c r="X1203" s="104"/>
      <c r="Y1203" s="104"/>
      <c r="Z1203" s="104"/>
      <c r="AA1203" s="104"/>
      <c r="AB1203" s="104"/>
      <c r="AC1203" s="104"/>
    </row>
    <row r="1204" customFormat="false" ht="15" hidden="false" customHeight="false" outlineLevel="0" collapsed="false">
      <c r="A1204" s="104"/>
      <c r="B1204" s="104"/>
      <c r="C1204" s="147"/>
      <c r="D1204" s="104"/>
      <c r="E1204" s="104"/>
      <c r="F1204" s="104"/>
      <c r="G1204" s="104"/>
      <c r="H1204" s="104"/>
      <c r="I1204" s="104"/>
      <c r="J1204" s="104"/>
      <c r="K1204" s="104"/>
      <c r="L1204" s="104"/>
      <c r="M1204" s="104"/>
      <c r="N1204" s="104"/>
      <c r="O1204" s="104"/>
      <c r="P1204" s="104"/>
      <c r="Q1204" s="104"/>
      <c r="R1204" s="104"/>
      <c r="S1204" s="104"/>
      <c r="T1204" s="104"/>
      <c r="U1204" s="104"/>
      <c r="V1204" s="104"/>
      <c r="W1204" s="104"/>
      <c r="X1204" s="104"/>
      <c r="Y1204" s="104"/>
      <c r="Z1204" s="104"/>
      <c r="AA1204" s="104"/>
      <c r="AB1204" s="104"/>
      <c r="AC1204" s="104"/>
    </row>
    <row r="1205" customFormat="false" ht="15" hidden="false" customHeight="false" outlineLevel="0" collapsed="false">
      <c r="A1205" s="104"/>
      <c r="B1205" s="104"/>
      <c r="C1205" s="147"/>
      <c r="D1205" s="104"/>
      <c r="E1205" s="104"/>
      <c r="F1205" s="104"/>
      <c r="G1205" s="104"/>
      <c r="H1205" s="104"/>
      <c r="I1205" s="104"/>
      <c r="J1205" s="104"/>
      <c r="K1205" s="104"/>
      <c r="L1205" s="104"/>
      <c r="M1205" s="104"/>
      <c r="N1205" s="104"/>
      <c r="O1205" s="104"/>
      <c r="P1205" s="104"/>
      <c r="Q1205" s="104"/>
      <c r="R1205" s="104"/>
      <c r="S1205" s="104"/>
      <c r="T1205" s="104"/>
      <c r="U1205" s="104"/>
      <c r="V1205" s="104"/>
      <c r="W1205" s="104"/>
      <c r="X1205" s="104"/>
      <c r="Y1205" s="104"/>
      <c r="Z1205" s="104"/>
      <c r="AA1205" s="104"/>
      <c r="AB1205" s="104"/>
      <c r="AC1205" s="104"/>
    </row>
    <row r="1206" customFormat="false" ht="15" hidden="false" customHeight="false" outlineLevel="0" collapsed="false">
      <c r="A1206" s="104"/>
      <c r="B1206" s="104"/>
      <c r="C1206" s="147"/>
      <c r="D1206" s="104"/>
      <c r="E1206" s="104"/>
      <c r="F1206" s="104"/>
      <c r="G1206" s="104"/>
      <c r="H1206" s="104"/>
      <c r="I1206" s="104"/>
      <c r="J1206" s="104"/>
      <c r="K1206" s="104"/>
      <c r="L1206" s="104"/>
      <c r="M1206" s="104"/>
      <c r="N1206" s="104"/>
      <c r="O1206" s="104"/>
      <c r="P1206" s="104"/>
      <c r="Q1206" s="104"/>
      <c r="R1206" s="104"/>
      <c r="S1206" s="104"/>
      <c r="T1206" s="104"/>
      <c r="U1206" s="104"/>
      <c r="V1206" s="104"/>
      <c r="W1206" s="104"/>
      <c r="X1206" s="104"/>
      <c r="Y1206" s="104"/>
      <c r="Z1206" s="104"/>
      <c r="AA1206" s="104"/>
      <c r="AB1206" s="104"/>
      <c r="AC1206" s="104"/>
    </row>
    <row r="1207" customFormat="false" ht="15" hidden="false" customHeight="false" outlineLevel="0" collapsed="false">
      <c r="A1207" s="104"/>
      <c r="B1207" s="104"/>
      <c r="C1207" s="147"/>
      <c r="D1207" s="104"/>
      <c r="E1207" s="104"/>
      <c r="F1207" s="104"/>
      <c r="G1207" s="104"/>
      <c r="H1207" s="104"/>
      <c r="I1207" s="104"/>
      <c r="J1207" s="104"/>
      <c r="K1207" s="104"/>
      <c r="L1207" s="104"/>
      <c r="M1207" s="104"/>
      <c r="N1207" s="104"/>
      <c r="O1207" s="104"/>
      <c r="P1207" s="104"/>
      <c r="Q1207" s="104"/>
      <c r="R1207" s="104"/>
      <c r="S1207" s="104"/>
      <c r="T1207" s="104"/>
      <c r="U1207" s="104"/>
      <c r="V1207" s="104"/>
      <c r="W1207" s="104"/>
      <c r="X1207" s="104"/>
      <c r="Y1207" s="104"/>
      <c r="Z1207" s="104"/>
      <c r="AA1207" s="104"/>
      <c r="AB1207" s="104"/>
      <c r="AC1207" s="104"/>
    </row>
    <row r="1208" customFormat="false" ht="15" hidden="false" customHeight="false" outlineLevel="0" collapsed="false">
      <c r="A1208" s="104"/>
      <c r="B1208" s="104"/>
      <c r="C1208" s="147"/>
      <c r="D1208" s="104"/>
      <c r="E1208" s="104"/>
      <c r="F1208" s="104"/>
      <c r="G1208" s="104"/>
      <c r="H1208" s="104"/>
      <c r="I1208" s="104"/>
      <c r="J1208" s="104"/>
      <c r="K1208" s="104"/>
      <c r="L1208" s="104"/>
      <c r="M1208" s="104"/>
      <c r="N1208" s="104"/>
      <c r="O1208" s="104"/>
      <c r="P1208" s="104"/>
      <c r="Q1208" s="104"/>
      <c r="R1208" s="104"/>
      <c r="S1208" s="104"/>
      <c r="T1208" s="104"/>
      <c r="U1208" s="104"/>
      <c r="V1208" s="104"/>
      <c r="W1208" s="104"/>
      <c r="X1208" s="104"/>
      <c r="Y1208" s="104"/>
      <c r="Z1208" s="104"/>
      <c r="AA1208" s="104"/>
      <c r="AB1208" s="104"/>
      <c r="AC1208" s="104"/>
    </row>
    <row r="1209" customFormat="false" ht="15" hidden="false" customHeight="false" outlineLevel="0" collapsed="false">
      <c r="A1209" s="104"/>
      <c r="B1209" s="104"/>
      <c r="C1209" s="147"/>
      <c r="D1209" s="104"/>
      <c r="E1209" s="104"/>
      <c r="F1209" s="104"/>
      <c r="G1209" s="104"/>
      <c r="H1209" s="104"/>
      <c r="I1209" s="104"/>
      <c r="J1209" s="104"/>
      <c r="K1209" s="104"/>
      <c r="L1209" s="104"/>
      <c r="M1209" s="104"/>
      <c r="N1209" s="104"/>
      <c r="O1209" s="104"/>
      <c r="P1209" s="104"/>
      <c r="Q1209" s="104"/>
      <c r="R1209" s="104"/>
      <c r="S1209" s="104"/>
      <c r="T1209" s="104"/>
      <c r="U1209" s="104"/>
      <c r="V1209" s="104"/>
      <c r="W1209" s="104"/>
      <c r="X1209" s="104"/>
      <c r="Y1209" s="104"/>
      <c r="Z1209" s="104"/>
      <c r="AA1209" s="104"/>
      <c r="AB1209" s="104"/>
      <c r="AC1209" s="104"/>
    </row>
    <row r="1210" customFormat="false" ht="15" hidden="false" customHeight="false" outlineLevel="0" collapsed="false">
      <c r="A1210" s="104"/>
      <c r="B1210" s="104"/>
      <c r="C1210" s="147"/>
      <c r="D1210" s="104"/>
      <c r="E1210" s="104"/>
      <c r="F1210" s="104"/>
      <c r="G1210" s="104"/>
      <c r="H1210" s="104"/>
      <c r="I1210" s="104"/>
      <c r="J1210" s="104"/>
      <c r="K1210" s="104"/>
      <c r="L1210" s="104"/>
      <c r="M1210" s="104"/>
      <c r="N1210" s="104"/>
      <c r="O1210" s="104"/>
      <c r="P1210" s="104"/>
      <c r="Q1210" s="104"/>
      <c r="R1210" s="104"/>
      <c r="S1210" s="104"/>
      <c r="T1210" s="104"/>
      <c r="U1210" s="104"/>
      <c r="V1210" s="104"/>
      <c r="W1210" s="104"/>
      <c r="X1210" s="104"/>
      <c r="Y1210" s="104"/>
      <c r="Z1210" s="104"/>
      <c r="AA1210" s="104"/>
      <c r="AB1210" s="104"/>
      <c r="AC1210" s="104"/>
    </row>
    <row r="1211" customFormat="false" ht="15" hidden="false" customHeight="false" outlineLevel="0" collapsed="false">
      <c r="A1211" s="104"/>
      <c r="B1211" s="104"/>
      <c r="C1211" s="147"/>
      <c r="D1211" s="104"/>
      <c r="E1211" s="104"/>
      <c r="F1211" s="104"/>
      <c r="G1211" s="104"/>
      <c r="H1211" s="104"/>
      <c r="I1211" s="104"/>
      <c r="J1211" s="104"/>
      <c r="K1211" s="104"/>
      <c r="L1211" s="104"/>
      <c r="M1211" s="104"/>
      <c r="N1211" s="104"/>
      <c r="O1211" s="104"/>
      <c r="P1211" s="104"/>
      <c r="Q1211" s="104"/>
      <c r="R1211" s="104"/>
      <c r="S1211" s="104"/>
      <c r="T1211" s="104"/>
      <c r="U1211" s="104"/>
      <c r="V1211" s="104"/>
      <c r="W1211" s="104"/>
      <c r="X1211" s="104"/>
      <c r="Y1211" s="104"/>
      <c r="Z1211" s="104"/>
      <c r="AA1211" s="104"/>
      <c r="AB1211" s="104"/>
      <c r="AC1211" s="104"/>
    </row>
    <row r="1212" customFormat="false" ht="15" hidden="false" customHeight="false" outlineLevel="0" collapsed="false">
      <c r="A1212" s="104"/>
      <c r="B1212" s="104"/>
      <c r="C1212" s="147"/>
      <c r="D1212" s="104"/>
      <c r="E1212" s="104"/>
      <c r="F1212" s="104"/>
      <c r="G1212" s="104"/>
      <c r="H1212" s="104"/>
      <c r="I1212" s="104"/>
      <c r="J1212" s="104"/>
      <c r="K1212" s="104"/>
      <c r="L1212" s="104"/>
      <c r="M1212" s="104"/>
      <c r="N1212" s="104"/>
      <c r="O1212" s="104"/>
      <c r="P1212" s="104"/>
      <c r="Q1212" s="104"/>
      <c r="R1212" s="104"/>
      <c r="S1212" s="104"/>
      <c r="T1212" s="104"/>
      <c r="U1212" s="104"/>
      <c r="V1212" s="104"/>
      <c r="W1212" s="104"/>
      <c r="X1212" s="104"/>
      <c r="Y1212" s="104"/>
      <c r="Z1212" s="104"/>
      <c r="AA1212" s="104"/>
      <c r="AB1212" s="104"/>
      <c r="AC1212" s="104"/>
    </row>
    <row r="1213" customFormat="false" ht="15" hidden="false" customHeight="false" outlineLevel="0" collapsed="false">
      <c r="A1213" s="104"/>
      <c r="B1213" s="104"/>
      <c r="C1213" s="147"/>
      <c r="D1213" s="104"/>
      <c r="E1213" s="104"/>
      <c r="F1213" s="104"/>
      <c r="G1213" s="104"/>
      <c r="H1213" s="104"/>
      <c r="I1213" s="104"/>
      <c r="J1213" s="104"/>
      <c r="K1213" s="104"/>
      <c r="L1213" s="104"/>
      <c r="M1213" s="104"/>
      <c r="N1213" s="104"/>
      <c r="O1213" s="104"/>
      <c r="P1213" s="104"/>
      <c r="Q1213" s="104"/>
      <c r="R1213" s="104"/>
      <c r="S1213" s="104"/>
      <c r="T1213" s="104"/>
      <c r="U1213" s="104"/>
      <c r="V1213" s="104"/>
      <c r="W1213" s="104"/>
      <c r="X1213" s="104"/>
      <c r="Y1213" s="104"/>
      <c r="Z1213" s="104"/>
      <c r="AA1213" s="104"/>
      <c r="AB1213" s="104"/>
      <c r="AC1213" s="104"/>
    </row>
    <row r="1214" customFormat="false" ht="15" hidden="false" customHeight="false" outlineLevel="0" collapsed="false">
      <c r="A1214" s="104"/>
      <c r="B1214" s="104"/>
      <c r="C1214" s="147"/>
      <c r="D1214" s="104"/>
      <c r="E1214" s="104"/>
      <c r="F1214" s="104"/>
      <c r="G1214" s="104"/>
      <c r="H1214" s="104"/>
      <c r="I1214" s="104"/>
      <c r="J1214" s="104"/>
      <c r="K1214" s="104"/>
      <c r="L1214" s="104"/>
      <c r="M1214" s="104"/>
      <c r="N1214" s="104"/>
      <c r="O1214" s="104"/>
      <c r="P1214" s="104"/>
      <c r="Q1214" s="104"/>
      <c r="R1214" s="104"/>
      <c r="S1214" s="104"/>
      <c r="T1214" s="104"/>
      <c r="U1214" s="104"/>
      <c r="V1214" s="104"/>
      <c r="W1214" s="104"/>
      <c r="X1214" s="104"/>
      <c r="Y1214" s="104"/>
      <c r="Z1214" s="104"/>
      <c r="AA1214" s="104"/>
      <c r="AB1214" s="104"/>
      <c r="AC1214" s="104"/>
    </row>
    <row r="1215" customFormat="false" ht="15" hidden="false" customHeight="false" outlineLevel="0" collapsed="false">
      <c r="A1215" s="104"/>
      <c r="B1215" s="104"/>
      <c r="C1215" s="147"/>
      <c r="D1215" s="104"/>
      <c r="E1215" s="104"/>
      <c r="F1215" s="104"/>
      <c r="G1215" s="104"/>
      <c r="H1215" s="104"/>
      <c r="I1215" s="104"/>
      <c r="J1215" s="104"/>
      <c r="K1215" s="104"/>
      <c r="L1215" s="104"/>
      <c r="M1215" s="104"/>
      <c r="N1215" s="104"/>
      <c r="O1215" s="104"/>
      <c r="P1215" s="104"/>
      <c r="Q1215" s="104"/>
      <c r="R1215" s="104"/>
      <c r="S1215" s="104"/>
      <c r="T1215" s="104"/>
      <c r="U1215" s="104"/>
      <c r="V1215" s="104"/>
      <c r="W1215" s="104"/>
      <c r="X1215" s="104"/>
      <c r="Y1215" s="104"/>
      <c r="Z1215" s="104"/>
      <c r="AA1215" s="104"/>
      <c r="AB1215" s="104"/>
      <c r="AC1215" s="104"/>
    </row>
    <row r="1216" customFormat="false" ht="15" hidden="false" customHeight="false" outlineLevel="0" collapsed="false">
      <c r="A1216" s="104"/>
      <c r="B1216" s="104"/>
      <c r="C1216" s="147"/>
      <c r="D1216" s="104"/>
      <c r="E1216" s="104"/>
      <c r="F1216" s="104"/>
      <c r="G1216" s="104"/>
      <c r="H1216" s="104"/>
      <c r="I1216" s="104"/>
      <c r="J1216" s="104"/>
      <c r="K1216" s="104"/>
      <c r="L1216" s="104"/>
      <c r="M1216" s="104"/>
      <c r="N1216" s="104"/>
      <c r="O1216" s="104"/>
      <c r="P1216" s="104"/>
      <c r="Q1216" s="104"/>
      <c r="R1216" s="104"/>
      <c r="S1216" s="104"/>
      <c r="T1216" s="104"/>
      <c r="U1216" s="104"/>
      <c r="V1216" s="104"/>
      <c r="W1216" s="104"/>
      <c r="X1216" s="104"/>
      <c r="Y1216" s="104"/>
      <c r="Z1216" s="104"/>
      <c r="AA1216" s="104"/>
      <c r="AB1216" s="104"/>
      <c r="AC1216" s="104"/>
    </row>
    <row r="1217" customFormat="false" ht="15" hidden="false" customHeight="false" outlineLevel="0" collapsed="false">
      <c r="A1217" s="104"/>
      <c r="B1217" s="104"/>
      <c r="C1217" s="147"/>
      <c r="D1217" s="104"/>
      <c r="E1217" s="104"/>
      <c r="F1217" s="104"/>
      <c r="G1217" s="104"/>
      <c r="H1217" s="104"/>
      <c r="I1217" s="104"/>
      <c r="J1217" s="104"/>
      <c r="K1217" s="104"/>
      <c r="L1217" s="104"/>
      <c r="M1217" s="104"/>
      <c r="N1217" s="104"/>
      <c r="O1217" s="104"/>
      <c r="P1217" s="104"/>
      <c r="Q1217" s="104"/>
      <c r="R1217" s="104"/>
      <c r="S1217" s="104"/>
      <c r="T1217" s="104"/>
      <c r="U1217" s="104"/>
      <c r="V1217" s="104"/>
      <c r="W1217" s="104"/>
      <c r="X1217" s="104"/>
      <c r="Y1217" s="104"/>
      <c r="Z1217" s="104"/>
      <c r="AA1217" s="104"/>
      <c r="AB1217" s="104"/>
      <c r="AC1217" s="104"/>
    </row>
    <row r="1218" customFormat="false" ht="15" hidden="false" customHeight="false" outlineLevel="0" collapsed="false">
      <c r="A1218" s="104"/>
      <c r="B1218" s="104"/>
      <c r="C1218" s="147"/>
      <c r="D1218" s="104"/>
      <c r="E1218" s="104"/>
      <c r="F1218" s="104"/>
      <c r="G1218" s="104"/>
      <c r="H1218" s="104"/>
      <c r="I1218" s="104"/>
      <c r="J1218" s="104"/>
      <c r="K1218" s="104"/>
      <c r="L1218" s="104"/>
      <c r="M1218" s="104"/>
      <c r="N1218" s="104"/>
      <c r="O1218" s="104"/>
      <c r="P1218" s="104"/>
      <c r="Q1218" s="104"/>
      <c r="R1218" s="104"/>
      <c r="S1218" s="104"/>
      <c r="T1218" s="104"/>
      <c r="U1218" s="104"/>
      <c r="V1218" s="104"/>
      <c r="W1218" s="104"/>
      <c r="X1218" s="104"/>
      <c r="Y1218" s="104"/>
      <c r="Z1218" s="104"/>
      <c r="AA1218" s="104"/>
      <c r="AB1218" s="104"/>
      <c r="AC1218" s="104"/>
    </row>
    <row r="1219" customFormat="false" ht="15" hidden="false" customHeight="false" outlineLevel="0" collapsed="false">
      <c r="A1219" s="104"/>
      <c r="B1219" s="104"/>
      <c r="C1219" s="147"/>
      <c r="D1219" s="104"/>
      <c r="E1219" s="104"/>
      <c r="F1219" s="104"/>
      <c r="G1219" s="104"/>
      <c r="H1219" s="104"/>
      <c r="I1219" s="104"/>
      <c r="J1219" s="104"/>
      <c r="K1219" s="104"/>
      <c r="L1219" s="104"/>
      <c r="M1219" s="104"/>
      <c r="N1219" s="104"/>
      <c r="O1219" s="104"/>
      <c r="P1219" s="104"/>
      <c r="Q1219" s="104"/>
      <c r="R1219" s="104"/>
      <c r="S1219" s="104"/>
      <c r="T1219" s="104"/>
      <c r="U1219" s="104"/>
      <c r="V1219" s="104"/>
      <c r="W1219" s="104"/>
      <c r="X1219" s="104"/>
      <c r="Y1219" s="104"/>
      <c r="Z1219" s="104"/>
      <c r="AA1219" s="104"/>
      <c r="AB1219" s="104"/>
      <c r="AC1219" s="104"/>
    </row>
    <row r="1220" customFormat="false" ht="15" hidden="false" customHeight="false" outlineLevel="0" collapsed="false">
      <c r="A1220" s="104"/>
      <c r="B1220" s="104"/>
      <c r="C1220" s="147"/>
      <c r="D1220" s="104"/>
      <c r="E1220" s="104"/>
      <c r="F1220" s="104"/>
      <c r="G1220" s="104"/>
      <c r="H1220" s="104"/>
      <c r="I1220" s="104"/>
      <c r="J1220" s="104"/>
      <c r="K1220" s="104"/>
      <c r="L1220" s="104"/>
      <c r="M1220" s="104"/>
      <c r="N1220" s="104"/>
      <c r="O1220" s="104"/>
      <c r="P1220" s="104"/>
      <c r="Q1220" s="104"/>
      <c r="R1220" s="104"/>
      <c r="S1220" s="104"/>
      <c r="T1220" s="104"/>
      <c r="U1220" s="104"/>
      <c r="V1220" s="104"/>
      <c r="W1220" s="104"/>
      <c r="X1220" s="104"/>
      <c r="Y1220" s="104"/>
      <c r="Z1220" s="104"/>
      <c r="AA1220" s="104"/>
      <c r="AB1220" s="104"/>
      <c r="AC1220" s="104"/>
    </row>
    <row r="1221" customFormat="false" ht="15" hidden="false" customHeight="false" outlineLevel="0" collapsed="false">
      <c r="A1221" s="104"/>
      <c r="B1221" s="104"/>
      <c r="C1221" s="147"/>
      <c r="D1221" s="104"/>
      <c r="E1221" s="104"/>
      <c r="F1221" s="104"/>
      <c r="G1221" s="104"/>
      <c r="H1221" s="104"/>
      <c r="I1221" s="104"/>
      <c r="J1221" s="104"/>
      <c r="K1221" s="104"/>
      <c r="L1221" s="104"/>
      <c r="M1221" s="104"/>
      <c r="N1221" s="104"/>
      <c r="O1221" s="104"/>
      <c r="P1221" s="104"/>
      <c r="Q1221" s="104"/>
      <c r="R1221" s="104"/>
      <c r="S1221" s="104"/>
      <c r="T1221" s="104"/>
      <c r="U1221" s="104"/>
      <c r="V1221" s="104"/>
      <c r="W1221" s="104"/>
      <c r="X1221" s="104"/>
      <c r="Y1221" s="104"/>
      <c r="Z1221" s="104"/>
      <c r="AA1221" s="104"/>
      <c r="AB1221" s="104"/>
      <c r="AC1221" s="104"/>
    </row>
    <row r="1222" customFormat="false" ht="15" hidden="false" customHeight="false" outlineLevel="0" collapsed="false">
      <c r="A1222" s="104"/>
      <c r="B1222" s="104"/>
      <c r="C1222" s="147"/>
      <c r="D1222" s="104"/>
      <c r="E1222" s="104"/>
      <c r="F1222" s="104"/>
      <c r="G1222" s="104"/>
      <c r="H1222" s="104"/>
      <c r="I1222" s="104"/>
      <c r="J1222" s="104"/>
      <c r="K1222" s="104"/>
      <c r="L1222" s="104"/>
      <c r="M1222" s="104"/>
      <c r="N1222" s="104"/>
      <c r="O1222" s="104"/>
      <c r="P1222" s="104"/>
      <c r="Q1222" s="104"/>
      <c r="R1222" s="104"/>
      <c r="S1222" s="104"/>
      <c r="T1222" s="104"/>
      <c r="U1222" s="104"/>
      <c r="V1222" s="104"/>
      <c r="W1222" s="104"/>
      <c r="X1222" s="104"/>
      <c r="Y1222" s="104"/>
      <c r="Z1222" s="104"/>
      <c r="AA1222" s="104"/>
      <c r="AB1222" s="104"/>
      <c r="AC1222" s="104"/>
    </row>
    <row r="1223" customFormat="false" ht="15" hidden="false" customHeight="false" outlineLevel="0" collapsed="false">
      <c r="A1223" s="104"/>
      <c r="B1223" s="104"/>
      <c r="C1223" s="147"/>
      <c r="D1223" s="104"/>
      <c r="E1223" s="104"/>
      <c r="F1223" s="104"/>
      <c r="G1223" s="104"/>
      <c r="H1223" s="104"/>
      <c r="I1223" s="104"/>
      <c r="J1223" s="104"/>
      <c r="K1223" s="104"/>
      <c r="L1223" s="104"/>
      <c r="M1223" s="104"/>
      <c r="N1223" s="104"/>
      <c r="O1223" s="104"/>
      <c r="P1223" s="104"/>
      <c r="Q1223" s="104"/>
      <c r="R1223" s="104"/>
      <c r="S1223" s="104"/>
      <c r="T1223" s="104"/>
      <c r="U1223" s="104"/>
      <c r="V1223" s="104"/>
      <c r="W1223" s="104"/>
      <c r="X1223" s="104"/>
      <c r="Y1223" s="104"/>
      <c r="Z1223" s="104"/>
      <c r="AA1223" s="104"/>
      <c r="AB1223" s="104"/>
      <c r="AC1223" s="104"/>
    </row>
    <row r="1224" customFormat="false" ht="15" hidden="false" customHeight="false" outlineLevel="0" collapsed="false">
      <c r="A1224" s="104"/>
      <c r="B1224" s="104"/>
      <c r="C1224" s="147"/>
      <c r="D1224" s="104"/>
      <c r="E1224" s="104"/>
      <c r="F1224" s="104"/>
      <c r="G1224" s="104"/>
      <c r="H1224" s="104"/>
      <c r="I1224" s="104"/>
      <c r="J1224" s="104"/>
      <c r="K1224" s="104"/>
      <c r="L1224" s="104"/>
      <c r="M1224" s="104"/>
      <c r="N1224" s="104"/>
      <c r="O1224" s="104"/>
      <c r="P1224" s="104"/>
      <c r="Q1224" s="104"/>
      <c r="R1224" s="104"/>
      <c r="S1224" s="104"/>
      <c r="T1224" s="104"/>
      <c r="U1224" s="104"/>
      <c r="V1224" s="104"/>
      <c r="W1224" s="104"/>
      <c r="X1224" s="104"/>
      <c r="Y1224" s="104"/>
      <c r="Z1224" s="104"/>
      <c r="AA1224" s="104"/>
      <c r="AB1224" s="104"/>
      <c r="AC1224" s="104"/>
    </row>
    <row r="1225" customFormat="false" ht="15" hidden="false" customHeight="false" outlineLevel="0" collapsed="false">
      <c r="A1225" s="104"/>
      <c r="B1225" s="104"/>
      <c r="C1225" s="147"/>
      <c r="D1225" s="104"/>
      <c r="E1225" s="104"/>
      <c r="F1225" s="104"/>
      <c r="G1225" s="104"/>
      <c r="H1225" s="104"/>
      <c r="I1225" s="104"/>
      <c r="J1225" s="104"/>
      <c r="K1225" s="104"/>
      <c r="L1225" s="104"/>
      <c r="M1225" s="104"/>
      <c r="N1225" s="104"/>
      <c r="O1225" s="104"/>
      <c r="P1225" s="104"/>
      <c r="Q1225" s="104"/>
      <c r="R1225" s="104"/>
      <c r="S1225" s="104"/>
      <c r="T1225" s="104"/>
      <c r="U1225" s="104"/>
      <c r="V1225" s="104"/>
      <c r="W1225" s="104"/>
      <c r="X1225" s="104"/>
      <c r="Y1225" s="104"/>
      <c r="Z1225" s="104"/>
      <c r="AA1225" s="104"/>
      <c r="AB1225" s="104"/>
      <c r="AC1225" s="104"/>
    </row>
    <row r="1226" customFormat="false" ht="15" hidden="false" customHeight="false" outlineLevel="0" collapsed="false">
      <c r="A1226" s="104"/>
      <c r="B1226" s="104"/>
      <c r="C1226" s="147"/>
      <c r="D1226" s="104"/>
      <c r="E1226" s="104"/>
      <c r="F1226" s="104"/>
      <c r="G1226" s="104"/>
      <c r="H1226" s="104"/>
      <c r="I1226" s="104"/>
      <c r="J1226" s="104"/>
      <c r="K1226" s="104"/>
      <c r="L1226" s="104"/>
      <c r="M1226" s="104"/>
      <c r="N1226" s="104"/>
      <c r="O1226" s="104"/>
      <c r="P1226" s="104"/>
      <c r="Q1226" s="104"/>
      <c r="R1226" s="104"/>
      <c r="S1226" s="104"/>
      <c r="T1226" s="104"/>
      <c r="U1226" s="104"/>
      <c r="V1226" s="104"/>
      <c r="W1226" s="104"/>
      <c r="X1226" s="104"/>
      <c r="Y1226" s="104"/>
      <c r="Z1226" s="104"/>
      <c r="AA1226" s="104"/>
      <c r="AB1226" s="104"/>
      <c r="AC1226" s="104"/>
    </row>
    <row r="1227" customFormat="false" ht="15" hidden="false" customHeight="false" outlineLevel="0" collapsed="false">
      <c r="A1227" s="104"/>
      <c r="B1227" s="104"/>
      <c r="C1227" s="147"/>
      <c r="D1227" s="104"/>
      <c r="E1227" s="104"/>
      <c r="F1227" s="104"/>
      <c r="G1227" s="104"/>
      <c r="H1227" s="104"/>
      <c r="I1227" s="104"/>
      <c r="J1227" s="104"/>
      <c r="K1227" s="104"/>
      <c r="L1227" s="104"/>
      <c r="M1227" s="104"/>
      <c r="N1227" s="104"/>
      <c r="O1227" s="104"/>
      <c r="P1227" s="104"/>
      <c r="Q1227" s="104"/>
      <c r="R1227" s="104"/>
      <c r="S1227" s="104"/>
      <c r="T1227" s="104"/>
      <c r="U1227" s="104"/>
      <c r="V1227" s="104"/>
      <c r="W1227" s="104"/>
      <c r="X1227" s="104"/>
      <c r="Y1227" s="104"/>
      <c r="Z1227" s="104"/>
      <c r="AA1227" s="104"/>
      <c r="AB1227" s="104"/>
      <c r="AC1227" s="104"/>
    </row>
    <row r="1228" customFormat="false" ht="15" hidden="false" customHeight="false" outlineLevel="0" collapsed="false">
      <c r="A1228" s="104"/>
      <c r="B1228" s="104"/>
      <c r="C1228" s="147"/>
      <c r="D1228" s="104"/>
      <c r="E1228" s="104"/>
      <c r="F1228" s="104"/>
      <c r="G1228" s="104"/>
      <c r="H1228" s="104"/>
      <c r="I1228" s="104"/>
      <c r="J1228" s="104"/>
      <c r="K1228" s="104"/>
      <c r="L1228" s="104"/>
      <c r="M1228" s="104"/>
      <c r="N1228" s="104"/>
      <c r="O1228" s="104"/>
      <c r="P1228" s="104"/>
      <c r="Q1228" s="104"/>
      <c r="R1228" s="104"/>
      <c r="S1228" s="104"/>
      <c r="T1228" s="104"/>
      <c r="U1228" s="104"/>
      <c r="V1228" s="104"/>
      <c r="W1228" s="104"/>
      <c r="X1228" s="104"/>
      <c r="Y1228" s="104"/>
      <c r="Z1228" s="104"/>
      <c r="AA1228" s="104"/>
      <c r="AB1228" s="104"/>
      <c r="AC1228" s="104"/>
    </row>
    <row r="1229" customFormat="false" ht="15" hidden="false" customHeight="false" outlineLevel="0" collapsed="false">
      <c r="A1229" s="104"/>
      <c r="B1229" s="104"/>
      <c r="C1229" s="147"/>
      <c r="D1229" s="104"/>
      <c r="E1229" s="104"/>
      <c r="F1229" s="104"/>
      <c r="G1229" s="104"/>
      <c r="H1229" s="104"/>
      <c r="I1229" s="104"/>
      <c r="J1229" s="104"/>
      <c r="K1229" s="104"/>
      <c r="L1229" s="104"/>
      <c r="M1229" s="104"/>
      <c r="N1229" s="104"/>
      <c r="O1229" s="104"/>
      <c r="P1229" s="104"/>
      <c r="Q1229" s="104"/>
      <c r="R1229" s="104"/>
      <c r="S1229" s="104"/>
      <c r="T1229" s="104"/>
      <c r="U1229" s="104"/>
      <c r="V1229" s="104"/>
      <c r="W1229" s="104"/>
      <c r="X1229" s="104"/>
      <c r="Y1229" s="104"/>
      <c r="Z1229" s="104"/>
      <c r="AA1229" s="104"/>
      <c r="AB1229" s="104"/>
      <c r="AC1229" s="104"/>
    </row>
    <row r="1230" customFormat="false" ht="15" hidden="false" customHeight="false" outlineLevel="0" collapsed="false">
      <c r="A1230" s="104"/>
      <c r="B1230" s="104"/>
      <c r="C1230" s="147"/>
      <c r="D1230" s="104"/>
      <c r="E1230" s="104"/>
      <c r="F1230" s="104"/>
      <c r="G1230" s="104"/>
      <c r="H1230" s="104"/>
      <c r="I1230" s="104"/>
      <c r="J1230" s="104"/>
      <c r="K1230" s="104"/>
      <c r="L1230" s="104"/>
      <c r="M1230" s="104"/>
      <c r="N1230" s="104"/>
      <c r="O1230" s="104"/>
      <c r="P1230" s="104"/>
      <c r="Q1230" s="104"/>
      <c r="R1230" s="104"/>
      <c r="S1230" s="104"/>
      <c r="T1230" s="104"/>
      <c r="U1230" s="104"/>
      <c r="V1230" s="104"/>
      <c r="W1230" s="104"/>
      <c r="X1230" s="104"/>
      <c r="Y1230" s="104"/>
      <c r="Z1230" s="104"/>
      <c r="AA1230" s="104"/>
      <c r="AB1230" s="104"/>
      <c r="AC1230" s="104"/>
    </row>
    <row r="1231" customFormat="false" ht="15" hidden="false" customHeight="false" outlineLevel="0" collapsed="false">
      <c r="A1231" s="104"/>
      <c r="B1231" s="104"/>
      <c r="C1231" s="147"/>
      <c r="D1231" s="104"/>
      <c r="E1231" s="104"/>
      <c r="F1231" s="104"/>
      <c r="G1231" s="104"/>
      <c r="H1231" s="104"/>
      <c r="I1231" s="104"/>
      <c r="J1231" s="104"/>
      <c r="K1231" s="104"/>
      <c r="L1231" s="104"/>
      <c r="M1231" s="104"/>
      <c r="N1231" s="104"/>
      <c r="O1231" s="104"/>
      <c r="P1231" s="104"/>
      <c r="Q1231" s="104"/>
      <c r="R1231" s="104"/>
      <c r="S1231" s="104"/>
      <c r="T1231" s="104"/>
      <c r="U1231" s="104"/>
      <c r="V1231" s="104"/>
      <c r="W1231" s="104"/>
      <c r="X1231" s="104"/>
      <c r="Y1231" s="104"/>
      <c r="Z1231" s="104"/>
      <c r="AA1231" s="104"/>
      <c r="AB1231" s="104"/>
      <c r="AC1231" s="104"/>
    </row>
    <row r="1232" customFormat="false" ht="15" hidden="false" customHeight="false" outlineLevel="0" collapsed="false">
      <c r="A1232" s="104"/>
      <c r="B1232" s="104"/>
      <c r="C1232" s="147"/>
      <c r="D1232" s="104"/>
      <c r="E1232" s="104"/>
      <c r="F1232" s="104"/>
      <c r="G1232" s="104"/>
      <c r="H1232" s="104"/>
      <c r="I1232" s="104"/>
      <c r="J1232" s="104"/>
      <c r="K1232" s="104"/>
      <c r="L1232" s="104"/>
      <c r="M1232" s="104"/>
      <c r="N1232" s="104"/>
      <c r="O1232" s="104"/>
      <c r="P1232" s="104"/>
      <c r="Q1232" s="104"/>
      <c r="R1232" s="104"/>
      <c r="S1232" s="104"/>
      <c r="T1232" s="104"/>
      <c r="U1232" s="104"/>
      <c r="V1232" s="104"/>
      <c r="W1232" s="104"/>
      <c r="X1232" s="104"/>
      <c r="Y1232" s="104"/>
      <c r="Z1232" s="104"/>
      <c r="AA1232" s="104"/>
      <c r="AB1232" s="104"/>
      <c r="AC1232" s="104"/>
    </row>
    <row r="1233" customFormat="false" ht="15" hidden="false" customHeight="false" outlineLevel="0" collapsed="false">
      <c r="A1233" s="104"/>
      <c r="B1233" s="104"/>
      <c r="C1233" s="147"/>
      <c r="D1233" s="104"/>
      <c r="E1233" s="104"/>
      <c r="F1233" s="104"/>
      <c r="G1233" s="104"/>
      <c r="H1233" s="104"/>
      <c r="I1233" s="104"/>
      <c r="J1233" s="104"/>
      <c r="K1233" s="104"/>
      <c r="L1233" s="104"/>
      <c r="M1233" s="104"/>
      <c r="N1233" s="104"/>
      <c r="O1233" s="104"/>
      <c r="P1233" s="104"/>
      <c r="Q1233" s="104"/>
      <c r="R1233" s="104"/>
      <c r="S1233" s="104"/>
      <c r="T1233" s="104"/>
      <c r="U1233" s="104"/>
      <c r="V1233" s="104"/>
      <c r="W1233" s="104"/>
      <c r="X1233" s="104"/>
      <c r="Y1233" s="104"/>
      <c r="Z1233" s="104"/>
      <c r="AA1233" s="104"/>
      <c r="AB1233" s="104"/>
      <c r="AC1233" s="104"/>
    </row>
    <row r="1234" customFormat="false" ht="15" hidden="false" customHeight="false" outlineLevel="0" collapsed="false">
      <c r="A1234" s="104"/>
      <c r="B1234" s="104"/>
      <c r="C1234" s="147"/>
      <c r="D1234" s="104"/>
      <c r="E1234" s="104"/>
      <c r="F1234" s="104"/>
      <c r="G1234" s="104"/>
      <c r="H1234" s="104"/>
      <c r="I1234" s="104"/>
      <c r="J1234" s="104"/>
      <c r="K1234" s="104"/>
      <c r="L1234" s="104"/>
      <c r="M1234" s="104"/>
      <c r="N1234" s="104"/>
      <c r="O1234" s="104"/>
      <c r="P1234" s="104"/>
      <c r="Q1234" s="104"/>
      <c r="R1234" s="104"/>
      <c r="S1234" s="104"/>
      <c r="T1234" s="104"/>
      <c r="U1234" s="104"/>
      <c r="V1234" s="104"/>
      <c r="W1234" s="104"/>
      <c r="X1234" s="104"/>
      <c r="Y1234" s="104"/>
      <c r="Z1234" s="104"/>
      <c r="AA1234" s="104"/>
      <c r="AB1234" s="104"/>
      <c r="AC1234" s="104"/>
    </row>
    <row r="1235" customFormat="false" ht="15" hidden="false" customHeight="false" outlineLevel="0" collapsed="false">
      <c r="A1235" s="104"/>
      <c r="B1235" s="104"/>
      <c r="C1235" s="147"/>
      <c r="D1235" s="104"/>
      <c r="E1235" s="104"/>
      <c r="F1235" s="104"/>
      <c r="G1235" s="104"/>
      <c r="H1235" s="104"/>
      <c r="I1235" s="104"/>
      <c r="J1235" s="104"/>
      <c r="K1235" s="104"/>
      <c r="L1235" s="104"/>
      <c r="M1235" s="104"/>
      <c r="N1235" s="104"/>
      <c r="O1235" s="104"/>
      <c r="P1235" s="104"/>
      <c r="Q1235" s="104"/>
      <c r="R1235" s="104"/>
      <c r="S1235" s="104"/>
      <c r="T1235" s="104"/>
      <c r="U1235" s="104"/>
      <c r="V1235" s="104"/>
      <c r="W1235" s="104"/>
      <c r="X1235" s="104"/>
      <c r="Y1235" s="104"/>
      <c r="Z1235" s="104"/>
      <c r="AA1235" s="104"/>
      <c r="AB1235" s="104"/>
      <c r="AC1235" s="104"/>
    </row>
    <row r="1236" customFormat="false" ht="15" hidden="false" customHeight="false" outlineLevel="0" collapsed="false">
      <c r="A1236" s="104"/>
      <c r="B1236" s="104"/>
      <c r="C1236" s="147"/>
      <c r="D1236" s="104"/>
      <c r="E1236" s="104"/>
      <c r="F1236" s="104"/>
      <c r="G1236" s="104"/>
      <c r="H1236" s="104"/>
      <c r="I1236" s="104"/>
      <c r="J1236" s="104"/>
      <c r="K1236" s="104"/>
      <c r="L1236" s="104"/>
      <c r="M1236" s="104"/>
      <c r="N1236" s="104"/>
      <c r="O1236" s="104"/>
      <c r="P1236" s="104"/>
      <c r="Q1236" s="104"/>
      <c r="R1236" s="104"/>
      <c r="S1236" s="104"/>
      <c r="T1236" s="104"/>
      <c r="U1236" s="104"/>
      <c r="V1236" s="104"/>
      <c r="W1236" s="104"/>
      <c r="X1236" s="104"/>
      <c r="Y1236" s="104"/>
      <c r="Z1236" s="104"/>
      <c r="AA1236" s="104"/>
      <c r="AB1236" s="104"/>
      <c r="AC1236" s="104"/>
    </row>
    <row r="1237" customFormat="false" ht="15" hidden="false" customHeight="false" outlineLevel="0" collapsed="false">
      <c r="A1237" s="104"/>
      <c r="B1237" s="104"/>
      <c r="C1237" s="147"/>
      <c r="D1237" s="104"/>
      <c r="E1237" s="104"/>
      <c r="F1237" s="104"/>
      <c r="G1237" s="104"/>
      <c r="H1237" s="104"/>
      <c r="I1237" s="104"/>
      <c r="J1237" s="104"/>
      <c r="K1237" s="104"/>
      <c r="L1237" s="104"/>
      <c r="M1237" s="104"/>
      <c r="N1237" s="104"/>
      <c r="O1237" s="104"/>
      <c r="P1237" s="104"/>
      <c r="Q1237" s="104"/>
      <c r="R1237" s="104"/>
      <c r="S1237" s="104"/>
      <c r="T1237" s="104"/>
      <c r="U1237" s="104"/>
      <c r="V1237" s="104"/>
      <c r="W1237" s="104"/>
      <c r="X1237" s="104"/>
      <c r="Y1237" s="104"/>
      <c r="Z1237" s="104"/>
      <c r="AA1237" s="104"/>
      <c r="AB1237" s="104"/>
      <c r="AC1237" s="104"/>
    </row>
    <row r="1238" customFormat="false" ht="15" hidden="false" customHeight="false" outlineLevel="0" collapsed="false">
      <c r="A1238" s="104"/>
      <c r="B1238" s="104"/>
      <c r="C1238" s="147"/>
      <c r="D1238" s="104"/>
      <c r="E1238" s="104"/>
      <c r="F1238" s="104"/>
      <c r="G1238" s="104"/>
      <c r="H1238" s="104"/>
      <c r="I1238" s="104"/>
      <c r="J1238" s="104"/>
      <c r="K1238" s="104"/>
      <c r="L1238" s="104"/>
      <c r="M1238" s="104"/>
      <c r="N1238" s="104"/>
      <c r="O1238" s="104"/>
      <c r="P1238" s="104"/>
      <c r="Q1238" s="104"/>
      <c r="R1238" s="104"/>
      <c r="S1238" s="104"/>
      <c r="T1238" s="104"/>
      <c r="U1238" s="104"/>
      <c r="V1238" s="104"/>
      <c r="W1238" s="104"/>
      <c r="X1238" s="104"/>
      <c r="Y1238" s="104"/>
      <c r="Z1238" s="104"/>
      <c r="AA1238" s="104"/>
      <c r="AB1238" s="104"/>
      <c r="AC1238" s="104"/>
    </row>
    <row r="1239" customFormat="false" ht="15" hidden="false" customHeight="false" outlineLevel="0" collapsed="false">
      <c r="A1239" s="104"/>
      <c r="B1239" s="104"/>
      <c r="C1239" s="147"/>
      <c r="D1239" s="104"/>
      <c r="E1239" s="104"/>
      <c r="F1239" s="104"/>
      <c r="G1239" s="104"/>
      <c r="H1239" s="104"/>
      <c r="I1239" s="104"/>
      <c r="J1239" s="104"/>
      <c r="K1239" s="104"/>
      <c r="L1239" s="104"/>
      <c r="M1239" s="104"/>
      <c r="N1239" s="104"/>
      <c r="O1239" s="104"/>
      <c r="P1239" s="104"/>
      <c r="Q1239" s="104"/>
      <c r="R1239" s="104"/>
      <c r="S1239" s="104"/>
      <c r="T1239" s="104"/>
      <c r="U1239" s="104"/>
      <c r="V1239" s="104"/>
      <c r="W1239" s="104"/>
      <c r="X1239" s="104"/>
      <c r="Y1239" s="104"/>
      <c r="Z1239" s="104"/>
      <c r="AA1239" s="104"/>
      <c r="AB1239" s="104"/>
      <c r="AC1239" s="104"/>
    </row>
    <row r="1240" customFormat="false" ht="15" hidden="false" customHeight="false" outlineLevel="0" collapsed="false">
      <c r="A1240" s="104"/>
      <c r="B1240" s="104"/>
      <c r="C1240" s="147"/>
      <c r="D1240" s="104"/>
      <c r="E1240" s="104"/>
      <c r="F1240" s="104"/>
      <c r="G1240" s="104"/>
      <c r="H1240" s="104"/>
      <c r="I1240" s="104"/>
      <c r="J1240" s="104"/>
      <c r="K1240" s="104"/>
      <c r="L1240" s="104"/>
      <c r="M1240" s="104"/>
      <c r="N1240" s="104"/>
      <c r="O1240" s="104"/>
      <c r="P1240" s="104"/>
      <c r="Q1240" s="104"/>
      <c r="R1240" s="104"/>
      <c r="S1240" s="104"/>
      <c r="T1240" s="104"/>
      <c r="U1240" s="104"/>
      <c r="V1240" s="104"/>
      <c r="W1240" s="104"/>
      <c r="X1240" s="104"/>
      <c r="Y1240" s="104"/>
      <c r="Z1240" s="104"/>
      <c r="AA1240" s="104"/>
      <c r="AB1240" s="104"/>
      <c r="AC1240" s="104"/>
    </row>
    <row r="1241" customFormat="false" ht="15" hidden="false" customHeight="false" outlineLevel="0" collapsed="false">
      <c r="A1241" s="104"/>
      <c r="B1241" s="104"/>
      <c r="C1241" s="147"/>
      <c r="D1241" s="104"/>
      <c r="E1241" s="104"/>
      <c r="F1241" s="104"/>
      <c r="G1241" s="104"/>
      <c r="H1241" s="104"/>
      <c r="I1241" s="104"/>
      <c r="J1241" s="104"/>
      <c r="K1241" s="104"/>
      <c r="L1241" s="104"/>
      <c r="M1241" s="104"/>
      <c r="N1241" s="104"/>
      <c r="O1241" s="104"/>
      <c r="P1241" s="104"/>
      <c r="Q1241" s="104"/>
      <c r="R1241" s="104"/>
      <c r="S1241" s="104"/>
      <c r="T1241" s="104"/>
      <c r="U1241" s="104"/>
      <c r="V1241" s="104"/>
      <c r="W1241" s="104"/>
      <c r="X1241" s="104"/>
      <c r="Y1241" s="104"/>
      <c r="Z1241" s="104"/>
      <c r="AA1241" s="104"/>
      <c r="AB1241" s="104"/>
      <c r="AC1241" s="104"/>
    </row>
    <row r="1242" customFormat="false" ht="15" hidden="false" customHeight="false" outlineLevel="0" collapsed="false">
      <c r="A1242" s="104"/>
      <c r="B1242" s="104"/>
      <c r="C1242" s="147"/>
      <c r="D1242" s="104"/>
      <c r="E1242" s="104"/>
      <c r="F1242" s="104"/>
      <c r="G1242" s="104"/>
      <c r="H1242" s="104"/>
      <c r="I1242" s="104"/>
      <c r="J1242" s="104"/>
      <c r="K1242" s="104"/>
      <c r="L1242" s="104"/>
      <c r="M1242" s="104"/>
      <c r="N1242" s="104"/>
      <c r="O1242" s="104"/>
      <c r="P1242" s="104"/>
      <c r="Q1242" s="104"/>
      <c r="R1242" s="104"/>
      <c r="S1242" s="104"/>
      <c r="T1242" s="104"/>
      <c r="U1242" s="104"/>
      <c r="V1242" s="104"/>
      <c r="W1242" s="104"/>
      <c r="X1242" s="104"/>
      <c r="Y1242" s="104"/>
      <c r="Z1242" s="104"/>
      <c r="AA1242" s="104"/>
      <c r="AB1242" s="104"/>
      <c r="AC1242" s="104"/>
    </row>
    <row r="1243" customFormat="false" ht="15" hidden="false" customHeight="false" outlineLevel="0" collapsed="false">
      <c r="A1243" s="104"/>
      <c r="B1243" s="104"/>
      <c r="C1243" s="147"/>
      <c r="D1243" s="104"/>
      <c r="E1243" s="104"/>
      <c r="F1243" s="104"/>
      <c r="G1243" s="104"/>
      <c r="H1243" s="104"/>
      <c r="I1243" s="104"/>
      <c r="J1243" s="104"/>
      <c r="K1243" s="104"/>
      <c r="L1243" s="104"/>
      <c r="M1243" s="104"/>
      <c r="N1243" s="104"/>
      <c r="O1243" s="104"/>
      <c r="P1243" s="104"/>
      <c r="Q1243" s="104"/>
      <c r="R1243" s="104"/>
      <c r="S1243" s="104"/>
      <c r="T1243" s="104"/>
      <c r="U1243" s="104"/>
      <c r="V1243" s="104"/>
      <c r="W1243" s="104"/>
      <c r="X1243" s="104"/>
      <c r="Y1243" s="104"/>
      <c r="Z1243" s="104"/>
      <c r="AA1243" s="104"/>
      <c r="AB1243" s="104"/>
      <c r="AC1243" s="104"/>
    </row>
    <row r="1244" customFormat="false" ht="15" hidden="false" customHeight="false" outlineLevel="0" collapsed="false">
      <c r="A1244" s="104"/>
      <c r="B1244" s="104"/>
      <c r="C1244" s="147"/>
      <c r="D1244" s="104"/>
      <c r="E1244" s="104"/>
      <c r="F1244" s="104"/>
      <c r="G1244" s="104"/>
      <c r="H1244" s="104"/>
      <c r="I1244" s="104"/>
      <c r="J1244" s="104"/>
      <c r="K1244" s="104"/>
      <c r="L1244" s="104"/>
      <c r="M1244" s="104"/>
      <c r="N1244" s="104"/>
      <c r="O1244" s="104"/>
      <c r="P1244" s="104"/>
      <c r="Q1244" s="104"/>
      <c r="R1244" s="104"/>
      <c r="S1244" s="104"/>
      <c r="T1244" s="104"/>
      <c r="U1244" s="104"/>
      <c r="V1244" s="104"/>
      <c r="W1244" s="104"/>
      <c r="X1244" s="104"/>
      <c r="Y1244" s="104"/>
      <c r="Z1244" s="104"/>
      <c r="AA1244" s="104"/>
      <c r="AB1244" s="104"/>
      <c r="AC1244" s="104"/>
    </row>
  </sheetData>
  <autoFilter ref="A2:G495">
    <sortState ref="A3:G495">
      <sortCondition ref="A3:A495" descending="1" customList=""/>
    </sortState>
  </autoFilter>
  <mergeCells count="1">
    <mergeCell ref="A1:G1"/>
  </mergeCells>
  <conditionalFormatting sqref="B3:B174 A7 C136 B190:B237">
    <cfRule type="containsText" priority="2" operator="containsText" aboveAverage="0" equalAverage="0" bottom="0" percent="0" rank="0" text="MUITO ADIANTADO" dxfId="24">
      <formula>NOT(ISERROR(SEARCH("MUITO ADIANTADO",A3)))</formula>
    </cfRule>
  </conditionalFormatting>
  <conditionalFormatting sqref="B3:B174 A7 C136 B190:B237">
    <cfRule type="containsText" priority="3" operator="containsText" aboveAverage="0" equalAverage="0" bottom="0" percent="0" rank="0" text="EM DIAS" dxfId="25">
      <formula>NOT(ISERROR(SEARCH("EM DIAS",A3)))</formula>
    </cfRule>
  </conditionalFormatting>
  <conditionalFormatting sqref="B2:B1244 A7 C136 I141:I143 P141:P143 W141:W143">
    <cfRule type="cellIs" priority="4" operator="equal" aboveAverage="0" equalAverage="0" bottom="0" percent="0" rank="0" text="" dxfId="15">
      <formula>"ADIANTADO"</formula>
    </cfRule>
  </conditionalFormatting>
  <conditionalFormatting sqref="B2:B1244 A7 C136 I141:I143 P141:P143 W141:W143">
    <cfRule type="cellIs" priority="5" operator="equal" aboveAverage="0" equalAverage="0" bottom="0" percent="0" rank="0" text="" dxfId="26">
      <formula>"MUITO ATRASADO"</formula>
    </cfRule>
  </conditionalFormatting>
  <conditionalFormatting sqref="B2:B1244 A7 C136 I141:I143 P141:P143 W141:W143">
    <cfRule type="cellIs" priority="6" operator="equal" aboveAverage="0" equalAverage="0" bottom="0" percent="0" rank="0" text="" dxfId="13">
      <formula>"ATRASADO"</formula>
    </cfRule>
  </conditionalFormatting>
  <dataValidations count="6">
    <dataValidation allowBlank="true" errorStyle="stop" operator="between" showDropDown="true" showErrorMessage="false" showInputMessage="false" sqref="B68:C68 B106:C106 B133:C133 B273:C273 B334:C334 B344:C344 B425:C425 B448:C448 B459:C461" type="list">
      <formula1>CENTRO!$A$4:$A$68</formula1>
      <formula2>0</formula2>
    </dataValidation>
    <dataValidation allowBlank="true" errorStyle="stop" operator="between" showDropDown="false" showErrorMessage="false" showInputMessage="false" sqref="E3:E14 E16:E38 E58:E108 F107:G107 E109:E132 E134:E182 E185:E190 E192:E217 E219:E229 E231:E292 E312:E320 E322:E324 E326:E363 E365:E369 E371:E384 E393:E395 E397 E406:E407 E416:E432 E434 E436 E438:E447 E449:E478" type="list">
      <formula1>#ref!</formula1>
      <formula2>0</formula2>
    </dataValidation>
    <dataValidation allowBlank="true" errorStyle="stop" operator="between" showDropDown="true" showErrorMessage="false" showInputMessage="false" sqref="A302" type="list">
      <formula1>'CENTRO ANDAMENTO ALUNOS'!$A$2:$A$744</formula1>
      <formula2>0</formula2>
    </dataValidation>
    <dataValidation allowBlank="true" errorStyle="stop" operator="between" showDropDown="true" showErrorMessage="false" showInputMessage="false" sqref="E15 E39:E57 E133 L141:L143 S141:S143 Z141:Z143 E183:E184 E191 E218 E230 E293:E311 E321 E325 E364 E370 E385:E392 E396 E398:E405 E408:E415 E433 E435 E437 E448 E479:E522" type="list">
      <formula1>#ref!</formula1>
      <formula2>0</formula2>
    </dataValidation>
    <dataValidation allowBlank="true" errorStyle="stop" operator="between" showDropDown="true" showErrorMessage="false" showInputMessage="false" sqref="A3 A8:A10 A16:A18 A66:A69 A72:A80 A90 A96:A97 A105:A112 A117:A118 A122 A124:A125 A127:A128 A131:A134 A136 A149:A154 A156:A158 A160 A162:A168 A171:A173 A187 A189:A190 A193:A199 A202:A203 A206:A208 A210:A221 A223:A229 A236:A237 A239:A240 A242:A256 A259:A262 A268:A283 A285:A287 A289 A312:A320 A322:A324 A326:A332 A334:A335 A337:A353 A359:A360 A362:A363 A365 A368 A370:A381 A383 A393:A395 A397 A406:A407 A415:A420 A423:A426 A435:A436 A439:A448 A450 A453 A455:A463" type="list">
      <formula1>CENTRO!$A$4:$A$553</formula1>
      <formula2>0</formula2>
    </dataValidation>
    <dataValidation allowBlank="true" errorStyle="stop" operator="between" showDropDown="true" showErrorMessage="false" showInputMessage="false" sqref="A6:A7 A11:A12 A14:A15 A19:A65 B97:C97 A115:A116 A139:A144 H141:H143 O141:O143 V141:V143 A145:A148 A159 A169:A170 A174:A178 A180:A186 B187:C187 A191 B193:C193 F197 B213:C213 B218:C218 A230:A235 A263:A267 A290:A301 A303:A311 A321 A325 B339:C339 B352:C352 A364 B370:C371 A385:A392 A396 B397:C397 A398:A405 A408:A414 A421 B426:C426 A427:A431 A433 A437:A438 B440:C440 A464:A469 A471:A475 A477:A1244" type="list">
      <formula1>CENTRO!$A$4:$A$68</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tableParts>
    <tablePart r:id="rId4"/>
  </tableParts>
</worksheet>
</file>

<file path=docProps/app.xml><?xml version="1.0" encoding="utf-8"?>
<Properties xmlns="http://schemas.openxmlformats.org/officeDocument/2006/extended-properties" xmlns:vt="http://schemas.openxmlformats.org/officeDocument/2006/docPropsVTypes">
  <Template/>
  <TotalTime>165</TotalTime>
  <Application>LibreOffice/25.8.7.3$Windows_X86_64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2026-05-29T02:23:42Z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